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AW_Data" sheetId="1" r:id="rId5"/>
    <sheet state="hidden" name="Current_Stats" sheetId="2" r:id="rId6"/>
    <sheet state="hidden" name="Previous_Stats" sheetId="3" r:id="rId7"/>
    <sheet state="hidden" name="Refined_Data" sheetId="4" r:id="rId8"/>
    <sheet state="hidden" name="Shift_Analysis" sheetId="5" r:id="rId9"/>
    <sheet state="hidden" name="RedFlagHooks" sheetId="6" r:id="rId10"/>
    <sheet state="visible" name="Dashboard" sheetId="7" r:id="rId11"/>
    <sheet state="visible" name="🚩RedFlags Dashboard🚩" sheetId="8" r:id="rId12"/>
    <sheet state="hidden" name=" Archive RedFlags" sheetId="9" r:id="rId13"/>
  </sheets>
  <definedNames>
    <definedName hidden="1" localSheetId="6" name="_xlnm._FilterDatabase">Dashboard!$A$1:$S$108</definedName>
  </definedNames>
  <calcPr/>
</workbook>
</file>

<file path=xl/sharedStrings.xml><?xml version="1.0" encoding="utf-8"?>
<sst xmlns="http://schemas.openxmlformats.org/spreadsheetml/2006/main" count="5978" uniqueCount="1561">
  <si>
    <t>ID</t>
  </si>
  <si>
    <t>Employee_Name</t>
  </si>
  <si>
    <t>TxID</t>
  </si>
  <si>
    <t>TxID_no</t>
  </si>
  <si>
    <t>Status</t>
  </si>
  <si>
    <t>Hired_Date</t>
  </si>
  <si>
    <t>Agency_HiredDate</t>
  </si>
  <si>
    <t>Job_Title</t>
  </si>
  <si>
    <t>Office_Location</t>
  </si>
  <si>
    <t>Language</t>
  </si>
  <si>
    <t>ERC_Level</t>
  </si>
  <si>
    <t>Email_TELUS</t>
  </si>
  <si>
    <t>Supervisor</t>
  </si>
  <si>
    <t>Operations_Manager</t>
  </si>
  <si>
    <t>Phone_No_1</t>
  </si>
  <si>
    <t>Phone_No_2</t>
  </si>
  <si>
    <t>Phone_No_3</t>
  </si>
  <si>
    <t>Old_MAS_Initials</t>
  </si>
  <si>
    <t>MAS_Initials</t>
  </si>
  <si>
    <t>Laptop Asset #</t>
  </si>
  <si>
    <t>MAS_EmployeeID</t>
  </si>
  <si>
    <t>Apps_MAS_Username</t>
  </si>
  <si>
    <t>Email_TELUS_International</t>
  </si>
  <si>
    <t>Apps_AvayaOneX_Extension</t>
  </si>
  <si>
    <t>Avaya_AgentLoginID</t>
  </si>
  <si>
    <t>Apps_AvayaCMS_Username</t>
  </si>
  <si>
    <t>Apps_SAFE_Username</t>
  </si>
  <si>
    <t>Apps_IMMIX_Username</t>
  </si>
  <si>
    <t>Apps_Manitou_Userename</t>
  </si>
  <si>
    <t>Skills</t>
  </si>
  <si>
    <t>First_Aid_ExpiringDate</t>
  </si>
  <si>
    <t>TMA_Level1_Date</t>
  </si>
  <si>
    <t>TMA_Level1_CertificateNo</t>
  </si>
  <si>
    <t>TMA_Level2_Date</t>
  </si>
  <si>
    <t>TMA_Level2_CertificateNo</t>
  </si>
  <si>
    <t>FTE</t>
  </si>
  <si>
    <t>Pay_Group</t>
  </si>
  <si>
    <t>Schedule_Type</t>
  </si>
  <si>
    <t>Schedule_Start_Time</t>
  </si>
  <si>
    <t>Schedule_EndTime</t>
  </si>
  <si>
    <t>Phone_No_Int1</t>
  </si>
  <si>
    <t>Phone_No_Int2</t>
  </si>
  <si>
    <t>Name_First</t>
  </si>
  <si>
    <t>Name_Last</t>
  </si>
  <si>
    <t>Emergency_Contact_1_Name</t>
  </si>
  <si>
    <t>Emergency_Contact_1_Phone</t>
  </si>
  <si>
    <t>Emergency_Contact_1_Relationship</t>
  </si>
  <si>
    <t>Emergency_Contact_2_Name</t>
  </si>
  <si>
    <t>Emergency_Contact_2_Phone</t>
  </si>
  <si>
    <t>Emergency_Contact_2_Relationship</t>
  </si>
  <si>
    <t>Employee_Name_Proper</t>
  </si>
  <si>
    <t>First _Aid_ CertificateNo</t>
  </si>
  <si>
    <t>Lenel_ERC_PIN</t>
  </si>
  <si>
    <t>Sch_DaySUN</t>
  </si>
  <si>
    <t>Sch_DayMON</t>
  </si>
  <si>
    <t>Sch_DayTUE</t>
  </si>
  <si>
    <t>Sch_DayWED</t>
  </si>
  <si>
    <t>Sch_DayTHU</t>
  </si>
  <si>
    <t>Sch_DayFRI</t>
  </si>
  <si>
    <t>Sch_DaySAT</t>
  </si>
  <si>
    <t>Schedule _Comment</t>
  </si>
  <si>
    <t>Schedule_Shift</t>
  </si>
  <si>
    <t>Apps_CiscoIP_Extension</t>
  </si>
  <si>
    <t>Level 2 Training Date</t>
  </si>
  <si>
    <t>Level 2 Exam Date</t>
  </si>
  <si>
    <t>Level 2 Salary Adjustment completed</t>
  </si>
  <si>
    <t>Level 3 Training Date</t>
  </si>
  <si>
    <t>Level 3 Exam Date</t>
  </si>
  <si>
    <t>Level 3 Salary Adjustment completed</t>
  </si>
  <si>
    <t>Level 4 Training Date</t>
  </si>
  <si>
    <t>Level 4 Exam Date</t>
  </si>
  <si>
    <t>Level 4 Salary Adjustment completed</t>
  </si>
  <si>
    <t>Unionized</t>
  </si>
  <si>
    <t>AHA Status</t>
  </si>
  <si>
    <t>Contracted Hrs</t>
  </si>
  <si>
    <t>FTE Status</t>
  </si>
  <si>
    <t>Level 1 Exam Date</t>
  </si>
  <si>
    <t>Item Type</t>
  </si>
  <si>
    <t>Path</t>
  </si>
  <si>
    <t>Abouda, Mohammed</t>
  </si>
  <si>
    <t>T773560</t>
  </si>
  <si>
    <t>Active</t>
  </si>
  <si>
    <t>Monitoring Specialist II (Regular)</t>
  </si>
  <si>
    <t>Ottawa</t>
  </si>
  <si>
    <t>Bilingual-French</t>
  </si>
  <si>
    <t>mo.abouda@telus.com</t>
  </si>
  <si>
    <t>Lo, Mamadou</t>
  </si>
  <si>
    <t>Pandza, Vinko</t>
  </si>
  <si>
    <t>M0511</t>
  </si>
  <si>
    <t>PF3QMD9C</t>
  </si>
  <si>
    <t>1.00 - (34 - 37.5 Hours)</t>
  </si>
  <si>
    <t>Operator</t>
  </si>
  <si>
    <t>Week B (7/7)</t>
  </si>
  <si>
    <t>Mohammed</t>
  </si>
  <si>
    <t>Abouda</t>
  </si>
  <si>
    <t>Mohammed Abouda</t>
  </si>
  <si>
    <t>Pending/Required</t>
  </si>
  <si>
    <t>x</t>
  </si>
  <si>
    <t>Morning (from 05h00 - 10h30)</t>
  </si>
  <si>
    <t>No</t>
  </si>
  <si>
    <t>Mobile</t>
  </si>
  <si>
    <t>Full Time</t>
  </si>
  <si>
    <t>Item</t>
  </si>
  <si>
    <t>sites/SAM/Restricted_HUB/Lists/MEL</t>
  </si>
  <si>
    <t>Adrien, Goddard</t>
  </si>
  <si>
    <t>T955706</t>
  </si>
  <si>
    <t>Monitoring Specialist II (Senior)</t>
  </si>
  <si>
    <t>Montreal</t>
  </si>
  <si>
    <t>adrien.goddard@telus.com</t>
  </si>
  <si>
    <t>514-796-7601</t>
  </si>
  <si>
    <t>MA4G</t>
  </si>
  <si>
    <t>M0062</t>
  </si>
  <si>
    <t>L112611</t>
  </si>
  <si>
    <t>adriengoddard</t>
  </si>
  <si>
    <t>Video Monitoring;#5;#Video Verification;#4;#Question Line;#6;#Complaint Line;#7;#Data Entry Advanced;#8</t>
  </si>
  <si>
    <t>Goddard</t>
  </si>
  <si>
    <t>Adrien</t>
  </si>
  <si>
    <t>Goddard Adrien</t>
  </si>
  <si>
    <t>_</t>
  </si>
  <si>
    <t>Travaille le Samedi 05:00 - 14:00</t>
  </si>
  <si>
    <t>Yes</t>
  </si>
  <si>
    <t>Virtual</t>
  </si>
  <si>
    <t>Aidoud, Nabil</t>
  </si>
  <si>
    <t>T955715</t>
  </si>
  <si>
    <t>nabil.aidoud@telus.com</t>
  </si>
  <si>
    <t>Dhindsa, Sukhjinder</t>
  </si>
  <si>
    <t>Khara, Tanu</t>
  </si>
  <si>
    <t>819-437-1740</t>
  </si>
  <si>
    <t>ON4A</t>
  </si>
  <si>
    <t>M0064</t>
  </si>
  <si>
    <t>L112422</t>
  </si>
  <si>
    <t>naidoud</t>
  </si>
  <si>
    <t>Agent</t>
  </si>
  <si>
    <t>SmartWear;#3;#Basic Troubleshooting;#2;#Complaint Line;#7;#Question Line;#6;#Video Monitoring;#5</t>
  </si>
  <si>
    <t>Nabil</t>
  </si>
  <si>
    <t>Aidoud</t>
  </si>
  <si>
    <t>Nabil Aidoud</t>
  </si>
  <si>
    <t>Akherraz, Hajar</t>
  </si>
  <si>
    <t>T996872</t>
  </si>
  <si>
    <t>Remote Area</t>
  </si>
  <si>
    <t>French</t>
  </si>
  <si>
    <t>hajar.akharraz@telus.com</t>
  </si>
  <si>
    <t>Herrati, Houcine</t>
  </si>
  <si>
    <t>MRh1A</t>
  </si>
  <si>
    <t>M0065</t>
  </si>
  <si>
    <t>L804958</t>
  </si>
  <si>
    <t>Complaint Line;#7;#Question Line;#6;#Video Monitoring;#5</t>
  </si>
  <si>
    <t>Hajar</t>
  </si>
  <si>
    <t>Akherraz</t>
  </si>
  <si>
    <t>Hajar Akherraz</t>
  </si>
  <si>
    <t>Issued</t>
  </si>
  <si>
    <t>Night (from 18h30 - 01h00)</t>
  </si>
  <si>
    <t>Aquilario, Lester</t>
  </si>
  <si>
    <t>T988376</t>
  </si>
  <si>
    <t>Burnaby</t>
  </si>
  <si>
    <t>English</t>
  </si>
  <si>
    <t>LESTER.AQUILARIO@TELUS.COM</t>
  </si>
  <si>
    <t>M0024</t>
  </si>
  <si>
    <t>L805964</t>
  </si>
  <si>
    <t>lester</t>
  </si>
  <si>
    <t>SmartWear;#3;#Basic Troubleshooting;#2;#Question Line;#6;#Complaint Line;#7</t>
  </si>
  <si>
    <t>Lester</t>
  </si>
  <si>
    <t>Aquilario</t>
  </si>
  <si>
    <t>Lester Aquilario</t>
  </si>
  <si>
    <t>Audet, Dominic</t>
  </si>
  <si>
    <t>T996384</t>
  </si>
  <si>
    <t>dominic.audet@telus.com</t>
  </si>
  <si>
    <t>Diegue, Kerry</t>
  </si>
  <si>
    <t>M0068</t>
  </si>
  <si>
    <t>L111318</t>
  </si>
  <si>
    <t>Basic Troubleshooting;#2;#Complaint Line;#7;#Question Line;#6;#Video Monitoring;#5;#Video Verification;#4;#Video Monitoring Arpel only;#10</t>
  </si>
  <si>
    <t>Dominic</t>
  </si>
  <si>
    <t>Audet</t>
  </si>
  <si>
    <t>Sylvain Audet appelé 2x de suite (Père)</t>
  </si>
  <si>
    <t>438-931-5390</t>
  </si>
  <si>
    <t>Dominic Audet</t>
  </si>
  <si>
    <t>Evening (from 10h45 - 17h00)</t>
  </si>
  <si>
    <t>Auger, Adrien</t>
  </si>
  <si>
    <t>T973054</t>
  </si>
  <si>
    <t>Victoria</t>
  </si>
  <si>
    <t>adrien.auger@telus.com</t>
  </si>
  <si>
    <t>Rwano, Guy Fremin</t>
  </si>
  <si>
    <t>MIA1A</t>
  </si>
  <si>
    <t>M0069</t>
  </si>
  <si>
    <t>L805746</t>
  </si>
  <si>
    <t>t973054</t>
  </si>
  <si>
    <t>ADRIENA</t>
  </si>
  <si>
    <t>SmartWear;#3;#Question Line;#6;#Complaint Line;#7;#Basic Troubleshooting;#2;#Data Entry Advanced;#8;#Video Monitoring;#5;#Video Verification;#4</t>
  </si>
  <si>
    <t>Week A (7/7)</t>
  </si>
  <si>
    <t>Auger</t>
  </si>
  <si>
    <t>Adrien Auger</t>
  </si>
  <si>
    <t>Austin, Stephanie</t>
  </si>
  <si>
    <t>T983229</t>
  </si>
  <si>
    <t>Long Term Disability</t>
  </si>
  <si>
    <t>Bilingual-English</t>
  </si>
  <si>
    <t>stephanie.austin@telus.com</t>
  </si>
  <si>
    <t>Coghiel, Caren</t>
  </si>
  <si>
    <t>MMS1A</t>
  </si>
  <si>
    <t>M0070</t>
  </si>
  <si>
    <t>L116750</t>
  </si>
  <si>
    <t>t983229</t>
  </si>
  <si>
    <t>Stephanie</t>
  </si>
  <si>
    <t>Austin</t>
  </si>
  <si>
    <t>Stephanie Austin</t>
  </si>
  <si>
    <t>Agent work with Atlantic time zone (+1 hour from EST)</t>
  </si>
  <si>
    <t>Baisi , Jean-Gabriel</t>
  </si>
  <si>
    <t>T773726</t>
  </si>
  <si>
    <t>john.baisi@telus.com</t>
  </si>
  <si>
    <t>M0516</t>
  </si>
  <si>
    <t>PF3PX117</t>
  </si>
  <si>
    <t>Jean-Gabriel</t>
  </si>
  <si>
    <t>Baisi</t>
  </si>
  <si>
    <t>Jean-Gabriel Baisi</t>
  </si>
  <si>
    <t>Beaulieu, Angelyk</t>
  </si>
  <si>
    <t>T956508</t>
  </si>
  <si>
    <t>Maternity/Paternity Leave</t>
  </si>
  <si>
    <t>angelyk.beaulieu@telus.com</t>
  </si>
  <si>
    <t>MA0B</t>
  </si>
  <si>
    <t>M0072</t>
  </si>
  <si>
    <t>L112640</t>
  </si>
  <si>
    <t>angelykbeaulieu</t>
  </si>
  <si>
    <t>Basic Troubleshooting;#2;#Complaint Line;#7;#Question Line;#6;#Video Monitoring;#5</t>
  </si>
  <si>
    <t>Angelyk</t>
  </si>
  <si>
    <t>Beaulieu</t>
  </si>
  <si>
    <t>Angelyk Beaulieu</t>
  </si>
  <si>
    <t>Bercier, France</t>
  </si>
  <si>
    <t>T956514</t>
  </si>
  <si>
    <t>france.bercier@telus.com</t>
  </si>
  <si>
    <t>819-968-1181</t>
  </si>
  <si>
    <t>OF1B</t>
  </si>
  <si>
    <t>M0075</t>
  </si>
  <si>
    <t>L112632</t>
  </si>
  <si>
    <t>fbercier</t>
  </si>
  <si>
    <t>Complaint Line;#7;#Question Line;#6;#SME;#11;#SmartWear;#3;#Video Monitoring;#5;#Video Verification;#4</t>
  </si>
  <si>
    <t>France</t>
  </si>
  <si>
    <t>Bercier</t>
  </si>
  <si>
    <t>France Bercier</t>
  </si>
  <si>
    <t>Bindhu Harikrishnan</t>
  </si>
  <si>
    <t>T6001665</t>
  </si>
  <si>
    <t>Monitoring Specialist I (Junior)</t>
  </si>
  <si>
    <t>Calgary</t>
  </si>
  <si>
    <t>Trainee</t>
  </si>
  <si>
    <t>bindhu.harikrishnan@telus.com</t>
  </si>
  <si>
    <t>SD00RVYH</t>
  </si>
  <si>
    <t>Specialist - Hourly</t>
  </si>
  <si>
    <t>Bindhu</t>
  </si>
  <si>
    <t>Harikrishnan</t>
  </si>
  <si>
    <t>Bonnet, Cassandra</t>
  </si>
  <si>
    <t>T956369</t>
  </si>
  <si>
    <t>cassandra.bonnet@telus.com</t>
  </si>
  <si>
    <t>Kollias, Peter</t>
  </si>
  <si>
    <t>514-568-5992</t>
  </si>
  <si>
    <t>MC3B</t>
  </si>
  <si>
    <t>M0078</t>
  </si>
  <si>
    <t>L112597</t>
  </si>
  <si>
    <t>cbonnet</t>
  </si>
  <si>
    <t>Complaint Line;#7;#Data Entry Advanced;#8;#Question Line;#6;#SmartWear;#3;#Basic Troubleshooting;#2;#Video Monitoring;#5;#Video Verification;#4</t>
  </si>
  <si>
    <t>Cassandra</t>
  </si>
  <si>
    <t>Bonnet</t>
  </si>
  <si>
    <t>Cassandra Bonnet</t>
  </si>
  <si>
    <t>Borromeo, Ronadell</t>
  </si>
  <si>
    <t>T956358</t>
  </si>
  <si>
    <t>Short Term Disability</t>
  </si>
  <si>
    <t>ronadell.borromeo@telus.com</t>
  </si>
  <si>
    <t>514-576-6788</t>
  </si>
  <si>
    <t>MR2B</t>
  </si>
  <si>
    <t>M0080</t>
  </si>
  <si>
    <t>L112660</t>
  </si>
  <si>
    <t>Ronadell</t>
  </si>
  <si>
    <t>Borromeo</t>
  </si>
  <si>
    <t>Alexandre Aubin - Giroux (conjoint)</t>
  </si>
  <si>
    <t>514-622-3627</t>
  </si>
  <si>
    <t>Ronadell Borromeo</t>
  </si>
  <si>
    <t>Brooks, Laura</t>
  </si>
  <si>
    <t>T956364</t>
  </si>
  <si>
    <t>laura.brooks@telus.com</t>
  </si>
  <si>
    <t>CL4B</t>
  </si>
  <si>
    <t>M0082</t>
  </si>
  <si>
    <t>L111968</t>
  </si>
  <si>
    <t>laurabrooks</t>
  </si>
  <si>
    <t>Complaint Line;#7;#Question Line;#6;#SmartWear;#3;#Video Monitoring;#5;#SME;#11;#Basic Troubleshooting;#2</t>
  </si>
  <si>
    <t>Laura</t>
  </si>
  <si>
    <t>Brooks</t>
  </si>
  <si>
    <t>Isabelle Chayer</t>
  </si>
  <si>
    <t>587-832-1969</t>
  </si>
  <si>
    <t>Friend</t>
  </si>
  <si>
    <t>Rebecca Hebert</t>
  </si>
  <si>
    <t>403-619-1541</t>
  </si>
  <si>
    <t>Laura Brooks</t>
  </si>
  <si>
    <t>Calanza, Stevenson</t>
  </si>
  <si>
    <t>T955759</t>
  </si>
  <si>
    <t>stevenson.calanza@telus.com</t>
  </si>
  <si>
    <t>Gillingham, Shelley</t>
  </si>
  <si>
    <t>403-620-2505</t>
  </si>
  <si>
    <t>CS8C</t>
  </si>
  <si>
    <t>M0086</t>
  </si>
  <si>
    <t>L111815</t>
  </si>
  <si>
    <t>scalanza</t>
  </si>
  <si>
    <t>Basic Troubleshooting;#2</t>
  </si>
  <si>
    <t>Stevenson</t>
  </si>
  <si>
    <t>Calanza</t>
  </si>
  <si>
    <t>Stevenson Calanza</t>
  </si>
  <si>
    <t>Carl-Luigi Pierre</t>
  </si>
  <si>
    <t>T6001661</t>
  </si>
  <si>
    <t>lugi.pierre@telus.com</t>
  </si>
  <si>
    <t>SD00S5EW</t>
  </si>
  <si>
    <t>Carl-Luigi</t>
  </si>
  <si>
    <t>Pierre</t>
  </si>
  <si>
    <t>In office</t>
  </si>
  <si>
    <t>Carvajal-Yiptong, Diego Armando</t>
  </si>
  <si>
    <t>T955811</t>
  </si>
  <si>
    <t>diego.carvajalyiptong@telus.com</t>
  </si>
  <si>
    <t>438-828-1019</t>
  </si>
  <si>
    <t>MD2C</t>
  </si>
  <si>
    <t>M0087</t>
  </si>
  <si>
    <t>L112509 (</t>
  </si>
  <si>
    <t>diegocarvajalyipto</t>
  </si>
  <si>
    <t>SmartWear;#3;#Basic Troubleshooting;#2;#Complaint Line;#7;#Question Line;#6;#Data Entry Advanced;#8;#Video Monitoring;#5</t>
  </si>
  <si>
    <t>Diego Armando</t>
  </si>
  <si>
    <t>Carvajal-Yiptong</t>
  </si>
  <si>
    <t>Diego Armando Carvajal-Yiptong</t>
  </si>
  <si>
    <t>Cerdas Calvo, Deyanira</t>
  </si>
  <si>
    <t>T956355</t>
  </si>
  <si>
    <t>deyanira.cerdascalvo@telus.com</t>
  </si>
  <si>
    <t>506-271-7858</t>
  </si>
  <si>
    <t>CD4C</t>
  </si>
  <si>
    <t>M0088</t>
  </si>
  <si>
    <t>L111647</t>
  </si>
  <si>
    <t>dcerdascalvo</t>
  </si>
  <si>
    <t>SmartWear;#3</t>
  </si>
  <si>
    <t>Deyanira</t>
  </si>
  <si>
    <t>Cerdas Calvo</t>
  </si>
  <si>
    <t>Deyanira Cerdas Calvo</t>
  </si>
  <si>
    <t>Chan, Chinda</t>
  </si>
  <si>
    <t>T766860</t>
  </si>
  <si>
    <t>Chinda.Chan@telus.com</t>
  </si>
  <si>
    <t>M0397</t>
  </si>
  <si>
    <t>L705320</t>
  </si>
  <si>
    <t>Chinda</t>
  </si>
  <si>
    <t>Chan</t>
  </si>
  <si>
    <t>TBD</t>
  </si>
  <si>
    <t>Chinda Chan</t>
  </si>
  <si>
    <t>Chénard, William</t>
  </si>
  <si>
    <t>T995563</t>
  </si>
  <si>
    <t>william.chenard@telus.com</t>
  </si>
  <si>
    <t>MMW1C</t>
  </si>
  <si>
    <t>M0090</t>
  </si>
  <si>
    <t>L111293</t>
  </si>
  <si>
    <t>William</t>
  </si>
  <si>
    <t>Chénard</t>
  </si>
  <si>
    <t>William Chénard</t>
  </si>
  <si>
    <t>New</t>
  </si>
  <si>
    <t>Chibane, Hakim</t>
  </si>
  <si>
    <t>T992448</t>
  </si>
  <si>
    <t>hakim.chibane@telus.com</t>
  </si>
  <si>
    <t>MRH1C</t>
  </si>
  <si>
    <t>M0091</t>
  </si>
  <si>
    <t>L704858</t>
  </si>
  <si>
    <t>Basic Troubleshooting;#2;#Question Line;#6;#Complaint Line;#7;#Video Monitoring;#5;#Video Verification;#4;#SME;#11</t>
  </si>
  <si>
    <t>Hakim</t>
  </si>
  <si>
    <t>Chibane</t>
  </si>
  <si>
    <t>SI YOUCEF NACERA</t>
  </si>
  <si>
    <t>Hakim Chibane</t>
  </si>
  <si>
    <t>Christian Langcuyan</t>
  </si>
  <si>
    <t>T6001712</t>
  </si>
  <si>
    <t>christian.langcuyan@telus.com</t>
  </si>
  <si>
    <t>SD00RRW2</t>
  </si>
  <si>
    <t>Christian</t>
  </si>
  <si>
    <t>Langcuyan</t>
  </si>
  <si>
    <t>Cobrana, Mechille</t>
  </si>
  <si>
    <t>T6001471</t>
  </si>
  <si>
    <t>mechille.cobrana@telus.com</t>
  </si>
  <si>
    <t>M0535</t>
  </si>
  <si>
    <t>SD00JKVD</t>
  </si>
  <si>
    <t>Mechille</t>
  </si>
  <si>
    <t>Cobrana</t>
  </si>
  <si>
    <t>Mechille Cobrana</t>
  </si>
  <si>
    <t>Constant, Francesca</t>
  </si>
  <si>
    <t>T992326</t>
  </si>
  <si>
    <t>francesca.constant@telus.com</t>
  </si>
  <si>
    <t>MMF1C</t>
  </si>
  <si>
    <t>M0093</t>
  </si>
  <si>
    <t>L111330</t>
  </si>
  <si>
    <t>Francesca</t>
  </si>
  <si>
    <t>Constant</t>
  </si>
  <si>
    <t>Raymonde Jopseph. T</t>
  </si>
  <si>
    <t>514-348-2338</t>
  </si>
  <si>
    <t>Francesca Constant</t>
  </si>
  <si>
    <t>Daniels, Aeron</t>
  </si>
  <si>
    <t>T973078</t>
  </si>
  <si>
    <t>aeron.daniels@telus.com</t>
  </si>
  <si>
    <t>MIA1D</t>
  </si>
  <si>
    <t>M0095</t>
  </si>
  <si>
    <t>L805724</t>
  </si>
  <si>
    <t>t973078</t>
  </si>
  <si>
    <t>AERON.D</t>
  </si>
  <si>
    <t>Aeron</t>
  </si>
  <si>
    <t>Daniels</t>
  </si>
  <si>
    <t>Aeron Daniels</t>
  </si>
  <si>
    <t>Dansou, Senami</t>
  </si>
  <si>
    <t>T955704</t>
  </si>
  <si>
    <t>senami.dansou@telus.com</t>
  </si>
  <si>
    <t>819-639-5002</t>
  </si>
  <si>
    <t>OS2D</t>
  </si>
  <si>
    <t>M0096</t>
  </si>
  <si>
    <t>L112614</t>
  </si>
  <si>
    <t>0.50 - (15 - 27 Hours)</t>
  </si>
  <si>
    <t>Other / Casual</t>
  </si>
  <si>
    <t>Senami</t>
  </si>
  <si>
    <t>Dansou</t>
  </si>
  <si>
    <t>Senami Dansou</t>
  </si>
  <si>
    <t>Part Time</t>
  </si>
  <si>
    <t>Deschineau, Shelsey Ann</t>
  </si>
  <si>
    <t>T966528</t>
  </si>
  <si>
    <t>shelsey.deschineau@telus.com</t>
  </si>
  <si>
    <t>514-291-7884</t>
  </si>
  <si>
    <t>MSAD</t>
  </si>
  <si>
    <t>M0099</t>
  </si>
  <si>
    <t>New Asset L108071 Old asset L801333</t>
  </si>
  <si>
    <t>t966528</t>
  </si>
  <si>
    <t>Video Monitoring;#5;#Video Verification;#4;#Question Line;#6;#Complaint Line;#7;#Basic Troubleshooting;#2;#Video Monitoring Arpel only;#10</t>
  </si>
  <si>
    <t>Shelsey Ann</t>
  </si>
  <si>
    <t>Deschineau</t>
  </si>
  <si>
    <t>Marie-Gerline Charles</t>
  </si>
  <si>
    <t>Mother</t>
  </si>
  <si>
    <t>Shelsey Ann Deschineau</t>
  </si>
  <si>
    <t>Desjardins, Lucie</t>
  </si>
  <si>
    <t>T956365</t>
  </si>
  <si>
    <t>lucie.desjardins@telus.com</t>
  </si>
  <si>
    <t>ML1D</t>
  </si>
  <si>
    <t>M0100</t>
  </si>
  <si>
    <t>L112670</t>
  </si>
  <si>
    <t>ldesjardins</t>
  </si>
  <si>
    <t>Complaint Line;#7;#Data Entry Advanced;#8;#Question Line;#6;#SME;#11</t>
  </si>
  <si>
    <t>Lucie</t>
  </si>
  <si>
    <t>Desjardins</t>
  </si>
  <si>
    <t>Stephane Paradis</t>
  </si>
  <si>
    <t>514-249-8291</t>
  </si>
  <si>
    <t>Lucie Desjardins</t>
  </si>
  <si>
    <t>Non Standard</t>
  </si>
  <si>
    <t>Di Tullio, Donato</t>
  </si>
  <si>
    <t>T773558</t>
  </si>
  <si>
    <t>donato.ditullio@telus.com</t>
  </si>
  <si>
    <t>M0510</t>
  </si>
  <si>
    <t>PF5N9B0K</t>
  </si>
  <si>
    <t>Donato</t>
  </si>
  <si>
    <t>Di Tullio</t>
  </si>
  <si>
    <t>Donato Di Tullio</t>
  </si>
  <si>
    <t>Dieu-Juste, Erica</t>
  </si>
  <si>
    <t>T956374</t>
  </si>
  <si>
    <t>erica.dieu-juste@telus.com</t>
  </si>
  <si>
    <t>514-677-8790</t>
  </si>
  <si>
    <t>ME1D</t>
  </si>
  <si>
    <t>M0102</t>
  </si>
  <si>
    <t>L112585</t>
  </si>
  <si>
    <t>edieujuste</t>
  </si>
  <si>
    <t>Complaint Line;#7;#Question Line;#6;#Video Monitoring;#5;#Video Verification;#4</t>
  </si>
  <si>
    <t>Erica</t>
  </si>
  <si>
    <t>Dieu-Juste</t>
  </si>
  <si>
    <t>Erica Dieu-Juste</t>
  </si>
  <si>
    <t>Doiron, Rejeanne</t>
  </si>
  <si>
    <t>T960871</t>
  </si>
  <si>
    <t>rejeanne.doiron@telus.com</t>
  </si>
  <si>
    <t>613-608-4223</t>
  </si>
  <si>
    <t>OR2D</t>
  </si>
  <si>
    <t>M0104</t>
  </si>
  <si>
    <t>L112067</t>
  </si>
  <si>
    <t>rejeannedoiron</t>
  </si>
  <si>
    <t>Video Monitoring;#5;#Video Verification;#4;#Basic Troubleshooting;#2;#SmartWear;#3;#Complaint Line;#7;#Question Line;#6</t>
  </si>
  <si>
    <t>Rejeanne</t>
  </si>
  <si>
    <t>Doiron</t>
  </si>
  <si>
    <t>Rejeanne Doiron</t>
  </si>
  <si>
    <t>Dominique, Junia</t>
  </si>
  <si>
    <t>T956225</t>
  </si>
  <si>
    <t>junia.dominique@telus.com</t>
  </si>
  <si>
    <t>438-503-0886</t>
  </si>
  <si>
    <t>MJ3D</t>
  </si>
  <si>
    <t>M0025</t>
  </si>
  <si>
    <t>L112633</t>
  </si>
  <si>
    <t>jdominique</t>
  </si>
  <si>
    <t>juniad</t>
  </si>
  <si>
    <t>JDO</t>
  </si>
  <si>
    <t>Complaint Line;#7;#Data Entry Advanced;#8;#Question Line;#6;#Backup MRC;#1;#Video Monitoring;#5;#Video Verification;#4;#Basic Troubleshooting;#2;#SmartWear;#3;#Video Monitoring Arpel only;#10</t>
  </si>
  <si>
    <t>Junia</t>
  </si>
  <si>
    <t>Dominique</t>
  </si>
  <si>
    <t>Kaymisha</t>
  </si>
  <si>
    <t>Fille</t>
  </si>
  <si>
    <t>Junia Dominique</t>
  </si>
  <si>
    <t>Sunday 6:00 - 14:00</t>
  </si>
  <si>
    <t>Drame, Abdoulaye</t>
  </si>
  <si>
    <t>T773665</t>
  </si>
  <si>
    <t>abdoulaye.drame@telus.com</t>
  </si>
  <si>
    <t>M0514</t>
  </si>
  <si>
    <t>PF5N9B2R</t>
  </si>
  <si>
    <t>Abdoulaye</t>
  </si>
  <si>
    <t>Drame</t>
  </si>
  <si>
    <t>Abdoulaye Drame</t>
  </si>
  <si>
    <t>Dupuis, Joanie</t>
  </si>
  <si>
    <t>T956521</t>
  </si>
  <si>
    <t>joanie.dupuis@telus.com</t>
  </si>
  <si>
    <t>514-568-8331</t>
  </si>
  <si>
    <t>MJ6D</t>
  </si>
  <si>
    <t>M0107</t>
  </si>
  <si>
    <t>L112629</t>
  </si>
  <si>
    <t>jdupuis</t>
  </si>
  <si>
    <t>Video Monitoring;#5;#Video Verification;#4;#Complaint Line;#7;#Question Line;#6;#SmartWear;#3;#Video Monitoring Arpel only;#10;#Basic Troubleshooting;#2</t>
  </si>
  <si>
    <t>Joanie</t>
  </si>
  <si>
    <t>Dupuis</t>
  </si>
  <si>
    <t>Nancy</t>
  </si>
  <si>
    <t>514-802-8950</t>
  </si>
  <si>
    <t>Serge</t>
  </si>
  <si>
    <t>514-568-8977</t>
  </si>
  <si>
    <t>Dad</t>
  </si>
  <si>
    <t>Joanie Dupuis</t>
  </si>
  <si>
    <t>part time schedule</t>
  </si>
  <si>
    <t>El Hafsi, Hamza</t>
  </si>
  <si>
    <t>T996928</t>
  </si>
  <si>
    <t>hamza.eihafsi@telus.com</t>
  </si>
  <si>
    <t>M0109</t>
  </si>
  <si>
    <t>L801251</t>
  </si>
  <si>
    <t>Hamza</t>
  </si>
  <si>
    <t>El Hafsi</t>
  </si>
  <si>
    <t>Rania</t>
  </si>
  <si>
    <t>438-951-0746</t>
  </si>
  <si>
    <t>Wife</t>
  </si>
  <si>
    <t>Hamza El Hafsi</t>
  </si>
  <si>
    <t>Fakhfakh, Souleymen</t>
  </si>
  <si>
    <t>T995918</t>
  </si>
  <si>
    <t>souleymen.fakhfakh1@telus.com</t>
  </si>
  <si>
    <t>MRS1F</t>
  </si>
  <si>
    <t>M0111</t>
  </si>
  <si>
    <t>L802309</t>
  </si>
  <si>
    <t>Basic Troubleshooting;#2;#Complaint Line;#7;#Question Line;#6;#Video Monitoring;#5;#Video Monitoring Arpel only;#10;#Video Verification;#4</t>
  </si>
  <si>
    <t>Souleymen</t>
  </si>
  <si>
    <t>Fakhfakh</t>
  </si>
  <si>
    <t>Faten Bouassida</t>
  </si>
  <si>
    <t>506-380-0655</t>
  </si>
  <si>
    <t>Souleymen Fakhfakh</t>
  </si>
  <si>
    <t>Flanagan-Fortin, Shawn</t>
  </si>
  <si>
    <t>T967974</t>
  </si>
  <si>
    <t>Vancouver</t>
  </si>
  <si>
    <t>shawn.flanagan-fortin@telus.com</t>
  </si>
  <si>
    <t>MVS1F</t>
  </si>
  <si>
    <t>M0113</t>
  </si>
  <si>
    <t>L707513 (New) L806432(Old)</t>
  </si>
  <si>
    <t>t967974</t>
  </si>
  <si>
    <t>sflanang</t>
  </si>
  <si>
    <t>Backup MRC;#1;#Complaint Line;#7;#Question Line;#6;#SmartWear;#3;#Video Monitoring;#5;#Video Verification;#4</t>
  </si>
  <si>
    <t>Shawn</t>
  </si>
  <si>
    <t>Flanagan-Fortin</t>
  </si>
  <si>
    <t>Carol-Ann Flanagan</t>
  </si>
  <si>
    <t>mom</t>
  </si>
  <si>
    <t>Shawn Flanagan-Fortin</t>
  </si>
  <si>
    <t>Gabriel, Gamelyn</t>
  </si>
  <si>
    <t>T955761</t>
  </si>
  <si>
    <t>gamelyn.gabriel@telus.com</t>
  </si>
  <si>
    <t>MG2G</t>
  </si>
  <si>
    <t>M0115</t>
  </si>
  <si>
    <t>L112361</t>
  </si>
  <si>
    <t>gamelyngabriel</t>
  </si>
  <si>
    <t>Complaint Line;#7;#Data Entry Advanced;#8;#Question Line;#6;#Video Monitoring;#5;#Video Verification;#4;#Basic Troubleshooting;#2;#SmartWear;#3</t>
  </si>
  <si>
    <t>Gamelyn</t>
  </si>
  <si>
    <t>Gabriel</t>
  </si>
  <si>
    <t>Ketly (conjointe)</t>
  </si>
  <si>
    <t>514-702-9884</t>
  </si>
  <si>
    <t>Gamelyn Gabriel</t>
  </si>
  <si>
    <t>Gagnon, Nancy</t>
  </si>
  <si>
    <t>T966280</t>
  </si>
  <si>
    <t>nancy.gagnon1@telus.com</t>
  </si>
  <si>
    <t>613-600-2040</t>
  </si>
  <si>
    <t>ON3G</t>
  </si>
  <si>
    <t>M0116</t>
  </si>
  <si>
    <t>L111266</t>
  </si>
  <si>
    <t>t966280</t>
  </si>
  <si>
    <t>ngagnon</t>
  </si>
  <si>
    <t>Video Monitoring;#5;#Video Verification;#4;#Backup MRC;#1;#SmartWear;#3;#Complaint Line;#7;#Question Line;#6</t>
  </si>
  <si>
    <t>Gagnon</t>
  </si>
  <si>
    <t>Nancy Gagnon</t>
  </si>
  <si>
    <t>Not Required</t>
  </si>
  <si>
    <t>Gil Cervino, Henrique Alexandre</t>
  </si>
  <si>
    <t>T960919</t>
  </si>
  <si>
    <t>henrique.gilcervino@telus.com</t>
  </si>
  <si>
    <t>438-506-6793</t>
  </si>
  <si>
    <t>MH1G</t>
  </si>
  <si>
    <t>M0120</t>
  </si>
  <si>
    <t>L112498</t>
  </si>
  <si>
    <t>henriquegilcervino</t>
  </si>
  <si>
    <t>SmartWear;#3;#Complaint Line;#7;#Question Line;#6;#Video Monitoring;#5;#Video Verification;#4;#Basic Troubleshooting;#2;#Data Entry Advanced;#8</t>
  </si>
  <si>
    <t>Henrique Alexandre</t>
  </si>
  <si>
    <t>Gil Cervino</t>
  </si>
  <si>
    <t>Henrique Alexandre Gil Cervino</t>
  </si>
  <si>
    <t>Ginete, Maricel</t>
  </si>
  <si>
    <t>T6001432</t>
  </si>
  <si>
    <t>maricel.ginete@telus.com</t>
  </si>
  <si>
    <t>M0538</t>
  </si>
  <si>
    <t>5CG2164J6X</t>
  </si>
  <si>
    <t>Maricel</t>
  </si>
  <si>
    <t>Ginete</t>
  </si>
  <si>
    <t>Maricel Ginete</t>
  </si>
  <si>
    <t>Guzman, Alexandre</t>
  </si>
  <si>
    <t>T773718</t>
  </si>
  <si>
    <t>alex.guzman@telus.com</t>
  </si>
  <si>
    <t>M0515</t>
  </si>
  <si>
    <t>PF3ZEL27</t>
  </si>
  <si>
    <t>Alexandre</t>
  </si>
  <si>
    <t>Guzman</t>
  </si>
  <si>
    <t>Alexandre Guzman</t>
  </si>
  <si>
    <t>Herbst, Emily</t>
  </si>
  <si>
    <t>T956515</t>
  </si>
  <si>
    <t>emily.herbst@telus.com</t>
  </si>
  <si>
    <t>613-798-3557</t>
  </si>
  <si>
    <t>OE1H</t>
  </si>
  <si>
    <t>M0128</t>
  </si>
  <si>
    <t>L101047</t>
  </si>
  <si>
    <t>eherbst</t>
  </si>
  <si>
    <t>EHE</t>
  </si>
  <si>
    <t>Backup MRC;#1;#Complaint Line;#7;#Question Line;#6;#SmartWear;#3</t>
  </si>
  <si>
    <t>Emily</t>
  </si>
  <si>
    <t>Herbst</t>
  </si>
  <si>
    <t>Claire Herbst</t>
  </si>
  <si>
    <t>613-292-1669</t>
  </si>
  <si>
    <t>Emily Herbst</t>
  </si>
  <si>
    <t>Hirst-Smith, Courtnay</t>
  </si>
  <si>
    <t>T980256</t>
  </si>
  <si>
    <t>Prince George</t>
  </si>
  <si>
    <t>courtnay.hirst-smith@telus.com</t>
  </si>
  <si>
    <t>PC1H</t>
  </si>
  <si>
    <t>M0129</t>
  </si>
  <si>
    <t>L805633</t>
  </si>
  <si>
    <t>t980256</t>
  </si>
  <si>
    <t>Complaint Line;#7;#Question Line;#6;#SmartWear;#3;#SME;#11;#Video Monitoring;#5</t>
  </si>
  <si>
    <t>Courtnay</t>
  </si>
  <si>
    <t>Hirst-Smith</t>
  </si>
  <si>
    <t>Allison Hirst</t>
  </si>
  <si>
    <t>Courtnay Hirst-Smith</t>
  </si>
  <si>
    <t>Hirwa, Jules Adam</t>
  </si>
  <si>
    <t>T955723</t>
  </si>
  <si>
    <t>jules.hirwa@telus.com</t>
  </si>
  <si>
    <t>613-668-3420</t>
  </si>
  <si>
    <t>OJ1H</t>
  </si>
  <si>
    <t>M0130</t>
  </si>
  <si>
    <t>L802899</t>
  </si>
  <si>
    <t>jhirwa</t>
  </si>
  <si>
    <t>Complaint Line;#7;#Question Line;#6;#Video Monitoring;#5;#Video Verification;#4;#SmartWear;#3</t>
  </si>
  <si>
    <t>Jules Adam</t>
  </si>
  <si>
    <t>Hirwa</t>
  </si>
  <si>
    <t>Jules Adam Hirwa</t>
  </si>
  <si>
    <t>Ho, Hong (Destiny)</t>
  </si>
  <si>
    <t>T956362</t>
  </si>
  <si>
    <t>hong.ho@telus.com</t>
  </si>
  <si>
    <t>587-229-0990</t>
  </si>
  <si>
    <t>CD6H</t>
  </si>
  <si>
    <t>M0131</t>
  </si>
  <si>
    <t>L116369</t>
  </si>
  <si>
    <t>Hong (Destiny)</t>
  </si>
  <si>
    <t>Ho</t>
  </si>
  <si>
    <t>Hong (Destiny) Ho</t>
  </si>
  <si>
    <t>Ininahazwe, Sabrina Amanda</t>
  </si>
  <si>
    <t>T956381</t>
  </si>
  <si>
    <t>sabrina.ininahazwe@telus.com</t>
  </si>
  <si>
    <t>819-319-8520</t>
  </si>
  <si>
    <t>M0133</t>
  </si>
  <si>
    <t>L803039</t>
  </si>
  <si>
    <t>sininahazwe</t>
  </si>
  <si>
    <t>sininaha</t>
  </si>
  <si>
    <t>SIN</t>
  </si>
  <si>
    <t>Backup MRC;#1;#Complaint Line;#7;#Question Line;#6;#SmartWear;#3;#Video Monitoring;#5;#Video Verification;#4;#Video Monitoring Arpel only;#10;#Basic Troubleshooting;#2</t>
  </si>
  <si>
    <t>Sabrina Amanda</t>
  </si>
  <si>
    <t>Ininahazwe</t>
  </si>
  <si>
    <t>Kelly Donge</t>
  </si>
  <si>
    <t>613-462-4865</t>
  </si>
  <si>
    <t>Becky Ingwinza</t>
  </si>
  <si>
    <t>613-462-4854</t>
  </si>
  <si>
    <t>cousin</t>
  </si>
  <si>
    <t>Sabrina Amanda Ininahazwe</t>
  </si>
  <si>
    <t>Inosimeh Barisua</t>
  </si>
  <si>
    <t>T6001663</t>
  </si>
  <si>
    <t>inosimeh.barisua@telus.com</t>
  </si>
  <si>
    <t>SD00RRRS</t>
  </si>
  <si>
    <t>Inosimeh</t>
  </si>
  <si>
    <t>Barisua</t>
  </si>
  <si>
    <t>431-556-1670</t>
  </si>
  <si>
    <t>Jaén-Benitez, Roberto-David</t>
  </si>
  <si>
    <t>T955709</t>
  </si>
  <si>
    <t>roberto.jaenbenitez@telus.com</t>
  </si>
  <si>
    <t>514-907-6999</t>
  </si>
  <si>
    <t>MR2J</t>
  </si>
  <si>
    <t>M0135</t>
  </si>
  <si>
    <t>L112620</t>
  </si>
  <si>
    <t>rjaenbenitez</t>
  </si>
  <si>
    <t>robertoj</t>
  </si>
  <si>
    <t>RJB</t>
  </si>
  <si>
    <t>Basic Troubleshooting;#2;#Video Monitoring;#5;#Question Line;#6;#Complaint Line;#7;#SmartWear;#3;#Backup MRC;#1</t>
  </si>
  <si>
    <t>Roberto-David</t>
  </si>
  <si>
    <t>Jaén-Benitez</t>
  </si>
  <si>
    <t>Roberto-David Jaén-Benitez</t>
  </si>
  <si>
    <t>Joakeem Séjour</t>
  </si>
  <si>
    <t>T6001710</t>
  </si>
  <si>
    <t>joakeem.sejour@telus.com</t>
  </si>
  <si>
    <t>SD00S3V8</t>
  </si>
  <si>
    <t>Joakeem</t>
  </si>
  <si>
    <t>Séjour</t>
  </si>
  <si>
    <t>Jone Elmido</t>
  </si>
  <si>
    <t>T6001708</t>
  </si>
  <si>
    <t>jone.elmido@telus.com</t>
  </si>
  <si>
    <t>Jone</t>
  </si>
  <si>
    <t>Elmido</t>
  </si>
  <si>
    <t>Joseph, Whilston</t>
  </si>
  <si>
    <t>T955836</t>
  </si>
  <si>
    <t>whilston.joseph@telus.com</t>
  </si>
  <si>
    <t>514-462-2911</t>
  </si>
  <si>
    <t>MW1J</t>
  </si>
  <si>
    <t>M0060</t>
  </si>
  <si>
    <t>L112594</t>
  </si>
  <si>
    <t>whilstonjoseph</t>
  </si>
  <si>
    <t>wjoseph</t>
  </si>
  <si>
    <t>Backup MRC;#1;#Complaint Line;#7;#Question Line;#6;#Video Monitoring;#5;#Video Verification;#4</t>
  </si>
  <si>
    <t>Whilston</t>
  </si>
  <si>
    <t>Joseph</t>
  </si>
  <si>
    <t>Whilston Joseph</t>
  </si>
  <si>
    <t>Kaur Brar, Dilpreet</t>
  </si>
  <si>
    <t>T6001437</t>
  </si>
  <si>
    <t>dilpreet.brar1@telus.com</t>
  </si>
  <si>
    <t>M0539</t>
  </si>
  <si>
    <t>5CG1461XM4</t>
  </si>
  <si>
    <t>Dilpreet</t>
  </si>
  <si>
    <t>Kaur Brar</t>
  </si>
  <si>
    <t>Dilpreet Kaur Brar</t>
  </si>
  <si>
    <t>Kaur Mann, Talwinder</t>
  </si>
  <si>
    <t>T990270</t>
  </si>
  <si>
    <t>Talwinder.mann@telus.com</t>
  </si>
  <si>
    <t>MMT1M</t>
  </si>
  <si>
    <t>M0141</t>
  </si>
  <si>
    <t>L110992</t>
  </si>
  <si>
    <t>Talwinder</t>
  </si>
  <si>
    <t>Kaur Mann</t>
  </si>
  <si>
    <t>Amandip Mann</t>
  </si>
  <si>
    <t>Talwinder Kaur Mann</t>
  </si>
  <si>
    <t>Kaur, Manpreet</t>
  </si>
  <si>
    <t>T998052</t>
  </si>
  <si>
    <t>manpreet.kaur10@telus.com</t>
  </si>
  <si>
    <t>M0142</t>
  </si>
  <si>
    <t>L808402</t>
  </si>
  <si>
    <t>Manpreet</t>
  </si>
  <si>
    <t>Kaur</t>
  </si>
  <si>
    <t>Manpreet Kaur</t>
  </si>
  <si>
    <t>Kenol, Sheilla</t>
  </si>
  <si>
    <t>T956486</t>
  </si>
  <si>
    <t>sheilla.kenol@telus.com</t>
  </si>
  <si>
    <t>514-217-2686</t>
  </si>
  <si>
    <t>MS3K</t>
  </si>
  <si>
    <t>M0143</t>
  </si>
  <si>
    <t>PF5K20H6</t>
  </si>
  <si>
    <t>sheilakenol</t>
  </si>
  <si>
    <t>Video Monitoring;#5;#Complaint Line;#7;#Question Line;#6;#Basic Troubleshooting;#2;#SmartWear;#3</t>
  </si>
  <si>
    <t>Sheilla</t>
  </si>
  <si>
    <t>Kenol</t>
  </si>
  <si>
    <t>Sheilla Kenol</t>
  </si>
  <si>
    <t>Khattabi, Mohammed Najib</t>
  </si>
  <si>
    <t>T997309</t>
  </si>
  <si>
    <t>najib.khattabi@telus.com</t>
  </si>
  <si>
    <t>M0145</t>
  </si>
  <si>
    <t>L114078</t>
  </si>
  <si>
    <t>Question Line;#6;#Complaint Line;#7;#Video Monitoring;#5</t>
  </si>
  <si>
    <t>Mohammed Najib</t>
  </si>
  <si>
    <t>Khattabi</t>
  </si>
  <si>
    <t>Amal Tayache (Conjointe)</t>
  </si>
  <si>
    <t>506-889-8389</t>
  </si>
  <si>
    <t>Mohammed Najib Khattabi</t>
  </si>
  <si>
    <t>Labbé-Géolier , Simon Olivier</t>
  </si>
  <si>
    <t>T990146</t>
  </si>
  <si>
    <t>simon.labbegeolier@telus.com</t>
  </si>
  <si>
    <t>MMS2L</t>
  </si>
  <si>
    <t>M0148</t>
  </si>
  <si>
    <t>L707653</t>
  </si>
  <si>
    <t>Simon Olivier</t>
  </si>
  <si>
    <t>Labbé-Géolier</t>
  </si>
  <si>
    <t>Nadine Labbe</t>
  </si>
  <si>
    <t>Simon Olivier Labbé-Géolier</t>
  </si>
  <si>
    <t>Lacombe Larimore, Ian</t>
  </si>
  <si>
    <t>T955763</t>
  </si>
  <si>
    <t>ian.lacombelarimore@telus.com</t>
  </si>
  <si>
    <t>438-521-9694</t>
  </si>
  <si>
    <t>MI1L</t>
  </si>
  <si>
    <t>M0150</t>
  </si>
  <si>
    <t>L112381</t>
  </si>
  <si>
    <t>ilacombelarimore</t>
  </si>
  <si>
    <t>Complaint Line;#7;#Data Entry Advanced;#8;#Question Line;#6;#Video Monitoring;#5;#Video Verification;#4</t>
  </si>
  <si>
    <t>Ian</t>
  </si>
  <si>
    <t>Lacombe Larimore</t>
  </si>
  <si>
    <t>Ian Lacombe Larimore</t>
  </si>
  <si>
    <t>Lakhal, Oussama</t>
  </si>
  <si>
    <t>T992414</t>
  </si>
  <si>
    <t>oussama.lahkal@telus.com</t>
  </si>
  <si>
    <t>MRO1L</t>
  </si>
  <si>
    <t>M0151</t>
  </si>
  <si>
    <t>L104121</t>
  </si>
  <si>
    <t>Question Line;#6</t>
  </si>
  <si>
    <t>Oussama</t>
  </si>
  <si>
    <t>Lakhal</t>
  </si>
  <si>
    <t>Sara Sassi</t>
  </si>
  <si>
    <t>Oussama Lakhal</t>
  </si>
  <si>
    <t>Landry, Josianne</t>
  </si>
  <si>
    <t>T956513</t>
  </si>
  <si>
    <t>josianne.landry@telus.com</t>
  </si>
  <si>
    <t>514-233-1790</t>
  </si>
  <si>
    <t>450-824-9411</t>
  </si>
  <si>
    <t>MJ2L</t>
  </si>
  <si>
    <t>M0155</t>
  </si>
  <si>
    <t>L110690</t>
  </si>
  <si>
    <t>josiannelandry</t>
  </si>
  <si>
    <t>Complaint Line;#7;#Data Entry Advanced;#8;#Question Line;#6;#SME;#11;#Video Monitoring;#5;#Video Verification;#4</t>
  </si>
  <si>
    <t>0.75 - (28 - 33 Hours)</t>
  </si>
  <si>
    <t>Josianne</t>
  </si>
  <si>
    <t>Landry</t>
  </si>
  <si>
    <t>Josianne Landry</t>
  </si>
  <si>
    <t>Ceci est un horaire temporaire WFH</t>
  </si>
  <si>
    <t>Lapointe, Renelle</t>
  </si>
  <si>
    <t>T956388</t>
  </si>
  <si>
    <t>renelle.lapointe@telus.com</t>
  </si>
  <si>
    <t>819-319-7398</t>
  </si>
  <si>
    <t>OR1L</t>
  </si>
  <si>
    <t>M0156</t>
  </si>
  <si>
    <t>L115359</t>
  </si>
  <si>
    <t>renellelapointe</t>
  </si>
  <si>
    <t>Complaint Line;#7;#Question Line;#6;#SmartWear;#3;#Basic Troubleshooting;#2;#Data Entry Advanced;#8;#Video Verification;#4;#Video Monitoring;#5</t>
  </si>
  <si>
    <t>Renelle</t>
  </si>
  <si>
    <t>Lapointe</t>
  </si>
  <si>
    <t>Renelle Lapointe</t>
  </si>
  <si>
    <t>Lee, Jadon</t>
  </si>
  <si>
    <t>T6001502</t>
  </si>
  <si>
    <t>jadon.lee@telus.com</t>
  </si>
  <si>
    <t>M0542</t>
  </si>
  <si>
    <t>SD010WTP</t>
  </si>
  <si>
    <t>Jadon</t>
  </si>
  <si>
    <t>Lee</t>
  </si>
  <si>
    <t>Jadon Lee</t>
  </si>
  <si>
    <t>Lee, Robert</t>
  </si>
  <si>
    <t>T6001469</t>
  </si>
  <si>
    <t>robert.lee1@telus.com</t>
  </si>
  <si>
    <t>M0534</t>
  </si>
  <si>
    <t>PF3WD3QJ</t>
  </si>
  <si>
    <t>Robert</t>
  </si>
  <si>
    <t>Robert Lee</t>
  </si>
  <si>
    <t>Malhi, Sandeep</t>
  </si>
  <si>
    <t>T980945</t>
  </si>
  <si>
    <t>sandeep.malhi@telus.com</t>
  </si>
  <si>
    <t>VS2M</t>
  </si>
  <si>
    <t>M0165</t>
  </si>
  <si>
    <t>L806355</t>
  </si>
  <si>
    <t>t980945</t>
  </si>
  <si>
    <t>Sandeep</t>
  </si>
  <si>
    <t>Malhi</t>
  </si>
  <si>
    <t>Daljinder Singh Malhi</t>
  </si>
  <si>
    <t>husband</t>
  </si>
  <si>
    <t>Sandeep Malhi</t>
  </si>
  <si>
    <t>Malki, Amine</t>
  </si>
  <si>
    <t>T769716</t>
  </si>
  <si>
    <t>amine.malki@telus.com</t>
  </si>
  <si>
    <t>M0483</t>
  </si>
  <si>
    <t>L707713</t>
  </si>
  <si>
    <t>Amine</t>
  </si>
  <si>
    <t>Malki</t>
  </si>
  <si>
    <t>Amine Malki</t>
  </si>
  <si>
    <t>Mamputu, Patrick</t>
  </si>
  <si>
    <t>T992431</t>
  </si>
  <si>
    <t>patrick.mamputu@telus.com</t>
  </si>
  <si>
    <t>MOM1P</t>
  </si>
  <si>
    <t>M0166</t>
  </si>
  <si>
    <t>5CG2090XMM</t>
  </si>
  <si>
    <t>SmartWear;#3;#Complaint Line;#7;#Question Line;#6</t>
  </si>
  <si>
    <t>Patrick</t>
  </si>
  <si>
    <t>Mamputu</t>
  </si>
  <si>
    <t>PATRICK MAMPUTU</t>
  </si>
  <si>
    <t>Patrick Mamputu</t>
  </si>
  <si>
    <t>Saturday 05:00-11:00</t>
  </si>
  <si>
    <t>Variable (if not all the same)</t>
  </si>
  <si>
    <t>Mantion, Laurence</t>
  </si>
  <si>
    <t>T956375</t>
  </si>
  <si>
    <t>laurence.mantion@telus.com</t>
  </si>
  <si>
    <t>438-988-8029</t>
  </si>
  <si>
    <t>ML1M</t>
  </si>
  <si>
    <t>M0167</t>
  </si>
  <si>
    <t>L112403</t>
  </si>
  <si>
    <t>lmantion</t>
  </si>
  <si>
    <t>Laurence</t>
  </si>
  <si>
    <t>Mantion</t>
  </si>
  <si>
    <t>Laurence Mantion</t>
  </si>
  <si>
    <t>Marcil, Carol</t>
  </si>
  <si>
    <t>T955765</t>
  </si>
  <si>
    <t>carol.marcil@telus.com</t>
  </si>
  <si>
    <t>514-708-3859</t>
  </si>
  <si>
    <t>MC2M</t>
  </si>
  <si>
    <t>M0168</t>
  </si>
  <si>
    <t>L112664</t>
  </si>
  <si>
    <t>cmarcil</t>
  </si>
  <si>
    <t>Complaint Line;#7;#Data Entry Advanced;#8;#Question Line;#6</t>
  </si>
  <si>
    <t>Carol</t>
  </si>
  <si>
    <t>Marcil</t>
  </si>
  <si>
    <t>Carol Marcil</t>
  </si>
  <si>
    <t>Mazari, Hichem</t>
  </si>
  <si>
    <t>T773651</t>
  </si>
  <si>
    <t>hichem.mazari@telus.com</t>
  </si>
  <si>
    <t>M0512</t>
  </si>
  <si>
    <t>SD00BLGX</t>
  </si>
  <si>
    <t>Hichem</t>
  </si>
  <si>
    <t>Mazari</t>
  </si>
  <si>
    <t>Hichem Mazari</t>
  </si>
  <si>
    <t>McCrory, Michael</t>
  </si>
  <si>
    <t>T6001434</t>
  </si>
  <si>
    <t>mike.mccrory@telus.com</t>
  </si>
  <si>
    <t>M0536</t>
  </si>
  <si>
    <t>PF3W1XJH</t>
  </si>
  <si>
    <t>Michael</t>
  </si>
  <si>
    <t>McCrory</t>
  </si>
  <si>
    <t>Michael McCrory</t>
  </si>
  <si>
    <t>Medrano Sibrian, Yahshua</t>
  </si>
  <si>
    <t>T773727</t>
  </si>
  <si>
    <t>yahshua.medranosibrian@telus.com</t>
  </si>
  <si>
    <t>M0517</t>
  </si>
  <si>
    <t>5CG12930SN</t>
  </si>
  <si>
    <t>Yahshua</t>
  </si>
  <si>
    <t>Medrano Sibrian</t>
  </si>
  <si>
    <t>Yahshua Medrano Sibrian</t>
  </si>
  <si>
    <t>Melgar, Rafael</t>
  </si>
  <si>
    <t>T955719</t>
  </si>
  <si>
    <t>rafael.melgar@telus.com</t>
  </si>
  <si>
    <t>587-438-3080</t>
  </si>
  <si>
    <t>CR3M</t>
  </si>
  <si>
    <t>M0174</t>
  </si>
  <si>
    <t>L111906</t>
  </si>
  <si>
    <t>rmelgar</t>
  </si>
  <si>
    <t>Complaint Line;#7;#Question Line;#6</t>
  </si>
  <si>
    <t>Rafael</t>
  </si>
  <si>
    <t>Melgar</t>
  </si>
  <si>
    <t>Rafael Melgar</t>
  </si>
  <si>
    <t>Mertens, Antonia</t>
  </si>
  <si>
    <t>T988378</t>
  </si>
  <si>
    <t>ANTONIA.MERTENS@TELUS.COM</t>
  </si>
  <si>
    <t>M0031</t>
  </si>
  <si>
    <t>L806017</t>
  </si>
  <si>
    <t>ANTONIA</t>
  </si>
  <si>
    <t>Antonia</t>
  </si>
  <si>
    <t>Mertens</t>
  </si>
  <si>
    <t>Antonia Mertens</t>
  </si>
  <si>
    <t>Michaud-Lapierre, Jonathan</t>
  </si>
  <si>
    <t>T955929</t>
  </si>
  <si>
    <t>jonathan.michaud-lapierre@telus.com</t>
  </si>
  <si>
    <t>514-225-9737</t>
  </si>
  <si>
    <t>MJDM</t>
  </si>
  <si>
    <t>M0178</t>
  </si>
  <si>
    <t>L112431</t>
  </si>
  <si>
    <t>jonathanmichaudlap</t>
  </si>
  <si>
    <t>Jonathan</t>
  </si>
  <si>
    <t>Michaud-Lapierre</t>
  </si>
  <si>
    <t>Jonathan Michaud-Lapierre</t>
  </si>
  <si>
    <t>Miclisse-Polat, Lorenzo Misael</t>
  </si>
  <si>
    <t>T998180</t>
  </si>
  <si>
    <t>lorenzo.miclisse-polat@telus.com</t>
  </si>
  <si>
    <t>MML1M</t>
  </si>
  <si>
    <t>M0179</t>
  </si>
  <si>
    <t>L110653</t>
  </si>
  <si>
    <t>Question Line;#6;#Complaint Line;#7;#SmartWear;#3;#Video Monitoring;#5;#Video Verification;#4</t>
  </si>
  <si>
    <t>Lorenzo Misael</t>
  </si>
  <si>
    <t>Miclisse-Polat</t>
  </si>
  <si>
    <t>Lorenzo Misael Miclisse-Polat</t>
  </si>
  <si>
    <t>Mondrzejewski, Dave</t>
  </si>
  <si>
    <t>T955932</t>
  </si>
  <si>
    <t>dave.mondrzejewski@telus.com</t>
  </si>
  <si>
    <t>514-834-7141</t>
  </si>
  <si>
    <t>MD7M</t>
  </si>
  <si>
    <t>M0183</t>
  </si>
  <si>
    <t>L112574</t>
  </si>
  <si>
    <t>davemondrzejewski</t>
  </si>
  <si>
    <t>SmartWear;#3;#Question Line;#6;#Complaint Line;#7;#Data Entry Advanced;#8;#SME;#11;#Video Verification;#4;#Video Monitoring;#5</t>
  </si>
  <si>
    <t>Dave</t>
  </si>
  <si>
    <t>Mondrzejewski</t>
  </si>
  <si>
    <t>Dave Mondrzejewski</t>
  </si>
  <si>
    <t>Narayanaparambath, Ekta</t>
  </si>
  <si>
    <t>T956363</t>
  </si>
  <si>
    <t>ekta.narayanaparambath@telus.com</t>
  </si>
  <si>
    <t>587-971-4402</t>
  </si>
  <si>
    <t>CE2N</t>
  </si>
  <si>
    <t>M0185</t>
  </si>
  <si>
    <t>L111740</t>
  </si>
  <si>
    <t>Ekta</t>
  </si>
  <si>
    <t>Narayanaparambath</t>
  </si>
  <si>
    <t>Ekta Narayanaparambath</t>
  </si>
  <si>
    <t>Ndihokubwayo, Twahiba</t>
  </si>
  <si>
    <t>T956501</t>
  </si>
  <si>
    <t>twahiba.ndihokubwayo@telus.com</t>
  </si>
  <si>
    <t>MT2N</t>
  </si>
  <si>
    <t>M0186</t>
  </si>
  <si>
    <t>L111730</t>
  </si>
  <si>
    <t>ndihokubwayotwahib</t>
  </si>
  <si>
    <t>Question Line;#6;#Video Monitoring;#5;#Video Verification;#4;#Complaint Line;#7</t>
  </si>
  <si>
    <t>Twahiba</t>
  </si>
  <si>
    <t>Ndihokubwayo</t>
  </si>
  <si>
    <t>Twahiba Ndihokubwayo</t>
  </si>
  <si>
    <t>varies -works days on Sundays</t>
  </si>
  <si>
    <t>Ndjiapanda, Arlette</t>
  </si>
  <si>
    <t>T956520</t>
  </si>
  <si>
    <t>arlette.ndjiapanda@telus.com</t>
  </si>
  <si>
    <t>613-618-4908</t>
  </si>
  <si>
    <t>OA6N</t>
  </si>
  <si>
    <t>M0187</t>
  </si>
  <si>
    <t>L801025</t>
  </si>
  <si>
    <t>andjiapanda</t>
  </si>
  <si>
    <t>Arlette</t>
  </si>
  <si>
    <t>Ndjiapanda</t>
  </si>
  <si>
    <t>Arlette Ndjiapanda</t>
  </si>
  <si>
    <t>Mardi, Mercredi, Jeudi : 20h30 à 3h30 (7 heures) Samedi : 07:30am a 14:30 (7 heures)</t>
  </si>
  <si>
    <t>Nhek, Sotham</t>
  </si>
  <si>
    <t>T6001466</t>
  </si>
  <si>
    <t>sotham.nhek@telus.com</t>
  </si>
  <si>
    <t>M0529</t>
  </si>
  <si>
    <t>5CG0141KKV</t>
  </si>
  <si>
    <t>Sotham</t>
  </si>
  <si>
    <t>Nhek</t>
  </si>
  <si>
    <t>Sotham Nhek</t>
  </si>
  <si>
    <t>Nicholas (Nick) Grégoire</t>
  </si>
  <si>
    <t>T6001655</t>
  </si>
  <si>
    <t>nick.gregoire@telus.com</t>
  </si>
  <si>
    <t>SD00S2H3</t>
  </si>
  <si>
    <t>Nicholas (Nick)</t>
  </si>
  <si>
    <t>Grégoire</t>
  </si>
  <si>
    <t>Nineza, Roxhannah</t>
  </si>
  <si>
    <t>T769717</t>
  </si>
  <si>
    <t>M0484</t>
  </si>
  <si>
    <t>L705885</t>
  </si>
  <si>
    <t>Roxhannah</t>
  </si>
  <si>
    <t>Nineza</t>
  </si>
  <si>
    <t>CARINE SINDAYIHEBURA</t>
  </si>
  <si>
    <t>613-716-5232</t>
  </si>
  <si>
    <t>AUNT</t>
  </si>
  <si>
    <t>Roxhannah Nineza</t>
  </si>
  <si>
    <t>Ouchchane, Myriam</t>
  </si>
  <si>
    <t>T956393</t>
  </si>
  <si>
    <t>myriam.ouchchane@telus.com</t>
  </si>
  <si>
    <t>438-491-7030</t>
  </si>
  <si>
    <t>MM2O</t>
  </si>
  <si>
    <t>M0191</t>
  </si>
  <si>
    <t>L112612</t>
  </si>
  <si>
    <t>myriamouchane</t>
  </si>
  <si>
    <t>myriamo</t>
  </si>
  <si>
    <t>Complaint Line;#7;#Question Line;#6;#Basic Troubleshooting;#2;#SmartWear;#3;#Video Monitoring;#5;#Backup MRC;#1</t>
  </si>
  <si>
    <t>Myriam</t>
  </si>
  <si>
    <t>Ouchchane</t>
  </si>
  <si>
    <t>Myriam Ouchchane</t>
  </si>
  <si>
    <t>Panayiotis (Peter) Tsoraidis</t>
  </si>
  <si>
    <t>T6001657</t>
  </si>
  <si>
    <t>peter.tsoraidis@telus.com</t>
  </si>
  <si>
    <t>SD00S5EC</t>
  </si>
  <si>
    <t>Panayiotis (Peter)</t>
  </si>
  <si>
    <t>Tsoraidis</t>
  </si>
  <si>
    <t>Pandey, Mridula</t>
  </si>
  <si>
    <t>T956359</t>
  </si>
  <si>
    <t>mridula.pandey@telus.com</t>
  </si>
  <si>
    <t>587-429-4580</t>
  </si>
  <si>
    <t>CM3P</t>
  </si>
  <si>
    <t>M0193</t>
  </si>
  <si>
    <t>L111726</t>
  </si>
  <si>
    <t>Mridula</t>
  </si>
  <si>
    <t>Pandey</t>
  </si>
  <si>
    <t>Mridula Pandey</t>
  </si>
  <si>
    <t>Paquette, Adam</t>
  </si>
  <si>
    <t>T955844</t>
  </si>
  <si>
    <t>adam.paquette@telus.com</t>
  </si>
  <si>
    <t>438-888-7759</t>
  </si>
  <si>
    <t>MA6P</t>
  </si>
  <si>
    <t>M0194</t>
  </si>
  <si>
    <t>L112625</t>
  </si>
  <si>
    <t>adampaquette</t>
  </si>
  <si>
    <t>AdamP</t>
  </si>
  <si>
    <t>Video Verification;#4;#Complaint Line;#7;#Question Line;#6;#Video Monitoring;#5;#Backup MRC;#1;#SmartWear;#3</t>
  </si>
  <si>
    <t>Adam</t>
  </si>
  <si>
    <t>Paquette</t>
  </si>
  <si>
    <t>Adam Paquette</t>
  </si>
  <si>
    <t>Peter Brown</t>
  </si>
  <si>
    <t>T6001714</t>
  </si>
  <si>
    <t>peter.brown1@telus.com</t>
  </si>
  <si>
    <t>SD00S2FZ</t>
  </si>
  <si>
    <t>Peter</t>
  </si>
  <si>
    <t>Brown</t>
  </si>
  <si>
    <t>Petruska, Jennifer</t>
  </si>
  <si>
    <t>T956351</t>
  </si>
  <si>
    <t>jennifer.petruska@telus.com</t>
  </si>
  <si>
    <t>403-813-1296</t>
  </si>
  <si>
    <t>CJ2S</t>
  </si>
  <si>
    <t>M0195</t>
  </si>
  <si>
    <t>L806783</t>
  </si>
  <si>
    <t>jstark</t>
  </si>
  <si>
    <t>SME;#11</t>
  </si>
  <si>
    <t>Jennifer</t>
  </si>
  <si>
    <t>Petruska</t>
  </si>
  <si>
    <t>Jennifer Petruska</t>
  </si>
  <si>
    <t>Philemy, Weetler</t>
  </si>
  <si>
    <t>T6001435</t>
  </si>
  <si>
    <t>weetler.philemy@telus.com</t>
  </si>
  <si>
    <t>M0537</t>
  </si>
  <si>
    <t>5CG2301YG3</t>
  </si>
  <si>
    <t>Weetler</t>
  </si>
  <si>
    <t>Philemy</t>
  </si>
  <si>
    <t>Weetler Philemy</t>
  </si>
  <si>
    <t>Pierre, Christopher</t>
  </si>
  <si>
    <t>T955923</t>
  </si>
  <si>
    <t>christopher.pierre@telus.com</t>
  </si>
  <si>
    <t>MC2P</t>
  </si>
  <si>
    <t>M0197</t>
  </si>
  <si>
    <t>L112305</t>
  </si>
  <si>
    <t>christopherpierre</t>
  </si>
  <si>
    <t>Complaint Line;#7;#Question Line;#6;#Video Verification;#4;#Video Monitoring;#5</t>
  </si>
  <si>
    <t>Christopher</t>
  </si>
  <si>
    <t>Kevin Pierre</t>
  </si>
  <si>
    <t>Brother</t>
  </si>
  <si>
    <t>Christopher Pierre</t>
  </si>
  <si>
    <t>Poirier, Aldeana</t>
  </si>
  <si>
    <t>T980139</t>
  </si>
  <si>
    <t>aldeana.poirier@telus.com</t>
  </si>
  <si>
    <t>QA4P</t>
  </si>
  <si>
    <t>M0199</t>
  </si>
  <si>
    <t>L805623</t>
  </si>
  <si>
    <t>t980139</t>
  </si>
  <si>
    <t>Aldeana</t>
  </si>
  <si>
    <t>Poirier</t>
  </si>
  <si>
    <t>Aldeana Poirier</t>
  </si>
  <si>
    <t>Popovic, Jessica</t>
  </si>
  <si>
    <t>T998426</t>
  </si>
  <si>
    <t>jessica.popovic@telus.com</t>
  </si>
  <si>
    <t>M0016</t>
  </si>
  <si>
    <t>L111038</t>
  </si>
  <si>
    <t>jpopovic</t>
  </si>
  <si>
    <t>Backup MRC;#1;#SmartWear;#3;#Question Line;#6;#Complaint Line;#7;#Video Monitoring;#5</t>
  </si>
  <si>
    <t>Jessica</t>
  </si>
  <si>
    <t>Popovic</t>
  </si>
  <si>
    <t>Jessica Popovic</t>
  </si>
  <si>
    <t>Quero, Michael</t>
  </si>
  <si>
    <t>T955717</t>
  </si>
  <si>
    <t>michael.quero@telus.com</t>
  </si>
  <si>
    <t>403-798-2322</t>
  </si>
  <si>
    <t>CM1Q</t>
  </si>
  <si>
    <t>M0203</t>
  </si>
  <si>
    <t>L111972</t>
  </si>
  <si>
    <t>Complaint Line;#7;#Question Line;#6;#SME;#11;#SmartWear;#3</t>
  </si>
  <si>
    <t>Quero</t>
  </si>
  <si>
    <t>Michael Quero</t>
  </si>
  <si>
    <t>Ratz, Emily</t>
  </si>
  <si>
    <t>T952567</t>
  </si>
  <si>
    <t>emily.ratz@telus.com</t>
  </si>
  <si>
    <t>MPE1R</t>
  </si>
  <si>
    <t>M0204</t>
  </si>
  <si>
    <t>PF3XS9BV</t>
  </si>
  <si>
    <t>t952567</t>
  </si>
  <si>
    <t>SME;#11;#SmartWear;#3;#Complaint Line;#7;#Question Line;#6;#Basic Troubleshooting;#2;#Video Verification;#4</t>
  </si>
  <si>
    <t>Ratz</t>
  </si>
  <si>
    <t>Austin Varchol</t>
  </si>
  <si>
    <t>Boyfriend</t>
  </si>
  <si>
    <t>Emily Ratz</t>
  </si>
  <si>
    <t>Rea, Shannon</t>
  </si>
  <si>
    <t>T937529</t>
  </si>
  <si>
    <t>shannon.rea@telus.com</t>
  </si>
  <si>
    <t>MPS1R</t>
  </si>
  <si>
    <t>M0205</t>
  </si>
  <si>
    <t>L108332</t>
  </si>
  <si>
    <t>t937529</t>
  </si>
  <si>
    <t>Basic Troubleshooting;#2;#Complaint Line;#7;#Video Monitoring;#5;#Video Verification;#4;#Question Line;#6;#SmartWear;#3;#SME;#11</t>
  </si>
  <si>
    <t>Shannon</t>
  </si>
  <si>
    <t>Rea</t>
  </si>
  <si>
    <t>Shannon Rea</t>
  </si>
  <si>
    <t>Rebelo-Bayle, Antoine</t>
  </si>
  <si>
    <t>T996383</t>
  </si>
  <si>
    <t>antoine.rebelo-bayle@telus.com</t>
  </si>
  <si>
    <t>MMA1R</t>
  </si>
  <si>
    <t>M0206</t>
  </si>
  <si>
    <t>L111309</t>
  </si>
  <si>
    <t>Antoine</t>
  </si>
  <si>
    <t>Rebelo-Bayle</t>
  </si>
  <si>
    <t>Antoine Rebelo-Bayle</t>
  </si>
  <si>
    <t>Rennie, Vida</t>
  </si>
  <si>
    <t>T937531</t>
  </si>
  <si>
    <t>vida.rennie@telus.com</t>
  </si>
  <si>
    <t>MPV1R</t>
  </si>
  <si>
    <t>M0208</t>
  </si>
  <si>
    <t>L113008</t>
  </si>
  <si>
    <t>t937531</t>
  </si>
  <si>
    <t>Basic Troubleshooting;#2;#Complaint Line;#7;#Question Line;#6;#Video Monitoring;#5;#Video Verification;#4;#Backup MRC;#1;#SmartWear;#3</t>
  </si>
  <si>
    <t>Vida</t>
  </si>
  <si>
    <t>Rennie</t>
  </si>
  <si>
    <t>Sheila Rennie</t>
  </si>
  <si>
    <t>Sister</t>
  </si>
  <si>
    <t>Vida Rennie</t>
  </si>
  <si>
    <t>Saint-Firmin, Alexandra</t>
  </si>
  <si>
    <t>T6001490</t>
  </si>
  <si>
    <t>alexandra.saint-firmin@telus.com</t>
  </si>
  <si>
    <t>M0528</t>
  </si>
  <si>
    <t>5CG2301Z6C</t>
  </si>
  <si>
    <t>Alexandra</t>
  </si>
  <si>
    <t>Saint-Firmin</t>
  </si>
  <si>
    <t>Alexandra Saint-Firmin</t>
  </si>
  <si>
    <t>Sanon, Shana</t>
  </si>
  <si>
    <t>T956395</t>
  </si>
  <si>
    <t>shana.sanon@telus.com</t>
  </si>
  <si>
    <t>MS8S</t>
  </si>
  <si>
    <t>M0216</t>
  </si>
  <si>
    <t>L724261</t>
  </si>
  <si>
    <t>shanasanon</t>
  </si>
  <si>
    <t>Shana</t>
  </si>
  <si>
    <t>Sanon</t>
  </si>
  <si>
    <t>Shana Sanon</t>
  </si>
  <si>
    <t>Sekhon, Gurman</t>
  </si>
  <si>
    <t>T980929</t>
  </si>
  <si>
    <t>gurmanjit.sekhon@telus.com</t>
  </si>
  <si>
    <t>PG1S</t>
  </si>
  <si>
    <t>M0217</t>
  </si>
  <si>
    <t>L116742</t>
  </si>
  <si>
    <t>t980929</t>
  </si>
  <si>
    <t>Basic Troubleshooting;#2;#Video Monitoring;#5;#Video Verification;#4;#Complaint Line;#7;#Question Line;#6</t>
  </si>
  <si>
    <t>Gurman</t>
  </si>
  <si>
    <t>Sekhon</t>
  </si>
  <si>
    <t>Gurman Sekhon</t>
  </si>
  <si>
    <t>Senechal, Manon</t>
  </si>
  <si>
    <t>T956377</t>
  </si>
  <si>
    <t>manon.senechal@telus.com</t>
  </si>
  <si>
    <t>514-830-1843</t>
  </si>
  <si>
    <t>MM4S</t>
  </si>
  <si>
    <t>M0218</t>
  </si>
  <si>
    <t>L112364</t>
  </si>
  <si>
    <t>msenechal</t>
  </si>
  <si>
    <t>Data Entry Advanced;#8;#Question Line;#6</t>
  </si>
  <si>
    <t>Manon</t>
  </si>
  <si>
    <t>Senechal</t>
  </si>
  <si>
    <t>Manon Senechal</t>
  </si>
  <si>
    <t>Shahi, Usha</t>
  </si>
  <si>
    <t>T956350</t>
  </si>
  <si>
    <t>usha.shahi@telus.com</t>
  </si>
  <si>
    <t>403-973-9444</t>
  </si>
  <si>
    <t>403-568-2527</t>
  </si>
  <si>
    <t>CU1S</t>
  </si>
  <si>
    <t>M0220</t>
  </si>
  <si>
    <t>L111694</t>
  </si>
  <si>
    <t>ushahi</t>
  </si>
  <si>
    <t>Usha</t>
  </si>
  <si>
    <t>Shahi</t>
  </si>
  <si>
    <t>Usha Shahi</t>
  </si>
  <si>
    <t>Shantilal Mehboob</t>
  </si>
  <si>
    <t>T6001671</t>
  </si>
  <si>
    <t>shantilal.mehboob@telus.com</t>
  </si>
  <si>
    <t>SD00S3WA</t>
  </si>
  <si>
    <t>Shantilal</t>
  </si>
  <si>
    <t>Mehboob</t>
  </si>
  <si>
    <t>Simranjeet (Simran) Sanghera</t>
  </si>
  <si>
    <t>T6001716</t>
  </si>
  <si>
    <t>simran.sanghera@telus.com</t>
  </si>
  <si>
    <t>SD00RVY4</t>
  </si>
  <si>
    <t>Simranjeet (Simran)</t>
  </si>
  <si>
    <t>Sanghera</t>
  </si>
  <si>
    <t>Sivoravong, Kanitha</t>
  </si>
  <si>
    <t>T955826</t>
  </si>
  <si>
    <t>kanitha.sivoravong@telus.com</t>
  </si>
  <si>
    <t>514-297-5333</t>
  </si>
  <si>
    <t>MK1S</t>
  </si>
  <si>
    <t>M0222</t>
  </si>
  <si>
    <t>L112677</t>
  </si>
  <si>
    <t>ksivoravong</t>
  </si>
  <si>
    <t>kanithas</t>
  </si>
  <si>
    <t>KSI</t>
  </si>
  <si>
    <t>Backup MRC;#1;#Complaint Line;#7;#Data Entry Advanced;#8;#Question Line;#6;#Video Monitoring;#5;#Video Verification;#4;#SmartWear;#3</t>
  </si>
  <si>
    <t>Kanitha</t>
  </si>
  <si>
    <t>Sivoravong</t>
  </si>
  <si>
    <t>Kanitha Sivoravong</t>
  </si>
  <si>
    <t>Snelgrove, Sylvia</t>
  </si>
  <si>
    <t>T996777</t>
  </si>
  <si>
    <t>sylvia.snelgrove@telus.com</t>
  </si>
  <si>
    <t>MMS2S</t>
  </si>
  <si>
    <t>M0224</t>
  </si>
  <si>
    <t>L806718</t>
  </si>
  <si>
    <t>Sylvia</t>
  </si>
  <si>
    <t>Snelgrove</t>
  </si>
  <si>
    <t>Sylvia Snelgrove</t>
  </si>
  <si>
    <t>Tanguay-Roy, Marcel</t>
  </si>
  <si>
    <t>T955842</t>
  </si>
  <si>
    <t>marcel.tanguay-roy@telus.com</t>
  </si>
  <si>
    <t>514-564-4918</t>
  </si>
  <si>
    <t>MM5T</t>
  </si>
  <si>
    <t>M0230</t>
  </si>
  <si>
    <t>L112682</t>
  </si>
  <si>
    <t>mtanguayroy</t>
  </si>
  <si>
    <t>Marcel</t>
  </si>
  <si>
    <t>Tanguay-Roy</t>
  </si>
  <si>
    <t>Marcel Tanguay-Roy</t>
  </si>
  <si>
    <t>Tawa Soh, Basile</t>
  </si>
  <si>
    <t>T6001433</t>
  </si>
  <si>
    <t>basile.tawasoh@telus.com</t>
  </si>
  <si>
    <t>M0531</t>
  </si>
  <si>
    <t>5CG2301Z1B</t>
  </si>
  <si>
    <t>Basile</t>
  </si>
  <si>
    <t>Tawa Soh</t>
  </si>
  <si>
    <t>Basile Tawa Soh</t>
  </si>
  <si>
    <t>Thibert, Lise Valery</t>
  </si>
  <si>
    <t>T956176</t>
  </si>
  <si>
    <t>lise.thibert@telus.com</t>
  </si>
  <si>
    <t>514-566-4593</t>
  </si>
  <si>
    <t>ML1T</t>
  </si>
  <si>
    <t>M0233</t>
  </si>
  <si>
    <t>L112602</t>
  </si>
  <si>
    <t>Lise Valery</t>
  </si>
  <si>
    <t>Thibert</t>
  </si>
  <si>
    <t>Erick Thibert</t>
  </si>
  <si>
    <t>929-267-9692</t>
  </si>
  <si>
    <t>Lise Valery Thibert</t>
  </si>
  <si>
    <t>Thurston, Sean</t>
  </si>
  <si>
    <t>T973167</t>
  </si>
  <si>
    <t>sean.thurston@telus.com</t>
  </si>
  <si>
    <t>MIS1T</t>
  </si>
  <si>
    <t>M0234</t>
  </si>
  <si>
    <t>L805758</t>
  </si>
  <si>
    <t>t973167</t>
  </si>
  <si>
    <t>SEAN.T</t>
  </si>
  <si>
    <t>Video Monitoring;#5;#Video Verification;#4;#Basic Troubleshooting;#2;#SmartWear;#3;#Complaint Line;#7;#Question Line;#6;#Data Entry Advanced;#8</t>
  </si>
  <si>
    <t>Sean</t>
  </si>
  <si>
    <t>Thurston</t>
  </si>
  <si>
    <t>Sean Thurston</t>
  </si>
  <si>
    <t>Timothee, Adline</t>
  </si>
  <si>
    <t>T956383</t>
  </si>
  <si>
    <t>Personal Leave</t>
  </si>
  <si>
    <t>adline.timothee@telus.com</t>
  </si>
  <si>
    <t>514-431-8330</t>
  </si>
  <si>
    <t>MA2T</t>
  </si>
  <si>
    <t>M0235</t>
  </si>
  <si>
    <t>L112647</t>
  </si>
  <si>
    <t>atimothee</t>
  </si>
  <si>
    <t>Adline</t>
  </si>
  <si>
    <t>Timothee</t>
  </si>
  <si>
    <t>Theresa Decius</t>
  </si>
  <si>
    <t>Adline Timothee</t>
  </si>
  <si>
    <t>Tounsi, Taha</t>
  </si>
  <si>
    <t>T773674</t>
  </si>
  <si>
    <t>taha.tounsi@telus.com</t>
  </si>
  <si>
    <t>M0513</t>
  </si>
  <si>
    <t>PF5N8APA</t>
  </si>
  <si>
    <t>Taha</t>
  </si>
  <si>
    <t>Tounsi</t>
  </si>
  <si>
    <t>Hassan Tounsi</t>
  </si>
  <si>
    <t>514-994-6559</t>
  </si>
  <si>
    <t>Father</t>
  </si>
  <si>
    <t>Taha Tounsi</t>
  </si>
  <si>
    <t>Tredwell, Chris</t>
  </si>
  <si>
    <t>T973170</t>
  </si>
  <si>
    <t>chris.tredwell@telus.com</t>
  </si>
  <si>
    <t>MIC1T</t>
  </si>
  <si>
    <t>M0236</t>
  </si>
  <si>
    <t>L805827</t>
  </si>
  <si>
    <t>t973170</t>
  </si>
  <si>
    <t>CHRIST</t>
  </si>
  <si>
    <t>Chris</t>
  </si>
  <si>
    <t>Tredwell</t>
  </si>
  <si>
    <t>Chris Tredwell</t>
  </si>
  <si>
    <t>Tsan, Senh</t>
  </si>
  <si>
    <t>T936683</t>
  </si>
  <si>
    <t>senh.tsan@telus.com</t>
  </si>
  <si>
    <t>604-354-2168</t>
  </si>
  <si>
    <t>MVS1T</t>
  </si>
  <si>
    <t>M0238</t>
  </si>
  <si>
    <t>L113030</t>
  </si>
  <si>
    <t>t936683</t>
  </si>
  <si>
    <t>Basic Troubleshooting;#2;#Complaint Line;#7;#Question Line;#6;#Video Monitoring;#5;#SmartWear;#3</t>
  </si>
  <si>
    <t>Senh</t>
  </si>
  <si>
    <t>Tsan</t>
  </si>
  <si>
    <t>Senh Tsan</t>
  </si>
  <si>
    <t>Only agent remaining with the 3/4 schedule 12h shift TCSS</t>
  </si>
  <si>
    <t>Vachon, Genevieve</t>
  </si>
  <si>
    <t>T956378</t>
  </si>
  <si>
    <t>genevieve.vachon@telus.com</t>
  </si>
  <si>
    <t>MG2V</t>
  </si>
  <si>
    <t>M0240</t>
  </si>
  <si>
    <t>L112563</t>
  </si>
  <si>
    <t>gvachon</t>
  </si>
  <si>
    <t>SmartWear;#3;#Basic Troubleshooting;#2;#Question Line;#6;#Complaint Line;#7;#Data Entry Advanced;#8;#SME;#11;#Video Monitoring Arpel only;#10;#Video Verification;#4;#Video Monitoring;#5</t>
  </si>
  <si>
    <t>Genevieve</t>
  </si>
  <si>
    <t>Vachon</t>
  </si>
  <si>
    <t>josianne landry &amp; karl pratte</t>
  </si>
  <si>
    <t>Genevieve Vachon</t>
  </si>
  <si>
    <t>Villanueva, Tara</t>
  </si>
  <si>
    <t>T6001442</t>
  </si>
  <si>
    <t>tara.villanueva@telus.com</t>
  </si>
  <si>
    <t>M0540</t>
  </si>
  <si>
    <t>5CG2091Z6P</t>
  </si>
  <si>
    <t>Tara</t>
  </si>
  <si>
    <t>Villanueva</t>
  </si>
  <si>
    <t>Tara Villanueva</t>
  </si>
  <si>
    <t>Villeneuve, Isabelle</t>
  </si>
  <si>
    <t>T998402</t>
  </si>
  <si>
    <t>isabelle.gasse_villeneuve@telus.com</t>
  </si>
  <si>
    <t>MMI1V</t>
  </si>
  <si>
    <t>M0243</t>
  </si>
  <si>
    <t>L706976</t>
  </si>
  <si>
    <t>Isabelle</t>
  </si>
  <si>
    <t>Villeneuve</t>
  </si>
  <si>
    <t>Mittie Diederich</t>
  </si>
  <si>
    <t>514-346-9767</t>
  </si>
  <si>
    <t>Isabelle Villeneuve</t>
  </si>
  <si>
    <t>Wong, Jordan</t>
  </si>
  <si>
    <t>T936703</t>
  </si>
  <si>
    <t>jordan.wong@telus.com</t>
  </si>
  <si>
    <t>604-910-9988</t>
  </si>
  <si>
    <t>MVJ1W</t>
  </si>
  <si>
    <t>M0245</t>
  </si>
  <si>
    <t>L107003</t>
  </si>
  <si>
    <t>t936703</t>
  </si>
  <si>
    <t>Basic Troubleshooting;#2;#Complaint Line;#7;#Question Line;#6;#Data Entry Advanced;#8;#SmartWear;#3;#Video Monitoring;#5</t>
  </si>
  <si>
    <t>Jordan</t>
  </si>
  <si>
    <t>Wong</t>
  </si>
  <si>
    <t>Jordan Wong</t>
  </si>
  <si>
    <t>Wong, Lawrence</t>
  </si>
  <si>
    <t>T936684</t>
  </si>
  <si>
    <t>lawrence.wong1@telus.com</t>
  </si>
  <si>
    <t>MVL1W</t>
  </si>
  <si>
    <t>M0246</t>
  </si>
  <si>
    <t>L105511</t>
  </si>
  <si>
    <t>t936684</t>
  </si>
  <si>
    <t>SmartWear;#3;#Basic Troubleshooting;#2</t>
  </si>
  <si>
    <t>Lawrence</t>
  </si>
  <si>
    <t>Kevin Wong</t>
  </si>
  <si>
    <t>Lawrence Wong</t>
  </si>
  <si>
    <t>Young, Helen</t>
  </si>
  <si>
    <t>T956361</t>
  </si>
  <si>
    <t>helen.young@telus.com</t>
  </si>
  <si>
    <t>403-667-2192</t>
  </si>
  <si>
    <t>403-474-1586</t>
  </si>
  <si>
    <t>CH1Y</t>
  </si>
  <si>
    <t>M0247</t>
  </si>
  <si>
    <t>L112697</t>
  </si>
  <si>
    <t>Helen</t>
  </si>
  <si>
    <t>Young</t>
  </si>
  <si>
    <t>Helen Young</t>
  </si>
  <si>
    <t>Month of Ref Date</t>
  </si>
  <si>
    <t>Nb Worked Days</t>
  </si>
  <si>
    <t>Login (hr)</t>
  </si>
  <si>
    <t>In &amp; Out by hr</t>
  </si>
  <si>
    <t>Total All Calls</t>
  </si>
  <si>
    <t>Inbound Time %</t>
  </si>
  <si>
    <t>Outbound Time %</t>
  </si>
  <si>
    <t>nb Transfers</t>
  </si>
  <si>
    <t>% Transf on Queue Calls</t>
  </si>
  <si>
    <t>Nb Calls Answ</t>
  </si>
  <si>
    <t>AHT</t>
  </si>
  <si>
    <t>Avg Talk Time</t>
  </si>
  <si>
    <t>Avg Hold Time</t>
  </si>
  <si>
    <t>Avg ACW Total</t>
  </si>
  <si>
    <t>Avg ACW to Calls</t>
  </si>
  <si>
    <t>Outbound Calls</t>
  </si>
  <si>
    <t>Avg Talk Time Out</t>
  </si>
  <si>
    <t>Nb Extension In Calls</t>
  </si>
  <si>
    <t>Avg Talk Time Ext In</t>
  </si>
  <si>
    <t>Grand Total</t>
  </si>
  <si>
    <t>Baisi, Jean-Gabriel</t>
  </si>
  <si>
    <t>Brar, Dilpreet Kaur</t>
  </si>
  <si>
    <t>Carvajal Yiptong, Diego Armando</t>
  </si>
  <si>
    <t>Chenard, William</t>
  </si>
  <si>
    <t>Dansou, Senami Patrick</t>
  </si>
  <si>
    <t>Dazulme, Wildile</t>
  </si>
  <si>
    <t>Goddard, Adrien</t>
  </si>
  <si>
    <t>Herbst, Emily Blythe</t>
  </si>
  <si>
    <t>Ho, Destiny</t>
  </si>
  <si>
    <t>Jaen Benitez, Roberto David</t>
  </si>
  <si>
    <t>Kenol, Sheila</t>
  </si>
  <si>
    <t>Khaled, Zakaria</t>
  </si>
  <si>
    <t>Labbe-Geolier, Simon Oliver</t>
  </si>
  <si>
    <t>Larosa, Cynthia</t>
  </si>
  <si>
    <t>Limon, Maria</t>
  </si>
  <si>
    <t>Mann, Talwinder</t>
  </si>
  <si>
    <t>Ndihokubwayo, Twahiba Kashe</t>
  </si>
  <si>
    <t>Sanon, Shana Geralda</t>
  </si>
  <si>
    <t>Sekhon, Gurmanjit</t>
  </si>
  <si>
    <t>Cobrana, Michelle</t>
  </si>
  <si>
    <t>Active Agents</t>
  </si>
  <si>
    <t>LvL.</t>
  </si>
  <si>
    <t>Shift</t>
  </si>
  <si>
    <t>Office Loc</t>
  </si>
  <si>
    <t>Telus ID</t>
  </si>
  <si>
    <t>MMM Initials</t>
  </si>
  <si>
    <t>MAS ID</t>
  </si>
  <si>
    <t>Avaya Login</t>
  </si>
  <si>
    <t>SAFE ?</t>
  </si>
  <si>
    <t>Troubleshooting ?</t>
  </si>
  <si>
    <t>BMRC ?</t>
  </si>
  <si>
    <t>Coach</t>
  </si>
  <si>
    <t>GEN Report Name</t>
  </si>
  <si>
    <t>Free</t>
  </si>
  <si>
    <t>Inactive Agents</t>
  </si>
  <si>
    <t>Total List Active</t>
  </si>
  <si>
    <t>Last Total (Check)</t>
  </si>
  <si>
    <t>Total List - Inact</t>
  </si>
  <si>
    <t>Agent(GEN)</t>
  </si>
  <si>
    <t>Current CPH</t>
  </si>
  <si>
    <t>Previous CPH</t>
  </si>
  <si>
    <t>Curr. Rank</t>
  </si>
  <si>
    <t>Prev. Rank</t>
  </si>
  <si>
    <t>Day Shift Average cp/h</t>
  </si>
  <si>
    <t>Evening Shift Average</t>
  </si>
  <si>
    <t>Night Shift Average</t>
  </si>
  <si>
    <t>Prev. Day Shift Average Cp/H</t>
  </si>
  <si>
    <t>Prev. Evening Shift Average Cp/H</t>
  </si>
  <si>
    <t>Prev. NIght Shift Average Cp/H</t>
  </si>
  <si>
    <t>Day shift Code 3</t>
  </si>
  <si>
    <t>Evening shift Code 3</t>
  </si>
  <si>
    <t>Night shift Code 3</t>
  </si>
  <si>
    <t>PRev Day shift Code 3</t>
  </si>
  <si>
    <t>Prev Evening shift Code 3</t>
  </si>
  <si>
    <t>Prev Night shift Code 3</t>
  </si>
  <si>
    <t>INBOUND DATA</t>
  </si>
  <si>
    <t>Agent Name</t>
  </si>
  <si>
    <t>In %</t>
  </si>
  <si>
    <t>Previous In %</t>
  </si>
  <si>
    <t>Worked Days</t>
  </si>
  <si>
    <t>Total Tasks</t>
  </si>
  <si>
    <t>Calls Answered</t>
  </si>
  <si>
    <t>Tasks x Calls</t>
  </si>
  <si>
    <t>Outbound DATA</t>
  </si>
  <si>
    <t>Out %</t>
  </si>
  <si>
    <t>Previous Out %</t>
  </si>
  <si>
    <t>CP/H DATA</t>
  </si>
  <si>
    <t>CPH</t>
  </si>
  <si>
    <t>ERC LVL</t>
  </si>
  <si>
    <t>Specialized Skills</t>
  </si>
  <si>
    <t>MMM INI</t>
  </si>
  <si>
    <t>Team Manager</t>
  </si>
  <si>
    <t>P In %</t>
  </si>
  <si>
    <t>P Out %</t>
  </si>
  <si>
    <t>CP/H</t>
  </si>
  <si>
    <t>P CP/H</t>
  </si>
  <si>
    <t>WDays</t>
  </si>
  <si>
    <t>Updated: Apr 30th 2026</t>
  </si>
  <si>
    <t>Red Flags Board</t>
  </si>
  <si>
    <t>🚩</t>
  </si>
  <si>
    <t xml:space="preserve">Date Starting: </t>
  </si>
  <si>
    <t>Inbound Red Flags</t>
  </si>
  <si>
    <t>Inbound Out of Scope</t>
  </si>
  <si>
    <t>Outbound Red Flags</t>
  </si>
  <si>
    <t>CP/H Red Flags</t>
  </si>
  <si>
    <t>P. In %</t>
  </si>
  <si>
    <t>W.Days</t>
  </si>
  <si>
    <t>P. out %</t>
  </si>
  <si>
    <t>P. CPH</t>
  </si>
  <si>
    <r>
      <rPr>
        <rFont val="Arial"/>
        <color rgb="FF000000"/>
      </rPr>
      <t xml:space="preserve">Display agents that have </t>
    </r>
    <r>
      <rPr>
        <rFont val="Arial"/>
        <color rgb="FF990000"/>
      </rPr>
      <t>unbalanced In%</t>
    </r>
    <r>
      <rPr>
        <rFont val="Arial"/>
        <color rgb="FF000000"/>
      </rPr>
      <t xml:space="preserve"> results and also have the </t>
    </r>
    <r>
      <rPr>
        <rFont val="Arial"/>
        <color rgb="FFCC0000"/>
      </rPr>
      <t>majority of their tasks being Calls</t>
    </r>
    <r>
      <rPr>
        <rFont val="Arial"/>
        <color rgb="FF000000"/>
      </rPr>
      <t xml:space="preserve">. This confirms without a doubt that these agents </t>
    </r>
    <r>
      <rPr>
        <rFont val="Arial"/>
        <color rgb="FFCC0000"/>
      </rPr>
      <t>need balancing through more Outbound assignments</t>
    </r>
    <r>
      <rPr>
        <rFont val="Arial"/>
        <color rgb="FF000000"/>
      </rPr>
      <t>.</t>
    </r>
  </si>
  <si>
    <r>
      <rPr>
        <rFont val="Arial"/>
        <color theme="1"/>
      </rPr>
      <t xml:space="preserve">Display agents that have </t>
    </r>
    <r>
      <rPr>
        <rFont val="Arial"/>
        <color rgb="FFB45F06"/>
      </rPr>
      <t>unbalanced In%</t>
    </r>
    <r>
      <rPr>
        <rFont val="Arial"/>
        <color theme="1"/>
      </rPr>
      <t xml:space="preserve"> results but that have </t>
    </r>
    <r>
      <rPr>
        <rFont val="Arial"/>
        <color rgb="FFB45F06"/>
      </rPr>
      <t>most of their tasks being Outbound tasks</t>
    </r>
    <r>
      <rPr>
        <rFont val="Arial"/>
        <color theme="1"/>
      </rPr>
      <t xml:space="preserve"> meaning they aren't techincally in need of balancing, but </t>
    </r>
    <r>
      <rPr>
        <rFont val="Arial"/>
        <color rgb="FFB45F06"/>
      </rPr>
      <t>could be adjusted</t>
    </r>
    <r>
      <rPr>
        <rFont val="Arial"/>
        <color theme="1"/>
      </rPr>
      <t>.</t>
    </r>
  </si>
  <si>
    <r>
      <rPr>
        <rFont val="Arial"/>
        <color theme="1"/>
      </rPr>
      <t xml:space="preserve">Display agents that have </t>
    </r>
    <r>
      <rPr>
        <rFont val="Arial"/>
        <color rgb="FF1155CC"/>
      </rPr>
      <t>unbalanced Out%</t>
    </r>
    <r>
      <rPr>
        <rFont val="Arial"/>
        <color theme="1"/>
      </rPr>
      <t xml:space="preserve"> results </t>
    </r>
    <r>
      <rPr>
        <rFont val="Arial"/>
        <color rgb="FF1155CC"/>
      </rPr>
      <t>while being Level 2+</t>
    </r>
    <r>
      <rPr>
        <rFont val="Arial"/>
        <color theme="1"/>
      </rPr>
      <t xml:space="preserve">. These agents will </t>
    </r>
    <r>
      <rPr>
        <rFont val="Arial"/>
        <color rgb="FF1155CC"/>
      </rPr>
      <t>require more Inbound tasks (Calls)</t>
    </r>
    <r>
      <rPr>
        <rFont val="Arial"/>
        <color theme="1"/>
      </rPr>
      <t xml:space="preserve"> in order to be correctly balanced.</t>
    </r>
  </si>
  <si>
    <r>
      <rPr>
        <rFont val="Arial"/>
        <color theme="1"/>
      </rPr>
      <t xml:space="preserve">Display agents that have </t>
    </r>
    <r>
      <rPr>
        <rFont val="Arial"/>
        <color rgb="FFFF00FF"/>
      </rPr>
      <t>critically low CP/H</t>
    </r>
    <r>
      <rPr>
        <rFont val="Arial"/>
        <color theme="1"/>
      </rPr>
      <t xml:space="preserve"> which are being </t>
    </r>
    <r>
      <rPr>
        <rFont val="Arial"/>
        <color rgb="FFFF00FF"/>
      </rPr>
      <t>harmful to that agent's targets and quarterly goals</t>
    </r>
    <r>
      <rPr>
        <rFont val="Arial"/>
        <color theme="1"/>
      </rPr>
      <t xml:space="preserve">.  They should </t>
    </r>
    <r>
      <rPr>
        <rFont val="Arial"/>
        <color rgb="FFFF00FF"/>
      </rPr>
      <t>avoid specialized tasks (SAFE, BMRC, ULC LS..)</t>
    </r>
    <r>
      <rPr>
        <rFont val="Arial"/>
        <color theme="1"/>
      </rPr>
      <t xml:space="preserve"> and focus on Inbound or Outbound in normal quantity for a moment.</t>
    </r>
  </si>
  <si>
    <t>Red Flags Archives</t>
  </si>
  <si>
    <t>December 2025 Complete Report</t>
  </si>
  <si>
    <t/>
  </si>
  <si>
    <t>3</t>
  </si>
  <si>
    <t>2</t>
  </si>
  <si>
    <t>Masiero, Andre</t>
  </si>
  <si>
    <t>Gatore, Carl Carrel</t>
  </si>
  <si>
    <t>Rachdaoui, Kamal</t>
  </si>
  <si>
    <t>Norton, Bruce</t>
  </si>
  <si>
    <t>January 2026 Half-Month Report</t>
  </si>
  <si>
    <t>Bjorn, Valerie</t>
  </si>
  <si>
    <t>Hard, Kelly</t>
  </si>
  <si>
    <t>January 2026 Complete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</si>
</sst>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"/>
    <numFmt numFmtId="166" formatCode="0.0%"/>
  </numFmts>
  <fonts count="31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/>
    <font>
      <sz val="8.0"/>
      <color rgb="FF000000"/>
      <name val="Arial"/>
    </font>
    <font>
      <sz val="17.0"/>
      <color rgb="FFFFFFFF"/>
      <name val="Arial"/>
      <scheme val="minor"/>
    </font>
    <font>
      <color theme="1"/>
      <name val="Arial"/>
      <scheme val="minor"/>
    </font>
    <font>
      <sz val="17.0"/>
      <color theme="1"/>
      <name val="Arial"/>
      <scheme val="minor"/>
    </font>
    <font>
      <color rgb="FFFFFFFF"/>
      <name val="Arial"/>
      <scheme val="minor"/>
    </font>
    <font>
      <sz val="15.0"/>
      <color rgb="FFFFFFFF"/>
      <name val="Arial"/>
      <scheme val="minor"/>
    </font>
    <font>
      <sz val="16.0"/>
      <color rgb="FFFFFFFF"/>
      <name val="Arial"/>
      <scheme val="minor"/>
    </font>
    <font>
      <color theme="1"/>
      <name val="Arial"/>
    </font>
    <font>
      <sz val="21.0"/>
      <color theme="1"/>
      <name val="Arial"/>
    </font>
    <font>
      <sz val="1.0"/>
      <color rgb="FFFFFFFF"/>
      <name val="Arial"/>
      <scheme val="minor"/>
    </font>
    <font>
      <b/>
      <color theme="1"/>
      <name val="Arial"/>
    </font>
    <font>
      <b/>
      <color rgb="FFFFFFFF"/>
      <name val="Arial"/>
    </font>
    <font>
      <b/>
      <color rgb="FFFF0000"/>
      <name val="Arial"/>
      <scheme val="minor"/>
    </font>
    <font>
      <sz val="4.0"/>
      <color rgb="FFFFFFFF"/>
      <name val="Arial"/>
      <scheme val="minor"/>
    </font>
    <font>
      <sz val="23.0"/>
      <color theme="1"/>
      <name val="Arial"/>
      <scheme val="minor"/>
    </font>
    <font>
      <color rgb="FFFF0000"/>
      <name val="Arial"/>
      <scheme val="minor"/>
    </font>
    <font>
      <sz val="11.0"/>
      <color theme="1"/>
      <name val="Arial"/>
      <scheme val="minor"/>
    </font>
    <font>
      <sz val="10.0"/>
      <color rgb="FFFF0000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sz val="23.0"/>
      <color theme="1"/>
      <name val="Arial"/>
    </font>
    <font>
      <sz val="17.0"/>
      <color theme="1"/>
      <name val="Arial"/>
    </font>
    <font>
      <color rgb="FFFF0000"/>
      <name val="Arial"/>
    </font>
    <font>
      <sz val="11.0"/>
      <color theme="1"/>
      <name val="Arial"/>
    </font>
    <font>
      <color rgb="FFFFFFFF"/>
      <name val="Arial"/>
    </font>
    <font>
      <color rgb="FFFF9900"/>
      <name val="Arial"/>
    </font>
    <font>
      <color rgb="FFB6D7A8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351C75"/>
        <bgColor rgb="FF351C75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47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FF0000"/>
      </top>
    </border>
    <border>
      <top style="thick">
        <color rgb="FFFF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2" fillId="3" fontId="2" numFmtId="164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2" numFmtId="20" xfId="0" applyAlignment="1" applyBorder="1" applyFont="1" applyNumberFormat="1">
      <alignment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3" numFmtId="0" xfId="0" applyBorder="1" applyFont="1"/>
    <xf borderId="2" fillId="0" fontId="2" numFmtId="165" xfId="0" applyAlignment="1" applyBorder="1" applyFont="1" applyNumberFormat="1">
      <alignment readingOrder="0" shrinkToFit="0" vertical="bottom" wrapText="0"/>
    </xf>
    <xf borderId="2" fillId="0" fontId="2" numFmtId="20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horizontal="right" readingOrder="0" shrinkToFit="0" vertical="bottom" wrapText="0"/>
    </xf>
    <xf borderId="2" fillId="3" fontId="2" numFmtId="165" xfId="0" applyAlignment="1" applyBorder="1" applyFont="1" applyNumberFormat="1">
      <alignment readingOrder="0"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0" fontId="2" numFmtId="20" xfId="0" applyAlignment="1" applyBorder="1" applyFont="1" applyNumberFormat="1">
      <alignment shrinkToFit="0" vertical="bottom" wrapText="0"/>
    </xf>
    <xf borderId="2" fillId="3" fontId="2" numFmtId="20" xfId="0" applyAlignment="1" applyBorder="1" applyFont="1" applyNumberFormat="1">
      <alignment shrinkToFit="0" vertical="bottom" wrapText="0"/>
    </xf>
    <xf borderId="2" fillId="3" fontId="2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0" fontId="4" numFmtId="3" xfId="0" applyAlignment="1" applyFont="1" applyNumberFormat="1">
      <alignment horizontal="center" readingOrder="0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10" xfId="0" applyAlignment="1" applyFont="1" applyNumberFormat="1">
      <alignment horizontal="center" readingOrder="0" shrinkToFit="0" wrapText="0"/>
    </xf>
    <xf borderId="0" fillId="0" fontId="4" numFmtId="11" xfId="0" applyAlignment="1" applyFont="1" applyNumberFormat="1">
      <alignment horizontal="center" readingOrder="0" shrinkToFit="0" wrapText="0"/>
    </xf>
    <xf borderId="0" fillId="0" fontId="4" numFmtId="164" xfId="0" applyAlignment="1" applyFont="1" applyNumberFormat="1">
      <alignment horizontal="left" readingOrder="0" shrinkToFit="0" vertical="top" wrapText="0"/>
    </xf>
    <xf borderId="0" fillId="0" fontId="4" numFmtId="11" xfId="0" applyAlignment="1" applyFont="1" applyNumberForma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4" numFmtId="10" xfId="0" applyAlignment="1" applyFont="1" applyNumberForma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4" fontId="5" numFmtId="0" xfId="0" applyAlignment="1" applyFill="1" applyFont="1">
      <alignment horizontal="center" readingOrder="0" vertical="center"/>
    </xf>
    <xf borderId="0" fillId="4" fontId="5" numFmtId="3" xfId="0" applyAlignment="1" applyFont="1" applyNumberFormat="1">
      <alignment horizontal="center" readingOrder="0" vertical="center"/>
    </xf>
    <xf borderId="0" fillId="5" fontId="5" numFmtId="49" xfId="0" applyAlignment="1" applyFill="1" applyFont="1" applyNumberFormat="1">
      <alignment horizontal="center" readingOrder="0" vertical="center"/>
    </xf>
    <xf borderId="0" fillId="0" fontId="6" numFmtId="49" xfId="0" applyFont="1" applyNumberFormat="1"/>
    <xf borderId="0" fillId="0" fontId="6" numFmtId="0" xfId="0" applyAlignment="1" applyFont="1">
      <alignment horizontal="center"/>
    </xf>
    <xf borderId="0" fillId="0" fontId="6" numFmtId="3" xfId="0" applyAlignment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4" numFmtId="49" xfId="0" applyAlignment="1" applyFont="1" applyNumberFormat="1">
      <alignment horizontal="left" readingOrder="0" shrinkToFit="0" vertical="top" wrapText="0"/>
    </xf>
    <xf borderId="0" fillId="6" fontId="6" numFmtId="0" xfId="0" applyFill="1" applyFont="1"/>
    <xf borderId="0" fillId="0" fontId="6" numFmtId="49" xfId="0" applyAlignment="1" applyFont="1" applyNumberFormat="1">
      <alignment readingOrder="0"/>
    </xf>
    <xf borderId="0" fillId="6" fontId="6" numFmtId="49" xfId="0" applyFont="1" applyNumberFormat="1"/>
    <xf borderId="0" fillId="7" fontId="4" numFmtId="49" xfId="0" applyAlignment="1" applyFill="1" applyFont="1" applyNumberFormat="1">
      <alignment horizontal="left" readingOrder="0" shrinkToFit="0" vertical="top" wrapText="0"/>
    </xf>
    <xf borderId="0" fillId="8" fontId="7" numFmtId="49" xfId="0" applyAlignment="1" applyFill="1" applyFont="1" applyNumberFormat="1">
      <alignment horizontal="center" readingOrder="0" vertical="center"/>
    </xf>
    <xf borderId="0" fillId="8" fontId="6" numFmtId="0" xfId="0" applyAlignment="1" applyFont="1">
      <alignment horizontal="center"/>
    </xf>
    <xf borderId="0" fillId="8" fontId="6" numFmtId="3" xfId="0" applyAlignment="1" applyFont="1" applyNumberFormat="1">
      <alignment horizontal="center"/>
    </xf>
    <xf borderId="0" fillId="8" fontId="6" numFmtId="0" xfId="0" applyFont="1"/>
    <xf borderId="0" fillId="8" fontId="6" numFmtId="49" xfId="0" applyFont="1" applyNumberFormat="1"/>
    <xf borderId="0" fillId="0" fontId="6" numFmtId="3" xfId="0" applyFont="1" applyNumberFormat="1"/>
    <xf borderId="0" fillId="9" fontId="8" numFmtId="0" xfId="0" applyAlignment="1" applyFill="1" applyFont="1">
      <alignment readingOrder="0"/>
    </xf>
    <xf borderId="0" fillId="9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10" fontId="9" numFmtId="0" xfId="0" applyAlignment="1" applyFill="1" applyFont="1">
      <alignment horizontal="center" readingOrder="0" vertical="center"/>
    </xf>
    <xf borderId="0" fillId="10" fontId="10" numFmtId="0" xfId="0" applyAlignment="1" applyFont="1">
      <alignment horizontal="center" readingOrder="0" vertical="center"/>
    </xf>
    <xf borderId="0" fillId="10" fontId="10" numFmtId="4" xfId="0" applyAlignment="1" applyFont="1" applyNumberFormat="1">
      <alignment horizontal="center" readingOrder="0" vertical="center"/>
    </xf>
    <xf borderId="0" fillId="0" fontId="6" numFmtId="4" xfId="0" applyAlignment="1" applyFont="1" applyNumberFormat="1">
      <alignment horizontal="center"/>
    </xf>
    <xf borderId="4" fillId="11" fontId="11" numFmtId="0" xfId="0" applyAlignment="1" applyBorder="1" applyFill="1" applyFont="1">
      <alignment horizontal="center" vertical="bottom"/>
    </xf>
    <xf borderId="4" fillId="12" fontId="11" numFmtId="0" xfId="0" applyAlignment="1" applyBorder="1" applyFill="1" applyFont="1">
      <alignment horizontal="center" vertical="bottom"/>
    </xf>
    <xf borderId="4" fillId="13" fontId="11" numFmtId="0" xfId="0" applyAlignment="1" applyBorder="1" applyFill="1" applyFont="1">
      <alignment horizontal="center" vertical="bottom"/>
    </xf>
    <xf borderId="4" fillId="0" fontId="6" numFmtId="2" xfId="0" applyAlignment="1" applyBorder="1" applyFont="1" applyNumberFormat="1">
      <alignment horizontal="center"/>
    </xf>
    <xf borderId="4" fillId="11" fontId="11" numFmtId="2" xfId="0" applyAlignment="1" applyBorder="1" applyFont="1" applyNumberFormat="1">
      <alignment horizontal="center" vertical="bottom"/>
    </xf>
    <xf borderId="4" fillId="12" fontId="11" numFmtId="2" xfId="0" applyAlignment="1" applyBorder="1" applyFont="1" applyNumberFormat="1">
      <alignment horizontal="center" vertical="bottom"/>
    </xf>
    <xf borderId="4" fillId="13" fontId="11" numFmtId="2" xfId="0" applyAlignment="1" applyBorder="1" applyFont="1" applyNumberFormat="1">
      <alignment horizontal="center" vertical="bottom"/>
    </xf>
    <xf borderId="0" fillId="14" fontId="6" numFmtId="49" xfId="0" applyFill="1" applyFont="1" applyNumberFormat="1"/>
    <xf borderId="0" fillId="14" fontId="6" numFmtId="0" xfId="0" applyFont="1"/>
    <xf borderId="0" fillId="15" fontId="6" numFmtId="49" xfId="0" applyFill="1" applyFont="1" applyNumberFormat="1"/>
    <xf borderId="0" fillId="15" fontId="6" numFmtId="0" xfId="0" applyFont="1"/>
    <xf borderId="0" fillId="7" fontId="6" numFmtId="0" xfId="0" applyFont="1"/>
    <xf borderId="0" fillId="0" fontId="8" numFmtId="0" xfId="0" applyFont="1"/>
    <xf borderId="0" fillId="16" fontId="12" numFmtId="0" xfId="0" applyAlignment="1" applyFill="1" applyFont="1">
      <alignment horizontal="center" vertical="bottom"/>
    </xf>
    <xf borderId="0" fillId="17" fontId="8" numFmtId="0" xfId="0" applyAlignment="1" applyFill="1" applyFont="1">
      <alignment readingOrder="0"/>
    </xf>
    <xf borderId="0" fillId="17" fontId="8" numFmtId="10" xfId="0" applyAlignment="1" applyFont="1" applyNumberFormat="1">
      <alignment horizontal="center" readingOrder="0"/>
    </xf>
    <xf borderId="0" fillId="17" fontId="8" numFmtId="0" xfId="0" applyAlignment="1" applyFont="1">
      <alignment horizontal="center" readingOrder="0"/>
    </xf>
    <xf borderId="0" fillId="18" fontId="6" numFmtId="0" xfId="0" applyFill="1" applyFont="1"/>
    <xf borderId="0" fillId="0" fontId="6" numFmtId="10" xfId="0" applyFont="1" applyNumberFormat="1"/>
    <xf borderId="0" fillId="0" fontId="6" numFmtId="166" xfId="0" applyFont="1" applyNumberFormat="1"/>
    <xf borderId="0" fillId="16" fontId="12" numFmtId="0" xfId="0" applyAlignment="1" applyFont="1">
      <alignment horizontal="center" readingOrder="0" vertical="bottom"/>
    </xf>
    <xf borderId="5" fillId="0" fontId="6" numFmtId="0" xfId="0" applyBorder="1" applyFont="1"/>
    <xf borderId="6" fillId="0" fontId="6" numFmtId="0" xfId="0" applyBorder="1" applyFont="1"/>
    <xf borderId="0" fillId="0" fontId="6" numFmtId="0" xfId="0" applyFont="1"/>
    <xf borderId="0" fillId="0" fontId="6" numFmtId="10" xfId="0" applyAlignment="1" applyFont="1" applyNumberFormat="1">
      <alignment horizontal="center"/>
    </xf>
    <xf borderId="6" fillId="0" fontId="8" numFmtId="0" xfId="0" applyBorder="1" applyFont="1"/>
    <xf borderId="6" fillId="0" fontId="6" numFmtId="10" xfId="0" applyBorder="1" applyFont="1" applyNumberFormat="1"/>
    <xf borderId="0" fillId="0" fontId="13" numFmtId="0" xfId="0" applyFont="1"/>
    <xf borderId="7" fillId="8" fontId="14" numFmtId="0" xfId="0" applyAlignment="1" applyBorder="1" applyFont="1">
      <alignment horizontal="center"/>
    </xf>
    <xf borderId="8" fillId="8" fontId="14" numFmtId="0" xfId="0" applyAlignment="1" applyBorder="1" applyFont="1">
      <alignment horizontal="center"/>
    </xf>
    <xf borderId="9" fillId="8" fontId="14" numFmtId="0" xfId="0" applyAlignment="1" applyBorder="1" applyFont="1">
      <alignment horizontal="center"/>
    </xf>
    <xf borderId="10" fillId="8" fontId="14" numFmtId="0" xfId="0" applyAlignment="1" applyBorder="1" applyFont="1">
      <alignment horizontal="center"/>
    </xf>
    <xf borderId="7" fillId="8" fontId="14" numFmtId="0" xfId="0" applyAlignment="1" applyBorder="1" applyFont="1">
      <alignment horizontal="center"/>
    </xf>
    <xf borderId="7" fillId="8" fontId="14" numFmtId="0" xfId="0" applyAlignment="1" applyBorder="1" applyFont="1">
      <alignment horizontal="center" readingOrder="0"/>
    </xf>
    <xf borderId="11" fillId="17" fontId="15" numFmtId="10" xfId="0" applyAlignment="1" applyBorder="1" applyFont="1" applyNumberFormat="1">
      <alignment horizontal="center"/>
    </xf>
    <xf borderId="12" fillId="8" fontId="14" numFmtId="9" xfId="0" applyAlignment="1" applyBorder="1" applyFont="1" applyNumberFormat="1">
      <alignment horizontal="center"/>
    </xf>
    <xf borderId="13" fillId="8" fontId="14" numFmtId="0" xfId="0" applyAlignment="1" applyBorder="1" applyFont="1">
      <alignment horizontal="center"/>
    </xf>
    <xf borderId="13" fillId="17" fontId="15" numFmtId="0" xfId="0" applyAlignment="1" applyBorder="1" applyFont="1">
      <alignment horizontal="center" readingOrder="0"/>
    </xf>
    <xf borderId="13" fillId="8" fontId="14" numFmtId="0" xfId="0" applyAlignment="1" applyBorder="1" applyFont="1">
      <alignment horizontal="center" readingOrder="0"/>
    </xf>
    <xf borderId="14" fillId="19" fontId="14" numFmtId="0" xfId="0" applyAlignment="1" applyBorder="1" applyFill="1" applyFont="1">
      <alignment horizontal="center"/>
    </xf>
    <xf borderId="15" fillId="19" fontId="15" numFmtId="0" xfId="0" applyAlignment="1" applyBorder="1" applyFont="1">
      <alignment horizontal="center"/>
    </xf>
    <xf borderId="0" fillId="18" fontId="16" numFmtId="0" xfId="0" applyAlignment="1" applyFont="1">
      <alignment readingOrder="0"/>
    </xf>
    <xf borderId="0" fillId="0" fontId="17" numFmtId="0" xfId="0" applyFont="1"/>
    <xf borderId="16" fillId="20" fontId="6" numFmtId="49" xfId="0" applyAlignment="1" applyBorder="1" applyFill="1" applyFont="1" applyNumberFormat="1">
      <alignment readingOrder="0"/>
    </xf>
    <xf borderId="17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18" fillId="0" fontId="6" numFmtId="0" xfId="0" applyAlignment="1" applyBorder="1" applyFont="1">
      <alignment horizontal="center"/>
    </xf>
    <xf borderId="8" fillId="17" fontId="8" numFmtId="0" xfId="0" applyAlignment="1" applyBorder="1" applyFont="1">
      <alignment horizontal="center"/>
    </xf>
    <xf borderId="9" fillId="17" fontId="8" numFmtId="0" xfId="0" applyAlignment="1" applyBorder="1" applyFont="1">
      <alignment horizontal="center"/>
    </xf>
    <xf borderId="10" fillId="17" fontId="8" numFmtId="0" xfId="0" applyAlignment="1" applyBorder="1" applyFont="1">
      <alignment horizontal="center"/>
    </xf>
    <xf borderId="0" fillId="17" fontId="8" numFmtId="10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17" fontId="8" numFmtId="9" xfId="0" applyAlignment="1" applyFont="1" applyNumberFormat="1">
      <alignment horizontal="center"/>
    </xf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19" fillId="17" fontId="8" numFmtId="0" xfId="0" applyAlignment="1" applyBorder="1" applyFont="1">
      <alignment horizontal="center"/>
    </xf>
    <xf borderId="20" fillId="20" fontId="6" numFmtId="49" xfId="0" applyAlignment="1" applyBorder="1" applyFont="1" applyNumberFormat="1">
      <alignment readingOrder="0"/>
    </xf>
    <xf borderId="17" fillId="17" fontId="8" numFmtId="0" xfId="0" applyAlignment="1" applyBorder="1" applyFont="1">
      <alignment horizontal="center"/>
    </xf>
    <xf borderId="4" fillId="17" fontId="8" numFmtId="0" xfId="0" applyAlignment="1" applyBorder="1" applyFont="1">
      <alignment horizontal="center"/>
    </xf>
    <xf borderId="18" fillId="17" fontId="8" numFmtId="0" xfId="0" applyAlignment="1" applyBorder="1" applyFont="1">
      <alignment horizontal="center"/>
    </xf>
    <xf borderId="21" fillId="20" fontId="6" numFmtId="49" xfId="0" applyAlignment="1" applyBorder="1" applyFont="1" applyNumberFormat="1">
      <alignment readingOrder="0"/>
    </xf>
    <xf borderId="22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/>
    </xf>
    <xf borderId="24" fillId="17" fontId="8" numFmtId="0" xfId="0" applyAlignment="1" applyBorder="1" applyFont="1">
      <alignment horizontal="center"/>
    </xf>
    <xf borderId="4" fillId="17" fontId="8" numFmtId="0" xfId="0" applyBorder="1" applyFont="1"/>
    <xf borderId="25" fillId="0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27" fillId="20" fontId="6" numFmtId="49" xfId="0" applyAlignment="1" applyBorder="1" applyFont="1" applyNumberFormat="1">
      <alignment readingOrder="0"/>
    </xf>
    <xf borderId="28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28" fillId="17" fontId="8" numFmtId="0" xfId="0" applyAlignment="1" applyBorder="1" applyFont="1">
      <alignment horizontal="center"/>
    </xf>
    <xf borderId="29" fillId="17" fontId="8" numFmtId="0" xfId="0" applyAlignment="1" applyBorder="1" applyFont="1">
      <alignment horizontal="center"/>
    </xf>
    <xf borderId="29" fillId="17" fontId="8" numFmtId="0" xfId="0" applyBorder="1" applyFont="1"/>
    <xf borderId="23" fillId="17" fontId="8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6" fillId="17" fontId="8" numFmtId="10" xfId="0" applyAlignment="1" applyBorder="1" applyFont="1" applyNumberFormat="1">
      <alignment horizontal="center"/>
    </xf>
    <xf borderId="6" fillId="0" fontId="6" numFmtId="9" xfId="0" applyAlignment="1" applyBorder="1" applyFont="1" applyNumberFormat="1">
      <alignment horizontal="center"/>
    </xf>
    <xf borderId="6" fillId="0" fontId="6" numFmtId="10" xfId="0" applyAlignment="1" applyBorder="1" applyFont="1" applyNumberFormat="1">
      <alignment horizontal="center"/>
    </xf>
    <xf borderId="19" fillId="7" fontId="8" numFmtId="0" xfId="0" applyAlignment="1" applyBorder="1" applyFont="1">
      <alignment horizontal="center" readingOrder="0"/>
    </xf>
    <xf borderId="19" fillId="7" fontId="8" numFmtId="0" xfId="0" applyAlignment="1" applyBorder="1" applyFont="1">
      <alignment horizontal="center"/>
    </xf>
    <xf borderId="30" fillId="8" fontId="18" numFmtId="0" xfId="0" applyAlignment="1" applyBorder="1" applyFont="1">
      <alignment horizontal="center" readingOrder="0" vertical="center"/>
    </xf>
    <xf borderId="31" fillId="0" fontId="3" numFmtId="0" xfId="0" applyBorder="1" applyFont="1"/>
    <xf borderId="32" fillId="0" fontId="3" numFmtId="0" xfId="0" applyBorder="1" applyFont="1"/>
    <xf borderId="0" fillId="0" fontId="7" numFmtId="0" xfId="0" applyAlignment="1" applyFont="1">
      <alignment horizontal="center" readingOrder="0"/>
    </xf>
    <xf borderId="0" fillId="18" fontId="19" numFmtId="0" xfId="0" applyAlignment="1" applyFont="1">
      <alignment horizontal="center"/>
    </xf>
    <xf borderId="0" fillId="0" fontId="18" numFmtId="0" xfId="0" applyAlignment="1" applyFont="1">
      <alignment horizontal="center" readingOrder="0" vertical="center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0" fillId="0" fontId="20" numFmtId="0" xfId="0" applyAlignment="1" applyFont="1">
      <alignment horizontal="center" readingOrder="0"/>
    </xf>
    <xf borderId="0" fillId="18" fontId="19" numFmtId="0" xfId="0" applyAlignment="1" applyFont="1">
      <alignment horizontal="center" readingOrder="0"/>
    </xf>
    <xf borderId="0" fillId="18" fontId="21" numFmtId="16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30" fillId="21" fontId="8" numFmtId="0" xfId="0" applyAlignment="1" applyBorder="1" applyFill="1" applyFont="1">
      <alignment horizontal="center" readingOrder="0" vertical="center"/>
    </xf>
    <xf borderId="30" fillId="22" fontId="8" numFmtId="0" xfId="0" applyAlignment="1" applyBorder="1" applyFill="1" applyFont="1">
      <alignment horizontal="center" readingOrder="0" vertical="center"/>
    </xf>
    <xf borderId="30" fillId="23" fontId="8" numFmtId="0" xfId="0" applyAlignment="1" applyBorder="1" applyFill="1" applyFont="1">
      <alignment horizontal="center" readingOrder="0" vertical="center"/>
    </xf>
    <xf borderId="30" fillId="24" fontId="8" numFmtId="0" xfId="0" applyAlignment="1" applyBorder="1" applyFill="1" applyFont="1">
      <alignment horizontal="center" readingOrder="0" vertical="center"/>
    </xf>
    <xf borderId="36" fillId="25" fontId="8" numFmtId="0" xfId="0" applyAlignment="1" applyBorder="1" applyFill="1" applyFont="1">
      <alignment readingOrder="0"/>
    </xf>
    <xf borderId="0" fillId="25" fontId="8" numFmtId="10" xfId="0" applyAlignment="1" applyFont="1" applyNumberFormat="1">
      <alignment horizontal="center" readingOrder="0"/>
    </xf>
    <xf borderId="0" fillId="25" fontId="8" numFmtId="0" xfId="0" applyAlignment="1" applyFont="1">
      <alignment horizontal="center" readingOrder="0"/>
    </xf>
    <xf borderId="37" fillId="25" fontId="8" numFmtId="0" xfId="0" applyAlignment="1" applyBorder="1" applyFont="1">
      <alignment horizontal="center" readingOrder="0"/>
    </xf>
    <xf borderId="36" fillId="26" fontId="8" numFmtId="0" xfId="0" applyAlignment="1" applyBorder="1" applyFill="1" applyFont="1">
      <alignment readingOrder="0"/>
    </xf>
    <xf borderId="0" fillId="26" fontId="8" numFmtId="10" xfId="0" applyAlignment="1" applyFont="1" applyNumberFormat="1">
      <alignment horizontal="center" readingOrder="0"/>
    </xf>
    <xf borderId="0" fillId="26" fontId="8" numFmtId="0" xfId="0" applyAlignment="1" applyFont="1">
      <alignment horizontal="center" readingOrder="0"/>
    </xf>
    <xf borderId="37" fillId="26" fontId="8" numFmtId="0" xfId="0" applyAlignment="1" applyBorder="1" applyFont="1">
      <alignment horizontal="center" readingOrder="0"/>
    </xf>
    <xf borderId="36" fillId="27" fontId="8" numFmtId="0" xfId="0" applyAlignment="1" applyBorder="1" applyFill="1" applyFont="1">
      <alignment readingOrder="0"/>
    </xf>
    <xf borderId="0" fillId="27" fontId="8" numFmtId="0" xfId="0" applyAlignment="1" applyFont="1">
      <alignment horizontal="center" readingOrder="0"/>
    </xf>
    <xf borderId="37" fillId="27" fontId="8" numFmtId="0" xfId="0" applyAlignment="1" applyBorder="1" applyFont="1">
      <alignment horizontal="center" readingOrder="0"/>
    </xf>
    <xf borderId="36" fillId="28" fontId="8" numFmtId="0" xfId="0" applyAlignment="1" applyBorder="1" applyFill="1" applyFont="1">
      <alignment readingOrder="0"/>
    </xf>
    <xf borderId="0" fillId="28" fontId="8" numFmtId="0" xfId="0" applyAlignment="1" applyFont="1">
      <alignment horizontal="center" readingOrder="0"/>
    </xf>
    <xf borderId="37" fillId="28" fontId="8" numFmtId="0" xfId="0" applyAlignment="1" applyBorder="1" applyFont="1">
      <alignment horizontal="center" readingOrder="0"/>
    </xf>
    <xf borderId="36" fillId="29" fontId="6" numFmtId="0" xfId="0" applyBorder="1" applyFill="1" applyFont="1"/>
    <xf borderId="0" fillId="29" fontId="6" numFmtId="9" xfId="0" applyFont="1" applyNumberFormat="1"/>
    <xf borderId="0" fillId="29" fontId="6" numFmtId="10" xfId="0" applyAlignment="1" applyFont="1" applyNumberFormat="1">
      <alignment horizontal="center"/>
    </xf>
    <xf borderId="37" fillId="29" fontId="6" numFmtId="0" xfId="0" applyAlignment="1" applyBorder="1" applyFont="1">
      <alignment horizontal="center"/>
    </xf>
    <xf borderId="36" fillId="30" fontId="6" numFmtId="0" xfId="0" applyBorder="1" applyFill="1" applyFont="1"/>
    <xf borderId="0" fillId="30" fontId="6" numFmtId="9" xfId="0" applyFont="1" applyNumberFormat="1"/>
    <xf borderId="0" fillId="30" fontId="6" numFmtId="9" xfId="0" applyAlignment="1" applyFont="1" applyNumberFormat="1">
      <alignment horizontal="center"/>
    </xf>
    <xf borderId="37" fillId="30" fontId="6" numFmtId="0" xfId="0" applyAlignment="1" applyBorder="1" applyFont="1">
      <alignment horizontal="center"/>
    </xf>
    <xf borderId="36" fillId="14" fontId="6" numFmtId="0" xfId="0" applyBorder="1" applyFont="1"/>
    <xf borderId="0" fillId="14" fontId="6" numFmtId="9" xfId="0" applyFont="1" applyNumberFormat="1"/>
    <xf borderId="0" fillId="14" fontId="6" numFmtId="9" xfId="0" applyAlignment="1" applyFont="1" applyNumberFormat="1">
      <alignment horizontal="center"/>
    </xf>
    <xf borderId="37" fillId="14" fontId="6" numFmtId="0" xfId="0" applyAlignment="1" applyBorder="1" applyFont="1">
      <alignment horizontal="center"/>
    </xf>
    <xf borderId="36" fillId="31" fontId="6" numFmtId="49" xfId="0" applyBorder="1" applyFill="1" applyFont="1" applyNumberFormat="1"/>
    <xf borderId="0" fillId="31" fontId="6" numFmtId="0" xfId="0" applyAlignment="1" applyFont="1">
      <alignment horizontal="center"/>
    </xf>
    <xf borderId="37" fillId="31" fontId="6" numFmtId="0" xfId="0" applyAlignment="1" applyBorder="1" applyFont="1">
      <alignment horizontal="center"/>
    </xf>
    <xf borderId="36" fillId="31" fontId="6" numFmtId="0" xfId="0" applyBorder="1" applyFont="1"/>
    <xf borderId="33" fillId="29" fontId="6" numFmtId="0" xfId="0" applyBorder="1" applyFont="1"/>
    <xf borderId="33" fillId="30" fontId="6" numFmtId="0" xfId="0" applyBorder="1" applyFont="1"/>
    <xf borderId="33" fillId="14" fontId="6" numFmtId="0" xfId="0" applyBorder="1" applyFont="1"/>
    <xf borderId="33" fillId="31" fontId="6" numFmtId="0" xfId="0" applyBorder="1" applyFont="1"/>
    <xf borderId="31" fillId="0" fontId="6" numFmtId="0" xfId="0" applyBorder="1" applyFont="1"/>
    <xf borderId="31" fillId="0" fontId="6" numFmtId="0" xfId="0" applyAlignment="1" applyBorder="1" applyFont="1">
      <alignment horizontal="center"/>
    </xf>
    <xf borderId="38" fillId="21" fontId="8" numFmtId="0" xfId="0" applyAlignment="1" applyBorder="1" applyFont="1">
      <alignment horizontal="center" readingOrder="0" vertical="center"/>
    </xf>
    <xf borderId="39" fillId="7" fontId="23" numFmtId="0" xfId="0" applyAlignment="1" applyBorder="1" applyFont="1">
      <alignment horizontal="left" readingOrder="0" vertical="center"/>
    </xf>
    <xf borderId="39" fillId="0" fontId="3" numFmtId="0" xfId="0" applyBorder="1" applyFont="1"/>
    <xf borderId="40" fillId="0" fontId="3" numFmtId="0" xfId="0" applyBorder="1" applyFont="1"/>
    <xf borderId="41" fillId="22" fontId="8" numFmtId="0" xfId="0" applyAlignment="1" applyBorder="1" applyFont="1">
      <alignment horizontal="center" readingOrder="0" vertical="center"/>
    </xf>
    <xf borderId="42" fillId="0" fontId="6" numFmtId="0" xfId="0" applyAlignment="1" applyBorder="1" applyFont="1">
      <alignment readingOrder="0"/>
    </xf>
    <xf borderId="42" fillId="0" fontId="3" numFmtId="0" xfId="0" applyBorder="1" applyFont="1"/>
    <xf borderId="43" fillId="0" fontId="3" numFmtId="0" xfId="0" applyBorder="1" applyFont="1"/>
    <xf borderId="41" fillId="23" fontId="8" numFmtId="0" xfId="0" applyAlignment="1" applyBorder="1" applyFont="1">
      <alignment horizontal="center" readingOrder="0" vertical="center"/>
    </xf>
    <xf borderId="44" fillId="24" fontId="8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readingOrder="0"/>
    </xf>
    <xf borderId="45" fillId="0" fontId="3" numFmtId="0" xfId="0" applyBorder="1" applyFont="1"/>
    <xf borderId="46" fillId="0" fontId="3" numFmtId="0" xfId="0" applyBorder="1" applyFont="1"/>
    <xf borderId="30" fillId="32" fontId="24" numFmtId="0" xfId="0" applyAlignment="1" applyBorder="1" applyFill="1" applyFont="1">
      <alignment horizontal="center" readingOrder="0"/>
    </xf>
    <xf borderId="0" fillId="0" fontId="25" numFmtId="0" xfId="0" applyAlignment="1" applyFont="1">
      <alignment horizontal="center" vertical="bottom"/>
    </xf>
    <xf borderId="0" fillId="18" fontId="26" numFmtId="0" xfId="0" applyAlignment="1" applyFont="1">
      <alignment horizontal="center" readingOrder="0" vertical="bottom"/>
    </xf>
    <xf borderId="0" fillId="0" fontId="11" numFmtId="0" xfId="0" applyFont="1"/>
    <xf borderId="0" fillId="0" fontId="27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30" fillId="21" fontId="28" numFmtId="0" xfId="0" applyAlignment="1" applyBorder="1" applyFont="1">
      <alignment horizontal="center" readingOrder="0"/>
    </xf>
    <xf borderId="30" fillId="22" fontId="28" numFmtId="0" xfId="0" applyAlignment="1" applyBorder="1" applyFont="1">
      <alignment horizontal="center" readingOrder="0"/>
    </xf>
    <xf borderId="30" fillId="23" fontId="28" numFmtId="0" xfId="0" applyAlignment="1" applyBorder="1" applyFont="1">
      <alignment horizontal="center" readingOrder="0"/>
    </xf>
    <xf borderId="30" fillId="24" fontId="28" numFmtId="0" xfId="0" applyAlignment="1" applyBorder="1" applyFont="1">
      <alignment horizontal="center" readingOrder="0"/>
    </xf>
    <xf borderId="36" fillId="25" fontId="28" numFmtId="0" xfId="0" applyAlignment="1" applyBorder="1" applyFont="1">
      <alignment readingOrder="0" vertical="bottom"/>
    </xf>
    <xf borderId="0" fillId="25" fontId="28" numFmtId="10" xfId="0" applyAlignment="1" applyFont="1" applyNumberFormat="1">
      <alignment horizontal="center" readingOrder="0" vertical="bottom"/>
    </xf>
    <xf borderId="0" fillId="25" fontId="28" numFmtId="0" xfId="0" applyAlignment="1" applyFont="1">
      <alignment horizontal="center" readingOrder="0" vertical="bottom"/>
    </xf>
    <xf borderId="37" fillId="25" fontId="28" numFmtId="0" xfId="0" applyAlignment="1" applyBorder="1" applyFont="1">
      <alignment horizontal="center" readingOrder="0" vertical="bottom"/>
    </xf>
    <xf borderId="36" fillId="26" fontId="28" numFmtId="0" xfId="0" applyAlignment="1" applyBorder="1" applyFont="1">
      <alignment readingOrder="0" vertical="bottom"/>
    </xf>
    <xf borderId="0" fillId="26" fontId="28" numFmtId="10" xfId="0" applyAlignment="1" applyFont="1" applyNumberFormat="1">
      <alignment horizontal="center" readingOrder="0" vertical="bottom"/>
    </xf>
    <xf borderId="0" fillId="26" fontId="28" numFmtId="0" xfId="0" applyAlignment="1" applyFont="1">
      <alignment horizontal="center" readingOrder="0" vertical="bottom"/>
    </xf>
    <xf borderId="37" fillId="26" fontId="28" numFmtId="0" xfId="0" applyAlignment="1" applyBorder="1" applyFont="1">
      <alignment horizontal="center" readingOrder="0" vertical="bottom"/>
    </xf>
    <xf borderId="36" fillId="27" fontId="28" numFmtId="0" xfId="0" applyAlignment="1" applyBorder="1" applyFont="1">
      <alignment readingOrder="0" vertical="bottom"/>
    </xf>
    <xf borderId="0" fillId="27" fontId="28" numFmtId="0" xfId="0" applyAlignment="1" applyFont="1">
      <alignment horizontal="center" readingOrder="0" vertical="bottom"/>
    </xf>
    <xf borderId="37" fillId="27" fontId="28" numFmtId="0" xfId="0" applyAlignment="1" applyBorder="1" applyFont="1">
      <alignment horizontal="center" readingOrder="0" vertical="bottom"/>
    </xf>
    <xf borderId="36" fillId="28" fontId="28" numFmtId="0" xfId="0" applyAlignment="1" applyBorder="1" applyFont="1">
      <alignment readingOrder="0" vertical="bottom"/>
    </xf>
    <xf borderId="0" fillId="28" fontId="28" numFmtId="0" xfId="0" applyAlignment="1" applyFont="1">
      <alignment horizontal="center" readingOrder="0" vertical="bottom"/>
    </xf>
    <xf borderId="37" fillId="28" fontId="28" numFmtId="0" xfId="0" applyAlignment="1" applyBorder="1" applyFont="1">
      <alignment horizontal="center" readingOrder="0" vertical="bottom"/>
    </xf>
    <xf borderId="36" fillId="29" fontId="11" numFmtId="0" xfId="0" applyAlignment="1" applyBorder="1" applyFont="1">
      <alignment vertical="bottom"/>
    </xf>
    <xf borderId="0" fillId="29" fontId="11" numFmtId="9" xfId="0" applyAlignment="1" applyFont="1" applyNumberFormat="1">
      <alignment horizontal="right" vertical="bottom"/>
    </xf>
    <xf borderId="0" fillId="29" fontId="11" numFmtId="10" xfId="0" applyAlignment="1" applyFont="1" applyNumberFormat="1">
      <alignment horizontal="center" vertical="bottom"/>
    </xf>
    <xf borderId="37" fillId="29" fontId="11" numFmtId="0" xfId="0" applyAlignment="1" applyBorder="1" applyFont="1">
      <alignment horizontal="center" vertical="bottom"/>
    </xf>
    <xf borderId="36" fillId="30" fontId="11" numFmtId="0" xfId="0" applyAlignment="1" applyBorder="1" applyFont="1">
      <alignment vertical="bottom"/>
    </xf>
    <xf borderId="0" fillId="30" fontId="11" numFmtId="9" xfId="0" applyAlignment="1" applyFont="1" applyNumberFormat="1">
      <alignment horizontal="right" vertical="bottom"/>
    </xf>
    <xf borderId="0" fillId="30" fontId="11" numFmtId="9" xfId="0" applyAlignment="1" applyFont="1" applyNumberFormat="1">
      <alignment horizontal="center" vertical="bottom"/>
    </xf>
    <xf borderId="37" fillId="30" fontId="11" numFmtId="0" xfId="0" applyAlignment="1" applyBorder="1" applyFont="1">
      <alignment horizontal="center" vertical="bottom"/>
    </xf>
    <xf borderId="36" fillId="14" fontId="11" numFmtId="0" xfId="0" applyAlignment="1" applyBorder="1" applyFont="1">
      <alignment vertical="bottom"/>
    </xf>
    <xf borderId="0" fillId="14" fontId="11" numFmtId="9" xfId="0" applyAlignment="1" applyFont="1" applyNumberFormat="1">
      <alignment vertical="bottom"/>
    </xf>
    <xf borderId="37" fillId="14" fontId="11" numFmtId="0" xfId="0" applyAlignment="1" applyBorder="1" applyFont="1">
      <alignment vertical="bottom"/>
    </xf>
    <xf borderId="36" fillId="31" fontId="11" numFmtId="49" xfId="0" applyAlignment="1" applyBorder="1" applyFont="1" applyNumberFormat="1">
      <alignment vertical="bottom"/>
    </xf>
    <xf borderId="0" fillId="31" fontId="11" numFmtId="0" xfId="0" applyAlignment="1" applyFont="1">
      <alignment horizontal="center" vertical="bottom"/>
    </xf>
    <xf borderId="0" fillId="33" fontId="29" numFmtId="0" xfId="0" applyAlignment="1" applyFill="1" applyFont="1">
      <alignment horizontal="center" vertical="bottom"/>
    </xf>
    <xf borderId="37" fillId="34" fontId="30" numFmtId="0" xfId="0" applyAlignment="1" applyBorder="1" applyFill="1" applyFont="1">
      <alignment horizontal="center" vertical="bottom"/>
    </xf>
    <xf borderId="36" fillId="31" fontId="11" numFmtId="0" xfId="0" applyAlignment="1" applyBorder="1" applyFont="1">
      <alignment vertical="bottom"/>
    </xf>
    <xf borderId="0" fillId="29" fontId="29" numFmtId="0" xfId="0" applyAlignment="1" applyFont="1">
      <alignment horizontal="center" vertical="bottom"/>
    </xf>
    <xf borderId="37" fillId="29" fontId="30" numFmtId="0" xfId="0" applyAlignment="1" applyBorder="1" applyFont="1">
      <alignment horizontal="center" vertical="bottom"/>
    </xf>
    <xf borderId="0" fillId="31" fontId="11" numFmtId="0" xfId="0" applyAlignment="1" applyFont="1">
      <alignment vertical="bottom"/>
    </xf>
    <xf borderId="37" fillId="31" fontId="11" numFmtId="0" xfId="0" applyAlignment="1" applyBorder="1" applyFont="1">
      <alignment vertical="bottom"/>
    </xf>
    <xf borderId="0" fillId="29" fontId="11" numFmtId="9" xfId="0" applyAlignment="1" applyFont="1" applyNumberFormat="1">
      <alignment vertical="bottom"/>
    </xf>
    <xf borderId="0" fillId="29" fontId="11" numFmtId="10" xfId="0" applyAlignment="1" applyFont="1" applyNumberFormat="1">
      <alignment vertical="bottom"/>
    </xf>
    <xf borderId="37" fillId="29" fontId="11" numFmtId="0" xfId="0" applyAlignment="1" applyBorder="1" applyFont="1">
      <alignment vertical="bottom"/>
    </xf>
    <xf borderId="0" fillId="30" fontId="11" numFmtId="9" xfId="0" applyAlignment="1" applyFont="1" applyNumberFormat="1">
      <alignment vertical="bottom"/>
    </xf>
    <xf borderId="37" fillId="30" fontId="11" numFmtId="0" xfId="0" applyAlignment="1" applyBorder="1" applyFont="1">
      <alignment vertical="bottom"/>
    </xf>
    <xf borderId="33" fillId="29" fontId="11" numFmtId="0" xfId="0" applyAlignment="1" applyBorder="1" applyFont="1">
      <alignment vertical="bottom"/>
    </xf>
    <xf borderId="33" fillId="30" fontId="11" numFmtId="0" xfId="0" applyAlignment="1" applyBorder="1" applyFont="1">
      <alignment vertical="bottom"/>
    </xf>
    <xf borderId="33" fillId="14" fontId="11" numFmtId="0" xfId="0" applyAlignment="1" applyBorder="1" applyFont="1">
      <alignment vertical="bottom"/>
    </xf>
    <xf borderId="33" fillId="31" fontId="11" numFmtId="0" xfId="0" applyAlignment="1" applyBorder="1" applyFont="1">
      <alignment vertical="bottom"/>
    </xf>
    <xf borderId="0" fillId="32" fontId="8" numFmtId="0" xfId="0" applyAlignment="1" applyFont="1">
      <alignment horizontal="center" readingOrder="0" vertical="center"/>
    </xf>
  </cellXfs>
  <cellStyles count="1">
    <cellStyle xfId="0" name="Normal" builtinId="0"/>
  </cellStyles>
  <dxfs count="27"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D9EAD3"/>
      </font>
      <fill>
        <patternFill patternType="solid">
          <fgColor rgb="FFD9EAD3"/>
          <bgColor rgb="FFD9EAD3"/>
        </patternFill>
      </fill>
      <border/>
    </dxf>
    <dxf>
      <font>
        <color rgb="FFFF9900"/>
      </font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980000"/>
      </font>
      <fill>
        <patternFill patternType="solid">
          <fgColor rgb="FFF4CCCC"/>
          <bgColor rgb="FFF4CC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B6D7A8"/>
      </font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5" max="5" width="20.5"/>
    <col customWidth="1" min="8" max="8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3" t="s">
        <v>78</v>
      </c>
    </row>
    <row r="2">
      <c r="A2" s="4">
        <v>612.0</v>
      </c>
      <c r="B2" s="5" t="s">
        <v>79</v>
      </c>
      <c r="C2" s="5" t="s">
        <v>80</v>
      </c>
      <c r="D2" s="5">
        <v>773560.0</v>
      </c>
      <c r="E2" s="5" t="s">
        <v>81</v>
      </c>
      <c r="F2" s="6">
        <v>45957.0</v>
      </c>
      <c r="G2" s="7"/>
      <c r="H2" s="5" t="s">
        <v>82</v>
      </c>
      <c r="I2" s="5" t="s">
        <v>83</v>
      </c>
      <c r="J2" s="5" t="s">
        <v>84</v>
      </c>
      <c r="K2" s="5">
        <v>2.0</v>
      </c>
      <c r="L2" s="5" t="s">
        <v>85</v>
      </c>
      <c r="M2" s="5" t="s">
        <v>86</v>
      </c>
      <c r="N2" s="5" t="s">
        <v>87</v>
      </c>
      <c r="O2" s="5">
        <v>4.38365911E9</v>
      </c>
      <c r="P2" s="8"/>
      <c r="Q2" s="8"/>
      <c r="R2" s="9"/>
      <c r="S2" s="5" t="s">
        <v>88</v>
      </c>
      <c r="T2" s="5" t="s">
        <v>89</v>
      </c>
      <c r="U2" s="5">
        <v>1.0077356E8</v>
      </c>
      <c r="V2" s="9"/>
      <c r="W2" s="8"/>
      <c r="X2" s="5">
        <v>1.5141294009E10</v>
      </c>
      <c r="Y2" s="5">
        <v>1060061.0</v>
      </c>
      <c r="Z2" s="8"/>
      <c r="AA2" s="9"/>
      <c r="AB2" s="8"/>
      <c r="AC2" s="8"/>
      <c r="AD2" s="9"/>
      <c r="AE2" s="9"/>
      <c r="AF2" s="7"/>
      <c r="AG2" s="9"/>
      <c r="AH2" s="8"/>
      <c r="AI2" s="8"/>
      <c r="AJ2" s="5" t="s">
        <v>90</v>
      </c>
      <c r="AK2" s="5" t="s">
        <v>91</v>
      </c>
      <c r="AL2" s="5" t="s">
        <v>92</v>
      </c>
      <c r="AM2" s="10">
        <v>0.2708333333333333</v>
      </c>
      <c r="AN2" s="10">
        <v>0.7083333333333334</v>
      </c>
      <c r="AO2" s="8"/>
      <c r="AP2" s="8"/>
      <c r="AQ2" s="5" t="s">
        <v>93</v>
      </c>
      <c r="AR2" s="5" t="s">
        <v>94</v>
      </c>
      <c r="AS2" s="8"/>
      <c r="AT2" s="8"/>
      <c r="AU2" s="8"/>
      <c r="AV2" s="8"/>
      <c r="AW2" s="8"/>
      <c r="AX2" s="8"/>
      <c r="AY2" s="5" t="s">
        <v>95</v>
      </c>
      <c r="AZ2" s="8"/>
      <c r="BA2" s="5" t="s">
        <v>96</v>
      </c>
      <c r="BB2" s="5" t="s">
        <v>97</v>
      </c>
      <c r="BC2" s="5" t="s">
        <v>97</v>
      </c>
      <c r="BD2" s="5" t="s">
        <v>97</v>
      </c>
      <c r="BE2" s="5" t="s">
        <v>97</v>
      </c>
      <c r="BF2" s="5" t="s">
        <v>97</v>
      </c>
      <c r="BG2" s="5" t="s">
        <v>97</v>
      </c>
      <c r="BH2" s="5" t="s">
        <v>97</v>
      </c>
      <c r="BI2" s="9"/>
      <c r="BJ2" s="5" t="s">
        <v>98</v>
      </c>
      <c r="BK2" s="8"/>
      <c r="BL2" s="6">
        <v>46056.0</v>
      </c>
      <c r="BM2" s="6">
        <v>46092.0</v>
      </c>
      <c r="BN2" s="9"/>
      <c r="BO2" s="7"/>
      <c r="BP2" s="7"/>
      <c r="BQ2" s="9"/>
      <c r="BR2" s="7"/>
      <c r="BS2" s="7"/>
      <c r="BT2" s="9"/>
      <c r="BU2" s="5" t="s">
        <v>99</v>
      </c>
      <c r="BV2" s="5" t="s">
        <v>100</v>
      </c>
      <c r="BW2" s="9"/>
      <c r="BX2" s="5" t="s">
        <v>101</v>
      </c>
      <c r="BY2" s="6">
        <v>46030.0</v>
      </c>
      <c r="BZ2" s="5" t="s">
        <v>102</v>
      </c>
      <c r="CA2" s="11" t="s">
        <v>103</v>
      </c>
    </row>
    <row r="3">
      <c r="A3" s="12">
        <v>38.0</v>
      </c>
      <c r="B3" s="13" t="s">
        <v>104</v>
      </c>
      <c r="C3" s="13" t="s">
        <v>105</v>
      </c>
      <c r="D3" s="13">
        <v>955706.0</v>
      </c>
      <c r="E3" s="13" t="s">
        <v>81</v>
      </c>
      <c r="F3" s="14">
        <v>43171.0</v>
      </c>
      <c r="G3" s="15"/>
      <c r="H3" s="13" t="s">
        <v>106</v>
      </c>
      <c r="I3" s="13" t="s">
        <v>107</v>
      </c>
      <c r="J3" s="13" t="s">
        <v>84</v>
      </c>
      <c r="K3" s="13">
        <v>4.0</v>
      </c>
      <c r="L3" s="13" t="s">
        <v>108</v>
      </c>
      <c r="M3" s="13" t="s">
        <v>86</v>
      </c>
      <c r="N3" s="13" t="s">
        <v>87</v>
      </c>
      <c r="O3" s="13" t="s">
        <v>109</v>
      </c>
      <c r="P3" s="16"/>
      <c r="Q3" s="16"/>
      <c r="R3" s="13" t="s">
        <v>110</v>
      </c>
      <c r="S3" s="13" t="s">
        <v>111</v>
      </c>
      <c r="T3" s="13" t="s">
        <v>112</v>
      </c>
      <c r="U3" s="13">
        <v>1.00955706E8</v>
      </c>
      <c r="V3" s="13" t="s">
        <v>113</v>
      </c>
      <c r="W3" s="16"/>
      <c r="X3" s="13">
        <v>1.5143732207E10</v>
      </c>
      <c r="Y3" s="13">
        <v>1066843.0</v>
      </c>
      <c r="Z3" s="16"/>
      <c r="AA3" s="17"/>
      <c r="AB3" s="16"/>
      <c r="AC3" s="16"/>
      <c r="AD3" s="13" t="s">
        <v>114</v>
      </c>
      <c r="AE3" s="18"/>
      <c r="AF3" s="14">
        <v>43336.0</v>
      </c>
      <c r="AG3" s="13">
        <v>26564.0</v>
      </c>
      <c r="AH3" s="16"/>
      <c r="AI3" s="16"/>
      <c r="AJ3" s="13" t="s">
        <v>90</v>
      </c>
      <c r="AK3" s="13" t="s">
        <v>91</v>
      </c>
      <c r="AL3" s="19">
        <v>46115.0</v>
      </c>
      <c r="AM3" s="20">
        <v>0.125</v>
      </c>
      <c r="AN3" s="20">
        <v>0.5</v>
      </c>
      <c r="AO3" s="16"/>
      <c r="AP3" s="16"/>
      <c r="AQ3" s="13" t="s">
        <v>115</v>
      </c>
      <c r="AR3" s="13" t="s">
        <v>116</v>
      </c>
      <c r="AS3" s="16"/>
      <c r="AT3" s="16"/>
      <c r="AU3" s="16"/>
      <c r="AV3" s="16"/>
      <c r="AW3" s="16"/>
      <c r="AX3" s="16"/>
      <c r="AY3" s="13" t="s">
        <v>117</v>
      </c>
      <c r="AZ3" s="16"/>
      <c r="BA3" s="13">
        <v>66843.0</v>
      </c>
      <c r="BB3" s="13" t="s">
        <v>118</v>
      </c>
      <c r="BC3" s="13" t="s">
        <v>118</v>
      </c>
      <c r="BD3" s="13" t="s">
        <v>97</v>
      </c>
      <c r="BE3" s="13" t="s">
        <v>97</v>
      </c>
      <c r="BF3" s="13" t="s">
        <v>97</v>
      </c>
      <c r="BG3" s="13" t="s">
        <v>118</v>
      </c>
      <c r="BH3" s="13" t="s">
        <v>97</v>
      </c>
      <c r="BI3" s="13" t="s">
        <v>119</v>
      </c>
      <c r="BJ3" s="13" t="s">
        <v>98</v>
      </c>
      <c r="BK3" s="16"/>
      <c r="BL3" s="14">
        <v>43262.0</v>
      </c>
      <c r="BM3" s="14">
        <v>43314.0</v>
      </c>
      <c r="BN3" s="13" t="s">
        <v>120</v>
      </c>
      <c r="BO3" s="14">
        <v>45236.0</v>
      </c>
      <c r="BP3" s="14">
        <v>45236.0</v>
      </c>
      <c r="BQ3" s="13" t="s">
        <v>120</v>
      </c>
      <c r="BR3" s="14">
        <v>44873.0</v>
      </c>
      <c r="BS3" s="14">
        <v>45041.0</v>
      </c>
      <c r="BT3" s="13" t="s">
        <v>120</v>
      </c>
      <c r="BU3" s="13" t="s">
        <v>99</v>
      </c>
      <c r="BV3" s="13" t="s">
        <v>121</v>
      </c>
      <c r="BW3" s="21">
        <v>34.0</v>
      </c>
      <c r="BX3" s="13" t="s">
        <v>101</v>
      </c>
      <c r="BY3" s="14">
        <v>43243.0</v>
      </c>
      <c r="BZ3" s="13" t="s">
        <v>102</v>
      </c>
      <c r="CA3" s="22" t="s">
        <v>103</v>
      </c>
    </row>
    <row r="4">
      <c r="A4" s="4">
        <v>39.0</v>
      </c>
      <c r="B4" s="5" t="s">
        <v>122</v>
      </c>
      <c r="C4" s="5" t="s">
        <v>123</v>
      </c>
      <c r="D4" s="5">
        <v>955715.0</v>
      </c>
      <c r="E4" s="5" t="s">
        <v>81</v>
      </c>
      <c r="F4" s="6">
        <v>43744.0</v>
      </c>
      <c r="G4" s="6">
        <v>43437.0</v>
      </c>
      <c r="H4" s="5" t="s">
        <v>106</v>
      </c>
      <c r="I4" s="5" t="s">
        <v>83</v>
      </c>
      <c r="J4" s="5" t="s">
        <v>84</v>
      </c>
      <c r="K4" s="5">
        <v>4.0</v>
      </c>
      <c r="L4" s="5" t="s">
        <v>124</v>
      </c>
      <c r="M4" s="5" t="s">
        <v>125</v>
      </c>
      <c r="N4" s="5" t="s">
        <v>126</v>
      </c>
      <c r="O4" s="5" t="s">
        <v>127</v>
      </c>
      <c r="P4" s="8"/>
      <c r="Q4" s="8"/>
      <c r="R4" s="5" t="s">
        <v>128</v>
      </c>
      <c r="S4" s="5" t="s">
        <v>129</v>
      </c>
      <c r="T4" s="5" t="s">
        <v>130</v>
      </c>
      <c r="U4" s="5">
        <v>1.00955715E8</v>
      </c>
      <c r="V4" s="5" t="s">
        <v>131</v>
      </c>
      <c r="W4" s="8"/>
      <c r="X4" s="5">
        <v>1.6131293063E10</v>
      </c>
      <c r="Y4" s="5">
        <v>1062011.0</v>
      </c>
      <c r="Z4" s="8"/>
      <c r="AA4" s="5" t="s">
        <v>132</v>
      </c>
      <c r="AB4" s="8"/>
      <c r="AC4" s="9"/>
      <c r="AD4" s="5" t="s">
        <v>133</v>
      </c>
      <c r="AE4" s="18"/>
      <c r="AF4" s="6">
        <v>43570.0</v>
      </c>
      <c r="AG4" s="5">
        <v>28153.0</v>
      </c>
      <c r="AH4" s="8"/>
      <c r="AI4" s="8"/>
      <c r="AJ4" s="5" t="s">
        <v>90</v>
      </c>
      <c r="AK4" s="5" t="s">
        <v>91</v>
      </c>
      <c r="AL4" s="5" t="s">
        <v>92</v>
      </c>
      <c r="AM4" s="10">
        <v>0.3541666666666667</v>
      </c>
      <c r="AN4" s="10">
        <v>0.7708333333333334</v>
      </c>
      <c r="AO4" s="8"/>
      <c r="AP4" s="8"/>
      <c r="AQ4" s="5" t="s">
        <v>134</v>
      </c>
      <c r="AR4" s="5" t="s">
        <v>135</v>
      </c>
      <c r="AS4" s="8"/>
      <c r="AT4" s="8"/>
      <c r="AU4" s="8"/>
      <c r="AV4" s="8"/>
      <c r="AW4" s="8"/>
      <c r="AX4" s="8"/>
      <c r="AY4" s="5" t="s">
        <v>136</v>
      </c>
      <c r="AZ4" s="8"/>
      <c r="BA4" s="5" t="s">
        <v>96</v>
      </c>
      <c r="BB4" s="5" t="s">
        <v>97</v>
      </c>
      <c r="BC4" s="5" t="s">
        <v>97</v>
      </c>
      <c r="BD4" s="5" t="s">
        <v>97</v>
      </c>
      <c r="BE4" s="5" t="s">
        <v>97</v>
      </c>
      <c r="BF4" s="5" t="s">
        <v>97</v>
      </c>
      <c r="BG4" s="5" t="s">
        <v>97</v>
      </c>
      <c r="BH4" s="5" t="s">
        <v>97</v>
      </c>
      <c r="BI4" s="8"/>
      <c r="BJ4" s="5" t="s">
        <v>98</v>
      </c>
      <c r="BK4" s="8"/>
      <c r="BL4" s="6">
        <v>43526.0</v>
      </c>
      <c r="BM4" s="6">
        <v>43556.0</v>
      </c>
      <c r="BN4" s="5" t="s">
        <v>120</v>
      </c>
      <c r="BO4" s="6">
        <v>45245.0</v>
      </c>
      <c r="BP4" s="6">
        <v>45443.0</v>
      </c>
      <c r="BQ4" s="5" t="s">
        <v>120</v>
      </c>
      <c r="BR4" s="6">
        <v>45881.0</v>
      </c>
      <c r="BS4" s="6">
        <v>45954.0</v>
      </c>
      <c r="BT4" s="5" t="s">
        <v>120</v>
      </c>
      <c r="BU4" s="5" t="s">
        <v>99</v>
      </c>
      <c r="BV4" s="5" t="s">
        <v>121</v>
      </c>
      <c r="BW4" s="23">
        <v>35.0</v>
      </c>
      <c r="BX4" s="5" t="s">
        <v>101</v>
      </c>
      <c r="BY4" s="6">
        <v>43497.0</v>
      </c>
      <c r="BZ4" s="5" t="s">
        <v>102</v>
      </c>
      <c r="CA4" s="11" t="s">
        <v>103</v>
      </c>
    </row>
    <row r="5">
      <c r="A5" s="12">
        <v>409.0</v>
      </c>
      <c r="B5" s="13" t="s">
        <v>137</v>
      </c>
      <c r="C5" s="13" t="s">
        <v>138</v>
      </c>
      <c r="D5" s="13">
        <v>996872.0</v>
      </c>
      <c r="E5" s="13" t="s">
        <v>81</v>
      </c>
      <c r="F5" s="14">
        <v>44970.0</v>
      </c>
      <c r="G5" s="16"/>
      <c r="H5" s="13" t="s">
        <v>106</v>
      </c>
      <c r="I5" s="13" t="s">
        <v>139</v>
      </c>
      <c r="J5" s="13" t="s">
        <v>140</v>
      </c>
      <c r="K5" s="13">
        <v>4.0</v>
      </c>
      <c r="L5" s="13" t="s">
        <v>141</v>
      </c>
      <c r="M5" s="13" t="s">
        <v>142</v>
      </c>
      <c r="N5" s="13" t="s">
        <v>126</v>
      </c>
      <c r="O5" s="13">
        <v>5.145010683E9</v>
      </c>
      <c r="P5" s="16"/>
      <c r="Q5" s="16"/>
      <c r="R5" s="13" t="s">
        <v>143</v>
      </c>
      <c r="S5" s="13" t="s">
        <v>144</v>
      </c>
      <c r="T5" s="13" t="s">
        <v>145</v>
      </c>
      <c r="U5" s="13">
        <v>1.00996872E8</v>
      </c>
      <c r="V5" s="13" t="s">
        <v>138</v>
      </c>
      <c r="W5" s="16"/>
      <c r="X5" s="13">
        <v>1.9051291051E10</v>
      </c>
      <c r="Y5" s="13">
        <v>1110197.0</v>
      </c>
      <c r="Z5" s="16"/>
      <c r="AA5" s="16"/>
      <c r="AB5" s="16"/>
      <c r="AC5" s="17"/>
      <c r="AD5" s="13" t="s">
        <v>146</v>
      </c>
      <c r="AE5" s="17"/>
      <c r="AF5" s="14">
        <v>45546.0</v>
      </c>
      <c r="AG5" s="13">
        <v>996872.0</v>
      </c>
      <c r="AH5" s="16"/>
      <c r="AI5" s="16"/>
      <c r="AJ5" s="13" t="s">
        <v>90</v>
      </c>
      <c r="AK5" s="13" t="s">
        <v>91</v>
      </c>
      <c r="AL5" s="19">
        <v>46115.0</v>
      </c>
      <c r="AM5" s="20">
        <v>0.8958333333333334</v>
      </c>
      <c r="AN5" s="20">
        <v>0.2708333333333333</v>
      </c>
      <c r="AO5" s="16"/>
      <c r="AP5" s="16"/>
      <c r="AQ5" s="13" t="s">
        <v>147</v>
      </c>
      <c r="AR5" s="13" t="s">
        <v>148</v>
      </c>
      <c r="AS5" s="17"/>
      <c r="AT5" s="17"/>
      <c r="AU5" s="16"/>
      <c r="AV5" s="16"/>
      <c r="AW5" s="16"/>
      <c r="AX5" s="16"/>
      <c r="AY5" s="13" t="s">
        <v>149</v>
      </c>
      <c r="AZ5" s="16"/>
      <c r="BA5" s="13" t="s">
        <v>150</v>
      </c>
      <c r="BB5" s="13" t="s">
        <v>97</v>
      </c>
      <c r="BC5" s="13" t="s">
        <v>97</v>
      </c>
      <c r="BD5" s="13" t="s">
        <v>118</v>
      </c>
      <c r="BE5" s="13" t="s">
        <v>118</v>
      </c>
      <c r="BF5" s="13" t="s">
        <v>97</v>
      </c>
      <c r="BG5" s="13" t="s">
        <v>97</v>
      </c>
      <c r="BH5" s="13" t="s">
        <v>118</v>
      </c>
      <c r="BI5" s="16"/>
      <c r="BJ5" s="13" t="s">
        <v>151</v>
      </c>
      <c r="BK5" s="16"/>
      <c r="BL5" s="14">
        <v>45070.0</v>
      </c>
      <c r="BM5" s="14">
        <v>45127.0</v>
      </c>
      <c r="BN5" s="13" t="s">
        <v>120</v>
      </c>
      <c r="BO5" s="14">
        <v>45923.0</v>
      </c>
      <c r="BP5" s="14">
        <v>45979.0</v>
      </c>
      <c r="BQ5" s="13" t="s">
        <v>120</v>
      </c>
      <c r="BR5" s="14">
        <v>46064.0</v>
      </c>
      <c r="BS5" s="14">
        <v>46121.0</v>
      </c>
      <c r="BT5" s="13" t="s">
        <v>120</v>
      </c>
      <c r="BU5" s="13" t="s">
        <v>99</v>
      </c>
      <c r="BV5" s="13" t="s">
        <v>121</v>
      </c>
      <c r="BW5" s="21">
        <v>34.0</v>
      </c>
      <c r="BX5" s="13" t="s">
        <v>101</v>
      </c>
      <c r="BY5" s="14">
        <v>45040.0</v>
      </c>
      <c r="BZ5" s="13" t="s">
        <v>102</v>
      </c>
      <c r="CA5" s="22" t="s">
        <v>103</v>
      </c>
    </row>
    <row r="6">
      <c r="A6" s="4">
        <v>382.0</v>
      </c>
      <c r="B6" s="5" t="s">
        <v>152</v>
      </c>
      <c r="C6" s="5" t="s">
        <v>153</v>
      </c>
      <c r="D6" s="5">
        <v>988376.0</v>
      </c>
      <c r="E6" s="5" t="s">
        <v>81</v>
      </c>
      <c r="F6" s="6">
        <v>44438.0</v>
      </c>
      <c r="G6" s="8"/>
      <c r="H6" s="5" t="s">
        <v>106</v>
      </c>
      <c r="I6" s="5" t="s">
        <v>154</v>
      </c>
      <c r="J6" s="5" t="s">
        <v>155</v>
      </c>
      <c r="K6" s="5">
        <v>3.0</v>
      </c>
      <c r="L6" s="5" t="s">
        <v>156</v>
      </c>
      <c r="M6" s="5" t="s">
        <v>125</v>
      </c>
      <c r="N6" s="5" t="s">
        <v>126</v>
      </c>
      <c r="O6" s="5">
        <v>6.048284259E9</v>
      </c>
      <c r="P6" s="8"/>
      <c r="Q6" s="8"/>
      <c r="R6" s="9"/>
      <c r="S6" s="5" t="s">
        <v>157</v>
      </c>
      <c r="T6" s="5" t="s">
        <v>158</v>
      </c>
      <c r="U6" s="5">
        <v>1.00988376E8</v>
      </c>
      <c r="V6" s="5" t="s">
        <v>153</v>
      </c>
      <c r="W6" s="8"/>
      <c r="X6" s="5">
        <v>1.6041295008E10</v>
      </c>
      <c r="Y6" s="5">
        <v>1030029.0</v>
      </c>
      <c r="Z6" s="8"/>
      <c r="AA6" s="9"/>
      <c r="AB6" s="8"/>
      <c r="AC6" s="5" t="s">
        <v>159</v>
      </c>
      <c r="AD6" s="5" t="s">
        <v>160</v>
      </c>
      <c r="AE6" s="9"/>
      <c r="AF6" s="6">
        <v>45736.0</v>
      </c>
      <c r="AG6" s="9"/>
      <c r="AH6" s="8"/>
      <c r="AI6" s="8"/>
      <c r="AJ6" s="5" t="s">
        <v>90</v>
      </c>
      <c r="AK6" s="5" t="s">
        <v>91</v>
      </c>
      <c r="AL6" s="24">
        <v>46115.0</v>
      </c>
      <c r="AM6" s="10">
        <v>0.4375</v>
      </c>
      <c r="AN6" s="10">
        <v>0.8125</v>
      </c>
      <c r="AO6" s="8"/>
      <c r="AP6" s="8"/>
      <c r="AQ6" s="5" t="s">
        <v>161</v>
      </c>
      <c r="AR6" s="5" t="s">
        <v>162</v>
      </c>
      <c r="AS6" s="9"/>
      <c r="AT6" s="9"/>
      <c r="AU6" s="8"/>
      <c r="AV6" s="8"/>
      <c r="AW6" s="8"/>
      <c r="AX6" s="8"/>
      <c r="AY6" s="5" t="s">
        <v>163</v>
      </c>
      <c r="AZ6" s="8"/>
      <c r="BA6" s="5" t="s">
        <v>96</v>
      </c>
      <c r="BB6" s="5" t="s">
        <v>118</v>
      </c>
      <c r="BC6" s="5" t="s">
        <v>118</v>
      </c>
      <c r="BD6" s="5" t="s">
        <v>97</v>
      </c>
      <c r="BE6" s="5" t="s">
        <v>97</v>
      </c>
      <c r="BF6" s="5" t="s">
        <v>97</v>
      </c>
      <c r="BG6" s="5" t="s">
        <v>118</v>
      </c>
      <c r="BH6" s="5" t="s">
        <v>97</v>
      </c>
      <c r="BI6" s="8"/>
      <c r="BJ6" s="5" t="s">
        <v>98</v>
      </c>
      <c r="BK6" s="8"/>
      <c r="BL6" s="7"/>
      <c r="BM6" s="7"/>
      <c r="BN6" s="9"/>
      <c r="BO6" s="6">
        <v>46093.0</v>
      </c>
      <c r="BP6" s="7"/>
      <c r="BQ6" s="9"/>
      <c r="BR6" s="7"/>
      <c r="BS6" s="7"/>
      <c r="BT6" s="9"/>
      <c r="BU6" s="5" t="s">
        <v>99</v>
      </c>
      <c r="BV6" s="5" t="s">
        <v>100</v>
      </c>
      <c r="BW6" s="23">
        <v>34.0</v>
      </c>
      <c r="BX6" s="5" t="s">
        <v>101</v>
      </c>
      <c r="BY6" s="7"/>
      <c r="BZ6" s="5" t="s">
        <v>102</v>
      </c>
      <c r="CA6" s="11" t="s">
        <v>103</v>
      </c>
    </row>
    <row r="7">
      <c r="A7" s="12">
        <v>393.0</v>
      </c>
      <c r="B7" s="13" t="s">
        <v>164</v>
      </c>
      <c r="C7" s="13" t="s">
        <v>165</v>
      </c>
      <c r="D7" s="13">
        <v>996384.0</v>
      </c>
      <c r="E7" s="13" t="s">
        <v>81</v>
      </c>
      <c r="F7" s="14">
        <v>44942.0</v>
      </c>
      <c r="G7" s="16"/>
      <c r="H7" s="13" t="s">
        <v>106</v>
      </c>
      <c r="I7" s="13" t="s">
        <v>107</v>
      </c>
      <c r="J7" s="13" t="s">
        <v>140</v>
      </c>
      <c r="K7" s="13">
        <v>4.0</v>
      </c>
      <c r="L7" s="13" t="s">
        <v>166</v>
      </c>
      <c r="M7" s="13" t="s">
        <v>167</v>
      </c>
      <c r="N7" s="13" t="s">
        <v>87</v>
      </c>
      <c r="O7" s="13">
        <v>4.388299413E9</v>
      </c>
      <c r="P7" s="16"/>
      <c r="Q7" s="16"/>
      <c r="R7" s="17"/>
      <c r="S7" s="13" t="s">
        <v>168</v>
      </c>
      <c r="T7" s="13" t="s">
        <v>169</v>
      </c>
      <c r="U7" s="13">
        <v>1.00996384E8</v>
      </c>
      <c r="V7" s="13" t="s">
        <v>165</v>
      </c>
      <c r="W7" s="16"/>
      <c r="X7" s="13">
        <v>1.5141294047E10</v>
      </c>
      <c r="Y7" s="13">
        <v>1060018.0</v>
      </c>
      <c r="Z7" s="16"/>
      <c r="AA7" s="17"/>
      <c r="AB7" s="16"/>
      <c r="AC7" s="17"/>
      <c r="AD7" s="13" t="s">
        <v>170</v>
      </c>
      <c r="AE7" s="18"/>
      <c r="AF7" s="14">
        <v>45546.0</v>
      </c>
      <c r="AG7" s="13">
        <v>996384.0</v>
      </c>
      <c r="AH7" s="16"/>
      <c r="AI7" s="16"/>
      <c r="AJ7" s="13" t="s">
        <v>90</v>
      </c>
      <c r="AK7" s="13" t="s">
        <v>91</v>
      </c>
      <c r="AL7" s="19">
        <v>46115.0</v>
      </c>
      <c r="AM7" s="20">
        <v>0.7291666666666666</v>
      </c>
      <c r="AN7" s="20">
        <v>0.08333333333333333</v>
      </c>
      <c r="AO7" s="16"/>
      <c r="AP7" s="16"/>
      <c r="AQ7" s="13" t="s">
        <v>171</v>
      </c>
      <c r="AR7" s="13" t="s">
        <v>172</v>
      </c>
      <c r="AS7" s="13" t="s">
        <v>173</v>
      </c>
      <c r="AT7" s="13" t="s">
        <v>174</v>
      </c>
      <c r="AU7" s="16"/>
      <c r="AV7" s="16"/>
      <c r="AW7" s="16"/>
      <c r="AX7" s="16"/>
      <c r="AY7" s="13" t="s">
        <v>175</v>
      </c>
      <c r="AZ7" s="16"/>
      <c r="BA7" s="13">
        <v>60053.0</v>
      </c>
      <c r="BB7" s="13" t="s">
        <v>118</v>
      </c>
      <c r="BC7" s="13" t="s">
        <v>97</v>
      </c>
      <c r="BD7" s="13" t="s">
        <v>97</v>
      </c>
      <c r="BE7" s="13" t="s">
        <v>97</v>
      </c>
      <c r="BF7" s="13" t="s">
        <v>118</v>
      </c>
      <c r="BG7" s="13" t="s">
        <v>118</v>
      </c>
      <c r="BH7" s="13" t="s">
        <v>97</v>
      </c>
      <c r="BI7" s="16"/>
      <c r="BJ7" s="13" t="s">
        <v>176</v>
      </c>
      <c r="BK7" s="16"/>
      <c r="BL7" s="14">
        <v>45972.0</v>
      </c>
      <c r="BM7" s="14">
        <v>45972.0</v>
      </c>
      <c r="BN7" s="13" t="s">
        <v>120</v>
      </c>
      <c r="BO7" s="14">
        <v>45921.0</v>
      </c>
      <c r="BP7" s="14">
        <v>45972.0</v>
      </c>
      <c r="BQ7" s="13" t="s">
        <v>120</v>
      </c>
      <c r="BR7" s="14">
        <v>46056.0</v>
      </c>
      <c r="BS7" s="14">
        <v>46097.0</v>
      </c>
      <c r="BT7" s="13" t="s">
        <v>99</v>
      </c>
      <c r="BU7" s="13" t="s">
        <v>99</v>
      </c>
      <c r="BV7" s="13" t="s">
        <v>100</v>
      </c>
      <c r="BW7" s="21">
        <v>34.0</v>
      </c>
      <c r="BX7" s="13" t="s">
        <v>101</v>
      </c>
      <c r="BY7" s="14">
        <v>45033.0</v>
      </c>
      <c r="BZ7" s="13" t="s">
        <v>102</v>
      </c>
      <c r="CA7" s="22" t="s">
        <v>103</v>
      </c>
    </row>
    <row r="8">
      <c r="A8" s="4">
        <v>52.0</v>
      </c>
      <c r="B8" s="5" t="s">
        <v>177</v>
      </c>
      <c r="C8" s="5" t="s">
        <v>178</v>
      </c>
      <c r="D8" s="5">
        <v>973054.0</v>
      </c>
      <c r="E8" s="5" t="s">
        <v>81</v>
      </c>
      <c r="F8" s="6">
        <v>42605.0</v>
      </c>
      <c r="G8" s="8"/>
      <c r="H8" s="5" t="s">
        <v>106</v>
      </c>
      <c r="I8" s="5" t="s">
        <v>179</v>
      </c>
      <c r="J8" s="5" t="s">
        <v>155</v>
      </c>
      <c r="K8" s="5">
        <v>4.0</v>
      </c>
      <c r="L8" s="5" t="s">
        <v>180</v>
      </c>
      <c r="M8" s="5" t="s">
        <v>181</v>
      </c>
      <c r="N8" s="5" t="s">
        <v>87</v>
      </c>
      <c r="O8" s="5">
        <v>2.502173997E9</v>
      </c>
      <c r="P8" s="8"/>
      <c r="Q8" s="8"/>
      <c r="R8" s="5" t="s">
        <v>182</v>
      </c>
      <c r="S8" s="5" t="s">
        <v>183</v>
      </c>
      <c r="T8" s="5" t="s">
        <v>184</v>
      </c>
      <c r="U8" s="5">
        <v>1.00973054E8</v>
      </c>
      <c r="V8" s="5" t="s">
        <v>185</v>
      </c>
      <c r="W8" s="8"/>
      <c r="X8" s="5">
        <v>1.6041295068E10</v>
      </c>
      <c r="Y8" s="5">
        <v>1030139.0</v>
      </c>
      <c r="Z8" s="8"/>
      <c r="AA8" s="5" t="s">
        <v>132</v>
      </c>
      <c r="AB8" s="8"/>
      <c r="AC8" s="5" t="s">
        <v>186</v>
      </c>
      <c r="AD8" s="5" t="s">
        <v>187</v>
      </c>
      <c r="AE8" s="18"/>
      <c r="AF8" s="6">
        <v>45090.0</v>
      </c>
      <c r="AG8" s="9"/>
      <c r="AH8" s="8"/>
      <c r="AI8" s="8"/>
      <c r="AJ8" s="5" t="s">
        <v>90</v>
      </c>
      <c r="AK8" s="5" t="s">
        <v>91</v>
      </c>
      <c r="AL8" s="5" t="s">
        <v>188</v>
      </c>
      <c r="AM8" s="10">
        <v>0.7395833333333334</v>
      </c>
      <c r="AN8" s="10">
        <v>0.17708333333333334</v>
      </c>
      <c r="AO8" s="8"/>
      <c r="AP8" s="8"/>
      <c r="AQ8" s="5" t="s">
        <v>116</v>
      </c>
      <c r="AR8" s="5" t="s">
        <v>189</v>
      </c>
      <c r="AS8" s="9"/>
      <c r="AT8" s="9"/>
      <c r="AU8" s="9"/>
      <c r="AV8" s="9"/>
      <c r="AW8" s="9"/>
      <c r="AX8" s="9"/>
      <c r="AY8" s="5" t="s">
        <v>190</v>
      </c>
      <c r="AZ8" s="8"/>
      <c r="BA8" s="9"/>
      <c r="BB8" s="5" t="s">
        <v>97</v>
      </c>
      <c r="BC8" s="5" t="s">
        <v>97</v>
      </c>
      <c r="BD8" s="5" t="s">
        <v>97</v>
      </c>
      <c r="BE8" s="5" t="s">
        <v>97</v>
      </c>
      <c r="BF8" s="5" t="s">
        <v>97</v>
      </c>
      <c r="BG8" s="5" t="s">
        <v>97</v>
      </c>
      <c r="BH8" s="5" t="s">
        <v>97</v>
      </c>
      <c r="BI8" s="9"/>
      <c r="BJ8" s="5" t="s">
        <v>151</v>
      </c>
      <c r="BK8" s="8"/>
      <c r="BL8" s="6">
        <v>44718.0</v>
      </c>
      <c r="BM8" s="6">
        <v>44718.0</v>
      </c>
      <c r="BN8" s="5" t="s">
        <v>120</v>
      </c>
      <c r="BO8" s="6">
        <v>45275.0</v>
      </c>
      <c r="BP8" s="6">
        <v>45408.0</v>
      </c>
      <c r="BQ8" s="5" t="s">
        <v>120</v>
      </c>
      <c r="BR8" s="6">
        <v>45769.0</v>
      </c>
      <c r="BS8" s="6">
        <v>45819.0</v>
      </c>
      <c r="BT8" s="8"/>
      <c r="BU8" s="5" t="s">
        <v>99</v>
      </c>
      <c r="BV8" s="5" t="s">
        <v>100</v>
      </c>
      <c r="BW8" s="23">
        <v>35.0</v>
      </c>
      <c r="BX8" s="5" t="s">
        <v>101</v>
      </c>
      <c r="BY8" s="6">
        <v>42605.0</v>
      </c>
      <c r="BZ8" s="5" t="s">
        <v>102</v>
      </c>
      <c r="CA8" s="11" t="s">
        <v>103</v>
      </c>
    </row>
    <row r="9">
      <c r="A9" s="12">
        <v>54.0</v>
      </c>
      <c r="B9" s="13" t="s">
        <v>191</v>
      </c>
      <c r="C9" s="13" t="s">
        <v>192</v>
      </c>
      <c r="D9" s="13">
        <v>983229.0</v>
      </c>
      <c r="E9" s="13" t="s">
        <v>193</v>
      </c>
      <c r="F9" s="14">
        <v>44648.0</v>
      </c>
      <c r="G9" s="16"/>
      <c r="H9" s="13" t="s">
        <v>82</v>
      </c>
      <c r="I9" s="13" t="s">
        <v>139</v>
      </c>
      <c r="J9" s="13" t="s">
        <v>194</v>
      </c>
      <c r="K9" s="13">
        <v>2.0</v>
      </c>
      <c r="L9" s="13" t="s">
        <v>195</v>
      </c>
      <c r="M9" s="13" t="s">
        <v>196</v>
      </c>
      <c r="N9" s="13" t="s">
        <v>126</v>
      </c>
      <c r="O9" s="13">
        <v>5.063991686E9</v>
      </c>
      <c r="P9" s="16"/>
      <c r="Q9" s="16"/>
      <c r="R9" s="13" t="s">
        <v>197</v>
      </c>
      <c r="S9" s="13" t="s">
        <v>198</v>
      </c>
      <c r="T9" s="13" t="s">
        <v>199</v>
      </c>
      <c r="U9" s="13">
        <v>1.00983229E8</v>
      </c>
      <c r="V9" s="13" t="s">
        <v>200</v>
      </c>
      <c r="W9" s="16"/>
      <c r="X9" s="13">
        <v>1.5141294065E10</v>
      </c>
      <c r="Y9" s="13">
        <v>1066108.0</v>
      </c>
      <c r="Z9" s="16"/>
      <c r="AA9" s="17"/>
      <c r="AB9" s="16"/>
      <c r="AC9" s="16"/>
      <c r="AD9" s="17"/>
      <c r="AE9" s="17"/>
      <c r="AF9" s="14">
        <v>45182.0</v>
      </c>
      <c r="AG9" s="13">
        <v>968432.0</v>
      </c>
      <c r="AH9" s="16"/>
      <c r="AI9" s="16"/>
      <c r="AJ9" s="13" t="s">
        <v>90</v>
      </c>
      <c r="AK9" s="13" t="s">
        <v>91</v>
      </c>
      <c r="AL9" s="13" t="s">
        <v>92</v>
      </c>
      <c r="AM9" s="20">
        <v>0.5833333333333334</v>
      </c>
      <c r="AN9" s="20">
        <v>0.020833333333333332</v>
      </c>
      <c r="AO9" s="16"/>
      <c r="AP9" s="16"/>
      <c r="AQ9" s="13" t="s">
        <v>201</v>
      </c>
      <c r="AR9" s="13" t="s">
        <v>202</v>
      </c>
      <c r="AS9" s="17"/>
      <c r="AT9" s="17"/>
      <c r="AU9" s="16"/>
      <c r="AV9" s="16"/>
      <c r="AW9" s="16"/>
      <c r="AX9" s="16"/>
      <c r="AY9" s="13" t="s">
        <v>203</v>
      </c>
      <c r="AZ9" s="16"/>
      <c r="BA9" s="17"/>
      <c r="BB9" s="13" t="s">
        <v>97</v>
      </c>
      <c r="BC9" s="13" t="s">
        <v>97</v>
      </c>
      <c r="BD9" s="13" t="s">
        <v>97</v>
      </c>
      <c r="BE9" s="13" t="s">
        <v>97</v>
      </c>
      <c r="BF9" s="13" t="s">
        <v>97</v>
      </c>
      <c r="BG9" s="13" t="s">
        <v>97</v>
      </c>
      <c r="BH9" s="13" t="s">
        <v>97</v>
      </c>
      <c r="BI9" s="13" t="s">
        <v>204</v>
      </c>
      <c r="BJ9" s="13" t="s">
        <v>176</v>
      </c>
      <c r="BK9" s="16"/>
      <c r="BL9" s="14">
        <v>44768.0</v>
      </c>
      <c r="BM9" s="14">
        <v>45138.0</v>
      </c>
      <c r="BN9" s="13" t="s">
        <v>120</v>
      </c>
      <c r="BO9" s="15"/>
      <c r="BP9" s="15"/>
      <c r="BQ9" s="17"/>
      <c r="BR9" s="15"/>
      <c r="BS9" s="15"/>
      <c r="BT9" s="17"/>
      <c r="BU9" s="13" t="s">
        <v>99</v>
      </c>
      <c r="BV9" s="13" t="s">
        <v>121</v>
      </c>
      <c r="BW9" s="21">
        <v>35.0</v>
      </c>
      <c r="BX9" s="13" t="s">
        <v>101</v>
      </c>
      <c r="BY9" s="14">
        <v>44760.0</v>
      </c>
      <c r="BZ9" s="13" t="s">
        <v>102</v>
      </c>
      <c r="CA9" s="22" t="s">
        <v>103</v>
      </c>
    </row>
    <row r="10">
      <c r="A10" s="4">
        <v>617.0</v>
      </c>
      <c r="B10" s="5" t="s">
        <v>205</v>
      </c>
      <c r="C10" s="5" t="s">
        <v>206</v>
      </c>
      <c r="D10" s="5">
        <v>773726.0</v>
      </c>
      <c r="E10" s="5" t="s">
        <v>81</v>
      </c>
      <c r="F10" s="6">
        <v>45957.0</v>
      </c>
      <c r="G10" s="8"/>
      <c r="H10" s="5" t="s">
        <v>82</v>
      </c>
      <c r="I10" s="5" t="s">
        <v>83</v>
      </c>
      <c r="J10" s="5" t="s">
        <v>84</v>
      </c>
      <c r="K10" s="5">
        <v>2.0</v>
      </c>
      <c r="L10" s="5" t="s">
        <v>207</v>
      </c>
      <c r="M10" s="5" t="s">
        <v>181</v>
      </c>
      <c r="N10" s="5" t="s">
        <v>87</v>
      </c>
      <c r="O10" s="5">
        <v>6.133159045E9</v>
      </c>
      <c r="P10" s="8"/>
      <c r="Q10" s="8"/>
      <c r="R10" s="9"/>
      <c r="S10" s="5" t="s">
        <v>208</v>
      </c>
      <c r="T10" s="5" t="s">
        <v>209</v>
      </c>
      <c r="U10" s="5">
        <v>1.00773726E8</v>
      </c>
      <c r="V10" s="9"/>
      <c r="W10" s="8"/>
      <c r="X10" s="5">
        <v>1.5141294014E10</v>
      </c>
      <c r="Y10" s="5">
        <v>1060067.0</v>
      </c>
      <c r="Z10" s="8"/>
      <c r="AA10" s="9"/>
      <c r="AB10" s="8"/>
      <c r="AC10" s="9"/>
      <c r="AD10" s="9"/>
      <c r="AE10" s="9"/>
      <c r="AF10" s="7"/>
      <c r="AG10" s="9"/>
      <c r="AH10" s="7"/>
      <c r="AI10" s="9"/>
      <c r="AJ10" s="5" t="s">
        <v>90</v>
      </c>
      <c r="AK10" s="5" t="s">
        <v>91</v>
      </c>
      <c r="AL10" s="5" t="s">
        <v>188</v>
      </c>
      <c r="AM10" s="10">
        <v>0.375</v>
      </c>
      <c r="AN10" s="10">
        <v>0.8125</v>
      </c>
      <c r="AO10" s="8"/>
      <c r="AP10" s="8"/>
      <c r="AQ10" s="5" t="s">
        <v>210</v>
      </c>
      <c r="AR10" s="5" t="s">
        <v>211</v>
      </c>
      <c r="AS10" s="9"/>
      <c r="AT10" s="9"/>
      <c r="AU10" s="9"/>
      <c r="AV10" s="9"/>
      <c r="AW10" s="9"/>
      <c r="AX10" s="9"/>
      <c r="AY10" s="5" t="s">
        <v>212</v>
      </c>
      <c r="AZ10" s="8"/>
      <c r="BA10" s="5" t="s">
        <v>96</v>
      </c>
      <c r="BB10" s="5" t="s">
        <v>97</v>
      </c>
      <c r="BC10" s="5" t="s">
        <v>97</v>
      </c>
      <c r="BD10" s="5" t="s">
        <v>97</v>
      </c>
      <c r="BE10" s="5" t="s">
        <v>97</v>
      </c>
      <c r="BF10" s="5" t="s">
        <v>97</v>
      </c>
      <c r="BG10" s="5" t="s">
        <v>97</v>
      </c>
      <c r="BH10" s="5" t="s">
        <v>97</v>
      </c>
      <c r="BI10" s="8"/>
      <c r="BJ10" s="5" t="s">
        <v>98</v>
      </c>
      <c r="BK10" s="8"/>
      <c r="BL10" s="6">
        <v>46049.0</v>
      </c>
      <c r="BM10" s="6">
        <v>46095.0</v>
      </c>
      <c r="BN10" s="5" t="s">
        <v>120</v>
      </c>
      <c r="BO10" s="7"/>
      <c r="BP10" s="7"/>
      <c r="BQ10" s="9"/>
      <c r="BR10" s="7"/>
      <c r="BS10" s="7"/>
      <c r="BT10" s="9"/>
      <c r="BU10" s="9"/>
      <c r="BV10" s="9"/>
      <c r="BW10" s="9"/>
      <c r="BX10" s="5" t="s">
        <v>101</v>
      </c>
      <c r="BY10" s="6">
        <v>46025.0</v>
      </c>
      <c r="BZ10" s="5" t="s">
        <v>102</v>
      </c>
      <c r="CA10" s="11" t="s">
        <v>103</v>
      </c>
    </row>
    <row r="11">
      <c r="A11" s="12">
        <v>66.0</v>
      </c>
      <c r="B11" s="13" t="s">
        <v>213</v>
      </c>
      <c r="C11" s="13" t="s">
        <v>214</v>
      </c>
      <c r="D11" s="13">
        <v>956508.0</v>
      </c>
      <c r="E11" s="13" t="s">
        <v>215</v>
      </c>
      <c r="F11" s="14">
        <v>43948.0</v>
      </c>
      <c r="G11" s="16"/>
      <c r="H11" s="13" t="s">
        <v>106</v>
      </c>
      <c r="I11" s="13" t="s">
        <v>107</v>
      </c>
      <c r="J11" s="13" t="s">
        <v>84</v>
      </c>
      <c r="K11" s="13">
        <v>4.0</v>
      </c>
      <c r="L11" s="13" t="s">
        <v>216</v>
      </c>
      <c r="M11" s="13" t="s">
        <v>142</v>
      </c>
      <c r="N11" s="13" t="s">
        <v>126</v>
      </c>
      <c r="O11" s="13">
        <v>2.638813298E9</v>
      </c>
      <c r="P11" s="17"/>
      <c r="Q11" s="16"/>
      <c r="R11" s="13" t="s">
        <v>217</v>
      </c>
      <c r="S11" s="13" t="s">
        <v>218</v>
      </c>
      <c r="T11" s="13" t="s">
        <v>219</v>
      </c>
      <c r="U11" s="13">
        <v>1.00956508E8</v>
      </c>
      <c r="V11" s="13" t="s">
        <v>220</v>
      </c>
      <c r="W11" s="16"/>
      <c r="X11" s="13">
        <v>1.5141294248E10</v>
      </c>
      <c r="Y11" s="13">
        <v>1067279.0</v>
      </c>
      <c r="Z11" s="16"/>
      <c r="AA11" s="17"/>
      <c r="AB11" s="16"/>
      <c r="AC11" s="16"/>
      <c r="AD11" s="13" t="s">
        <v>221</v>
      </c>
      <c r="AE11" s="17"/>
      <c r="AF11" s="14">
        <v>44617.0</v>
      </c>
      <c r="AG11" s="13">
        <v>33018.0</v>
      </c>
      <c r="AH11" s="14">
        <v>45707.0</v>
      </c>
      <c r="AI11" s="13">
        <v>33018.0</v>
      </c>
      <c r="AJ11" s="13" t="s">
        <v>90</v>
      </c>
      <c r="AK11" s="13" t="s">
        <v>91</v>
      </c>
      <c r="AL11" s="13" t="s">
        <v>188</v>
      </c>
      <c r="AM11" s="20">
        <v>0.8125</v>
      </c>
      <c r="AN11" s="20">
        <v>0.22916666666666666</v>
      </c>
      <c r="AO11" s="16"/>
      <c r="AP11" s="16"/>
      <c r="AQ11" s="13" t="s">
        <v>222</v>
      </c>
      <c r="AR11" s="13" t="s">
        <v>223</v>
      </c>
      <c r="AS11" s="17"/>
      <c r="AT11" s="17"/>
      <c r="AU11" s="16"/>
      <c r="AV11" s="16"/>
      <c r="AW11" s="16"/>
      <c r="AX11" s="16"/>
      <c r="AY11" s="13" t="s">
        <v>224</v>
      </c>
      <c r="AZ11" s="16"/>
      <c r="BA11" s="13">
        <v>66150.0</v>
      </c>
      <c r="BB11" s="13" t="s">
        <v>97</v>
      </c>
      <c r="BC11" s="13" t="s">
        <v>97</v>
      </c>
      <c r="BD11" s="13" t="s">
        <v>97</v>
      </c>
      <c r="BE11" s="13" t="s">
        <v>97</v>
      </c>
      <c r="BF11" s="13" t="s">
        <v>97</v>
      </c>
      <c r="BG11" s="13" t="s">
        <v>97</v>
      </c>
      <c r="BH11" s="13" t="s">
        <v>97</v>
      </c>
      <c r="BI11" s="16"/>
      <c r="BJ11" s="13" t="s">
        <v>151</v>
      </c>
      <c r="BK11" s="16"/>
      <c r="BL11" s="14">
        <v>44055.0</v>
      </c>
      <c r="BM11" s="14">
        <v>44105.0</v>
      </c>
      <c r="BN11" s="13" t="s">
        <v>120</v>
      </c>
      <c r="BO11" s="14">
        <v>45236.0</v>
      </c>
      <c r="BP11" s="14">
        <v>45613.0</v>
      </c>
      <c r="BQ11" s="13" t="s">
        <v>120</v>
      </c>
      <c r="BR11" s="14">
        <v>44873.0</v>
      </c>
      <c r="BS11" s="14">
        <v>45041.0</v>
      </c>
      <c r="BT11" s="13" t="s">
        <v>120</v>
      </c>
      <c r="BU11" s="13" t="s">
        <v>99</v>
      </c>
      <c r="BV11" s="13" t="s">
        <v>100</v>
      </c>
      <c r="BW11" s="21">
        <v>37.5</v>
      </c>
      <c r="BX11" s="13" t="s">
        <v>101</v>
      </c>
      <c r="BY11" s="14">
        <v>44035.0</v>
      </c>
      <c r="BZ11" s="13" t="s">
        <v>102</v>
      </c>
      <c r="CA11" s="22" t="s">
        <v>103</v>
      </c>
    </row>
    <row r="12">
      <c r="A12" s="4">
        <v>69.0</v>
      </c>
      <c r="B12" s="5" t="s">
        <v>225</v>
      </c>
      <c r="C12" s="5" t="s">
        <v>226</v>
      </c>
      <c r="D12" s="5">
        <v>956514.0</v>
      </c>
      <c r="E12" s="5" t="s">
        <v>81</v>
      </c>
      <c r="F12" s="6">
        <v>42878.0</v>
      </c>
      <c r="G12" s="7"/>
      <c r="H12" s="5" t="s">
        <v>106</v>
      </c>
      <c r="I12" s="5" t="s">
        <v>83</v>
      </c>
      <c r="J12" s="5" t="s">
        <v>84</v>
      </c>
      <c r="K12" s="5">
        <v>4.0</v>
      </c>
      <c r="L12" s="5" t="s">
        <v>227</v>
      </c>
      <c r="M12" s="5" t="s">
        <v>181</v>
      </c>
      <c r="N12" s="5" t="s">
        <v>87</v>
      </c>
      <c r="O12" s="5" t="s">
        <v>228</v>
      </c>
      <c r="P12" s="8"/>
      <c r="Q12" s="8"/>
      <c r="R12" s="5" t="s">
        <v>229</v>
      </c>
      <c r="S12" s="5" t="s">
        <v>230</v>
      </c>
      <c r="T12" s="5" t="s">
        <v>231</v>
      </c>
      <c r="U12" s="5">
        <v>1.00956514E8</v>
      </c>
      <c r="V12" s="5" t="s">
        <v>232</v>
      </c>
      <c r="W12" s="8"/>
      <c r="X12" s="5">
        <v>1.6131293079E10</v>
      </c>
      <c r="Y12" s="5">
        <v>1062436.0</v>
      </c>
      <c r="Z12" s="8"/>
      <c r="AA12" s="9"/>
      <c r="AB12" s="8"/>
      <c r="AC12" s="8"/>
      <c r="AD12" s="5" t="s">
        <v>233</v>
      </c>
      <c r="AE12" s="18"/>
      <c r="AF12" s="6">
        <v>45539.0</v>
      </c>
      <c r="AG12" s="5">
        <v>956514.0</v>
      </c>
      <c r="AH12" s="8"/>
      <c r="AI12" s="8"/>
      <c r="AJ12" s="5" t="s">
        <v>90</v>
      </c>
      <c r="AK12" s="5" t="s">
        <v>91</v>
      </c>
      <c r="AL12" s="5" t="s">
        <v>188</v>
      </c>
      <c r="AM12" s="10">
        <v>0.3333333333333333</v>
      </c>
      <c r="AN12" s="10">
        <v>0.75</v>
      </c>
      <c r="AO12" s="8"/>
      <c r="AP12" s="8"/>
      <c r="AQ12" s="5" t="s">
        <v>234</v>
      </c>
      <c r="AR12" s="5" t="s">
        <v>235</v>
      </c>
      <c r="AS12" s="9"/>
      <c r="AT12" s="9"/>
      <c r="AU12" s="9"/>
      <c r="AV12" s="8"/>
      <c r="AW12" s="8"/>
      <c r="AX12" s="8"/>
      <c r="AY12" s="5" t="s">
        <v>236</v>
      </c>
      <c r="AZ12" s="8"/>
      <c r="BA12" s="9"/>
      <c r="BB12" s="5" t="s">
        <v>97</v>
      </c>
      <c r="BC12" s="5" t="s">
        <v>97</v>
      </c>
      <c r="BD12" s="5" t="s">
        <v>97</v>
      </c>
      <c r="BE12" s="5" t="s">
        <v>97</v>
      </c>
      <c r="BF12" s="5" t="s">
        <v>97</v>
      </c>
      <c r="BG12" s="5" t="s">
        <v>97</v>
      </c>
      <c r="BH12" s="5" t="s">
        <v>97</v>
      </c>
      <c r="BI12" s="8"/>
      <c r="BJ12" s="5" t="s">
        <v>98</v>
      </c>
      <c r="BK12" s="8"/>
      <c r="BL12" s="6">
        <v>42878.0</v>
      </c>
      <c r="BM12" s="6">
        <v>42910.0</v>
      </c>
      <c r="BN12" s="5" t="s">
        <v>120</v>
      </c>
      <c r="BO12" s="6">
        <v>43046.0</v>
      </c>
      <c r="BP12" s="6">
        <v>43088.0</v>
      </c>
      <c r="BQ12" s="5" t="s">
        <v>120</v>
      </c>
      <c r="BR12" s="6">
        <v>46063.0</v>
      </c>
      <c r="BS12" s="6">
        <v>46115.0</v>
      </c>
      <c r="BT12" s="9"/>
      <c r="BU12" s="5" t="s">
        <v>99</v>
      </c>
      <c r="BV12" s="5" t="s">
        <v>121</v>
      </c>
      <c r="BW12" s="23">
        <v>35.0</v>
      </c>
      <c r="BX12" s="5" t="s">
        <v>101</v>
      </c>
      <c r="BY12" s="6">
        <v>42910.0</v>
      </c>
      <c r="BZ12" s="5" t="s">
        <v>102</v>
      </c>
      <c r="CA12" s="11" t="s">
        <v>103</v>
      </c>
    </row>
    <row r="13">
      <c r="A13" s="12">
        <v>641.0</v>
      </c>
      <c r="B13" s="13" t="s">
        <v>237</v>
      </c>
      <c r="C13" s="13" t="s">
        <v>238</v>
      </c>
      <c r="D13" s="13">
        <v>6001665.0</v>
      </c>
      <c r="E13" s="13" t="s">
        <v>81</v>
      </c>
      <c r="F13" s="14">
        <v>46146.0</v>
      </c>
      <c r="G13" s="15"/>
      <c r="H13" s="13" t="s">
        <v>239</v>
      </c>
      <c r="I13" s="13" t="s">
        <v>240</v>
      </c>
      <c r="J13" s="13" t="s">
        <v>155</v>
      </c>
      <c r="K13" s="13" t="s">
        <v>241</v>
      </c>
      <c r="L13" s="13" t="s">
        <v>242</v>
      </c>
      <c r="M13" s="13" t="s">
        <v>167</v>
      </c>
      <c r="N13" s="13" t="s">
        <v>87</v>
      </c>
      <c r="O13" s="13">
        <v>3.688868549E9</v>
      </c>
      <c r="P13" s="17"/>
      <c r="Q13" s="16"/>
      <c r="R13" s="17"/>
      <c r="S13" s="17"/>
      <c r="T13" s="13" t="s">
        <v>243</v>
      </c>
      <c r="U13" s="17"/>
      <c r="V13" s="17"/>
      <c r="W13" s="16"/>
      <c r="X13" s="13">
        <v>1.5141294043E10</v>
      </c>
      <c r="Y13" s="13">
        <v>1060069.0</v>
      </c>
      <c r="Z13" s="16"/>
      <c r="AA13" s="17"/>
      <c r="AB13" s="16"/>
      <c r="AC13" s="17"/>
      <c r="AD13" s="17"/>
      <c r="AE13" s="17"/>
      <c r="AF13" s="15"/>
      <c r="AG13" s="17"/>
      <c r="AH13" s="16"/>
      <c r="AI13" s="16"/>
      <c r="AJ13" s="13" t="s">
        <v>90</v>
      </c>
      <c r="AK13" s="13" t="s">
        <v>244</v>
      </c>
      <c r="AL13" s="25"/>
      <c r="AM13" s="26"/>
      <c r="AN13" s="26"/>
      <c r="AO13" s="16"/>
      <c r="AP13" s="16"/>
      <c r="AQ13" s="13" t="s">
        <v>245</v>
      </c>
      <c r="AR13" s="13" t="s">
        <v>246</v>
      </c>
      <c r="AS13" s="17"/>
      <c r="AT13" s="17"/>
      <c r="AU13" s="16"/>
      <c r="AV13" s="16"/>
      <c r="AW13" s="16"/>
      <c r="AX13" s="16"/>
      <c r="AY13" s="13" t="s">
        <v>237</v>
      </c>
      <c r="AZ13" s="16"/>
      <c r="BA13" s="13" t="s">
        <v>96</v>
      </c>
      <c r="BB13" s="13" t="s">
        <v>118</v>
      </c>
      <c r="BC13" s="13" t="s">
        <v>118</v>
      </c>
      <c r="BD13" s="13" t="s">
        <v>118</v>
      </c>
      <c r="BE13" s="13" t="s">
        <v>118</v>
      </c>
      <c r="BF13" s="13" t="s">
        <v>118</v>
      </c>
      <c r="BG13" s="17"/>
      <c r="BH13" s="17"/>
      <c r="BI13" s="16"/>
      <c r="BJ13" s="17"/>
      <c r="BK13" s="16"/>
      <c r="BL13" s="15"/>
      <c r="BM13" s="15"/>
      <c r="BN13" s="17"/>
      <c r="BO13" s="15"/>
      <c r="BP13" s="15"/>
      <c r="BQ13" s="17"/>
      <c r="BR13" s="15"/>
      <c r="BS13" s="15"/>
      <c r="BT13" s="17"/>
      <c r="BU13" s="13" t="s">
        <v>120</v>
      </c>
      <c r="BV13" s="13" t="s">
        <v>121</v>
      </c>
      <c r="BW13" s="21">
        <v>35.0</v>
      </c>
      <c r="BX13" s="13" t="s">
        <v>101</v>
      </c>
      <c r="BY13" s="15"/>
      <c r="BZ13" s="13" t="s">
        <v>102</v>
      </c>
      <c r="CA13" s="22" t="s">
        <v>103</v>
      </c>
    </row>
    <row r="14">
      <c r="A14" s="4">
        <v>75.0</v>
      </c>
      <c r="B14" s="5" t="s">
        <v>247</v>
      </c>
      <c r="C14" s="5" t="s">
        <v>248</v>
      </c>
      <c r="D14" s="5">
        <v>956369.0</v>
      </c>
      <c r="E14" s="5" t="s">
        <v>215</v>
      </c>
      <c r="F14" s="6">
        <v>42932.0</v>
      </c>
      <c r="G14" s="6">
        <v>42824.0</v>
      </c>
      <c r="H14" s="5" t="s">
        <v>106</v>
      </c>
      <c r="I14" s="5" t="s">
        <v>107</v>
      </c>
      <c r="J14" s="5" t="s">
        <v>194</v>
      </c>
      <c r="K14" s="5">
        <v>4.0</v>
      </c>
      <c r="L14" s="5" t="s">
        <v>249</v>
      </c>
      <c r="M14" s="5" t="s">
        <v>250</v>
      </c>
      <c r="N14" s="5" t="s">
        <v>87</v>
      </c>
      <c r="O14" s="5" t="s">
        <v>251</v>
      </c>
      <c r="P14" s="8"/>
      <c r="Q14" s="8"/>
      <c r="R14" s="5" t="s">
        <v>252</v>
      </c>
      <c r="S14" s="5" t="s">
        <v>253</v>
      </c>
      <c r="T14" s="5" t="s">
        <v>254</v>
      </c>
      <c r="U14" s="5">
        <v>1.00956369E8</v>
      </c>
      <c r="V14" s="5" t="s">
        <v>255</v>
      </c>
      <c r="W14" s="8"/>
      <c r="X14" s="5">
        <v>1.5141294147E10</v>
      </c>
      <c r="Y14" s="5">
        <v>1066711.0</v>
      </c>
      <c r="Z14" s="8"/>
      <c r="AA14" s="5" t="s">
        <v>132</v>
      </c>
      <c r="AB14" s="8"/>
      <c r="AC14" s="8"/>
      <c r="AD14" s="5" t="s">
        <v>256</v>
      </c>
      <c r="AE14" s="18"/>
      <c r="AF14" s="6">
        <v>43067.0</v>
      </c>
      <c r="AG14" s="5">
        <v>24782.0</v>
      </c>
      <c r="AH14" s="8"/>
      <c r="AI14" s="8"/>
      <c r="AJ14" s="5" t="s">
        <v>90</v>
      </c>
      <c r="AK14" s="5" t="s">
        <v>91</v>
      </c>
      <c r="AL14" s="5" t="s">
        <v>188</v>
      </c>
      <c r="AM14" s="10">
        <v>0.3333333333333333</v>
      </c>
      <c r="AN14" s="10">
        <v>0.75</v>
      </c>
      <c r="AO14" s="8"/>
      <c r="AP14" s="8"/>
      <c r="AQ14" s="5" t="s">
        <v>257</v>
      </c>
      <c r="AR14" s="5" t="s">
        <v>258</v>
      </c>
      <c r="AS14" s="9"/>
      <c r="AT14" s="9"/>
      <c r="AU14" s="9"/>
      <c r="AV14" s="9"/>
      <c r="AW14" s="9"/>
      <c r="AX14" s="9"/>
      <c r="AY14" s="5" t="s">
        <v>259</v>
      </c>
      <c r="AZ14" s="8"/>
      <c r="BA14" s="5">
        <v>66649.0</v>
      </c>
      <c r="BB14" s="5" t="s">
        <v>97</v>
      </c>
      <c r="BC14" s="5" t="s">
        <v>97</v>
      </c>
      <c r="BD14" s="5" t="s">
        <v>97</v>
      </c>
      <c r="BE14" s="5" t="s">
        <v>97</v>
      </c>
      <c r="BF14" s="5" t="s">
        <v>97</v>
      </c>
      <c r="BG14" s="5" t="s">
        <v>97</v>
      </c>
      <c r="BH14" s="5" t="s">
        <v>97</v>
      </c>
      <c r="BI14" s="8"/>
      <c r="BJ14" s="5" t="s">
        <v>98</v>
      </c>
      <c r="BK14" s="8"/>
      <c r="BL14" s="6">
        <v>43217.0</v>
      </c>
      <c r="BM14" s="6">
        <v>43217.0</v>
      </c>
      <c r="BN14" s="5" t="s">
        <v>120</v>
      </c>
      <c r="BO14" s="6">
        <v>43217.0</v>
      </c>
      <c r="BP14" s="6">
        <v>43582.0</v>
      </c>
      <c r="BQ14" s="5" t="s">
        <v>120</v>
      </c>
      <c r="BR14" s="7"/>
      <c r="BS14" s="7"/>
      <c r="BT14" s="5" t="s">
        <v>120</v>
      </c>
      <c r="BU14" s="5" t="s">
        <v>99</v>
      </c>
      <c r="BV14" s="5" t="s">
        <v>100</v>
      </c>
      <c r="BW14" s="23">
        <v>35.0</v>
      </c>
      <c r="BX14" s="5" t="s">
        <v>101</v>
      </c>
      <c r="BY14" s="6">
        <v>42852.0</v>
      </c>
      <c r="BZ14" s="5" t="s">
        <v>102</v>
      </c>
      <c r="CA14" s="11" t="s">
        <v>103</v>
      </c>
    </row>
    <row r="15">
      <c r="A15" s="12">
        <v>77.0</v>
      </c>
      <c r="B15" s="13" t="s">
        <v>260</v>
      </c>
      <c r="C15" s="13" t="s">
        <v>261</v>
      </c>
      <c r="D15" s="13">
        <v>956358.0</v>
      </c>
      <c r="E15" s="13" t="s">
        <v>262</v>
      </c>
      <c r="F15" s="14">
        <v>41953.0</v>
      </c>
      <c r="G15" s="16"/>
      <c r="H15" s="13" t="s">
        <v>82</v>
      </c>
      <c r="I15" s="13" t="s">
        <v>107</v>
      </c>
      <c r="J15" s="13" t="s">
        <v>155</v>
      </c>
      <c r="K15" s="13">
        <v>2.0</v>
      </c>
      <c r="L15" s="13" t="s">
        <v>263</v>
      </c>
      <c r="M15" s="13" t="s">
        <v>86</v>
      </c>
      <c r="N15" s="13" t="s">
        <v>87</v>
      </c>
      <c r="O15" s="13" t="s">
        <v>264</v>
      </c>
      <c r="P15" s="16"/>
      <c r="Q15" s="16"/>
      <c r="R15" s="13" t="s">
        <v>265</v>
      </c>
      <c r="S15" s="13" t="s">
        <v>266</v>
      </c>
      <c r="T15" s="13" t="s">
        <v>267</v>
      </c>
      <c r="U15" s="13">
        <v>1.00956358E8</v>
      </c>
      <c r="V15" s="13" t="s">
        <v>261</v>
      </c>
      <c r="W15" s="16"/>
      <c r="X15" s="13">
        <v>1.5141294069E10</v>
      </c>
      <c r="Y15" s="13">
        <v>1063840.0</v>
      </c>
      <c r="Z15" s="16"/>
      <c r="AA15" s="17"/>
      <c r="AB15" s="16"/>
      <c r="AC15" s="17"/>
      <c r="AD15" s="17"/>
      <c r="AE15" s="17"/>
      <c r="AF15" s="14">
        <v>42227.0</v>
      </c>
      <c r="AG15" s="13">
        <v>19458.0</v>
      </c>
      <c r="AH15" s="16"/>
      <c r="AI15" s="16"/>
      <c r="AJ15" s="13" t="s">
        <v>90</v>
      </c>
      <c r="AK15" s="13" t="s">
        <v>91</v>
      </c>
      <c r="AL15" s="19">
        <v>46115.0</v>
      </c>
      <c r="AM15" s="20">
        <v>0.3541666666666667</v>
      </c>
      <c r="AN15" s="20">
        <v>0.7083333333333334</v>
      </c>
      <c r="AO15" s="16"/>
      <c r="AP15" s="16"/>
      <c r="AQ15" s="13" t="s">
        <v>268</v>
      </c>
      <c r="AR15" s="13" t="s">
        <v>269</v>
      </c>
      <c r="AS15" s="13" t="s">
        <v>270</v>
      </c>
      <c r="AT15" s="13" t="s">
        <v>271</v>
      </c>
      <c r="AU15" s="17"/>
      <c r="AV15" s="17"/>
      <c r="AW15" s="17"/>
      <c r="AX15" s="17"/>
      <c r="AY15" s="13" t="s">
        <v>272</v>
      </c>
      <c r="AZ15" s="16"/>
      <c r="BA15" s="13">
        <v>66930.0</v>
      </c>
      <c r="BB15" s="13" t="s">
        <v>97</v>
      </c>
      <c r="BC15" s="13" t="s">
        <v>118</v>
      </c>
      <c r="BD15" s="13" t="s">
        <v>97</v>
      </c>
      <c r="BE15" s="13" t="s">
        <v>97</v>
      </c>
      <c r="BF15" s="13" t="s">
        <v>118</v>
      </c>
      <c r="BG15" s="13" t="s">
        <v>118</v>
      </c>
      <c r="BH15" s="13" t="s">
        <v>97</v>
      </c>
      <c r="BI15" s="17"/>
      <c r="BJ15" s="13" t="s">
        <v>98</v>
      </c>
      <c r="BK15" s="16"/>
      <c r="BL15" s="14">
        <v>42531.0</v>
      </c>
      <c r="BM15" s="14">
        <v>42533.0</v>
      </c>
      <c r="BN15" s="13" t="s">
        <v>120</v>
      </c>
      <c r="BO15" s="15"/>
      <c r="BP15" s="15"/>
      <c r="BQ15" s="17"/>
      <c r="BR15" s="15"/>
      <c r="BS15" s="15"/>
      <c r="BT15" s="17"/>
      <c r="BU15" s="13" t="s">
        <v>99</v>
      </c>
      <c r="BV15" s="13" t="s">
        <v>121</v>
      </c>
      <c r="BW15" s="21">
        <v>35.0</v>
      </c>
      <c r="BX15" s="13" t="s">
        <v>101</v>
      </c>
      <c r="BY15" s="14">
        <v>42349.0</v>
      </c>
      <c r="BZ15" s="13" t="s">
        <v>102</v>
      </c>
      <c r="CA15" s="22" t="s">
        <v>103</v>
      </c>
    </row>
    <row r="16">
      <c r="A16" s="4">
        <v>82.0</v>
      </c>
      <c r="B16" s="5" t="s">
        <v>273</v>
      </c>
      <c r="C16" s="5" t="s">
        <v>274</v>
      </c>
      <c r="D16" s="5">
        <v>956364.0</v>
      </c>
      <c r="E16" s="5" t="s">
        <v>81</v>
      </c>
      <c r="F16" s="6">
        <v>41820.0</v>
      </c>
      <c r="G16" s="8"/>
      <c r="H16" s="5" t="s">
        <v>106</v>
      </c>
      <c r="I16" s="5" t="s">
        <v>240</v>
      </c>
      <c r="J16" s="5" t="s">
        <v>155</v>
      </c>
      <c r="K16" s="5">
        <v>4.0</v>
      </c>
      <c r="L16" s="5" t="s">
        <v>275</v>
      </c>
      <c r="M16" s="5" t="s">
        <v>196</v>
      </c>
      <c r="N16" s="5" t="s">
        <v>126</v>
      </c>
      <c r="O16" s="5">
        <v>3.6888764E9</v>
      </c>
      <c r="P16" s="8"/>
      <c r="Q16" s="8"/>
      <c r="R16" s="5" t="s">
        <v>276</v>
      </c>
      <c r="S16" s="5" t="s">
        <v>277</v>
      </c>
      <c r="T16" s="5" t="s">
        <v>278</v>
      </c>
      <c r="U16" s="5">
        <v>1.00956364E8</v>
      </c>
      <c r="V16" s="5" t="s">
        <v>279</v>
      </c>
      <c r="W16" s="8"/>
      <c r="X16" s="5">
        <v>1.4031292001E10</v>
      </c>
      <c r="Y16" s="5">
        <v>1210687.0</v>
      </c>
      <c r="Z16" s="8"/>
      <c r="AA16" s="5" t="s">
        <v>132</v>
      </c>
      <c r="AB16" s="8"/>
      <c r="AC16" s="8"/>
      <c r="AD16" s="5" t="s">
        <v>280</v>
      </c>
      <c r="AE16" s="18"/>
      <c r="AF16" s="6">
        <v>43126.0</v>
      </c>
      <c r="AG16" s="5">
        <v>25050.0</v>
      </c>
      <c r="AH16" s="8"/>
      <c r="AI16" s="8"/>
      <c r="AJ16" s="5" t="s">
        <v>90</v>
      </c>
      <c r="AK16" s="5" t="s">
        <v>91</v>
      </c>
      <c r="AL16" s="5" t="s">
        <v>188</v>
      </c>
      <c r="AM16" s="10">
        <v>0.7916666666666666</v>
      </c>
      <c r="AN16" s="10">
        <v>0.22916666666666666</v>
      </c>
      <c r="AO16" s="8"/>
      <c r="AP16" s="8"/>
      <c r="AQ16" s="5" t="s">
        <v>281</v>
      </c>
      <c r="AR16" s="5" t="s">
        <v>282</v>
      </c>
      <c r="AS16" s="5" t="s">
        <v>283</v>
      </c>
      <c r="AT16" s="5" t="s">
        <v>284</v>
      </c>
      <c r="AU16" s="5" t="s">
        <v>285</v>
      </c>
      <c r="AV16" s="5" t="s">
        <v>286</v>
      </c>
      <c r="AW16" s="5" t="s">
        <v>287</v>
      </c>
      <c r="AX16" s="5" t="s">
        <v>285</v>
      </c>
      <c r="AY16" s="5" t="s">
        <v>288</v>
      </c>
      <c r="AZ16" s="8"/>
      <c r="BA16" s="5">
        <v>746559.0</v>
      </c>
      <c r="BB16" s="5" t="s">
        <v>97</v>
      </c>
      <c r="BC16" s="5" t="s">
        <v>97</v>
      </c>
      <c r="BD16" s="5" t="s">
        <v>97</v>
      </c>
      <c r="BE16" s="5" t="s">
        <v>97</v>
      </c>
      <c r="BF16" s="5" t="s">
        <v>97</v>
      </c>
      <c r="BG16" s="5" t="s">
        <v>97</v>
      </c>
      <c r="BH16" s="5" t="s">
        <v>97</v>
      </c>
      <c r="BI16" s="9"/>
      <c r="BJ16" s="5" t="s">
        <v>151</v>
      </c>
      <c r="BK16" s="8"/>
      <c r="BL16" s="7"/>
      <c r="BM16" s="7"/>
      <c r="BN16" s="5" t="s">
        <v>120</v>
      </c>
      <c r="BO16" s="7"/>
      <c r="BP16" s="7"/>
      <c r="BQ16" s="5" t="s">
        <v>120</v>
      </c>
      <c r="BR16" s="7"/>
      <c r="BS16" s="7"/>
      <c r="BT16" s="9"/>
      <c r="BU16" s="5" t="s">
        <v>120</v>
      </c>
      <c r="BV16" s="5" t="s">
        <v>100</v>
      </c>
      <c r="BW16" s="23">
        <v>35.0</v>
      </c>
      <c r="BX16" s="5" t="s">
        <v>101</v>
      </c>
      <c r="BY16" s="7"/>
      <c r="BZ16" s="5" t="s">
        <v>102</v>
      </c>
      <c r="CA16" s="11" t="s">
        <v>103</v>
      </c>
    </row>
    <row r="17">
      <c r="A17" s="12">
        <v>87.0</v>
      </c>
      <c r="B17" s="13" t="s">
        <v>289</v>
      </c>
      <c r="C17" s="13" t="s">
        <v>290</v>
      </c>
      <c r="D17" s="13">
        <v>955759.0</v>
      </c>
      <c r="E17" s="13" t="s">
        <v>81</v>
      </c>
      <c r="F17" s="14">
        <v>43255.0</v>
      </c>
      <c r="G17" s="16"/>
      <c r="H17" s="13" t="s">
        <v>82</v>
      </c>
      <c r="I17" s="13" t="s">
        <v>240</v>
      </c>
      <c r="J17" s="13" t="s">
        <v>155</v>
      </c>
      <c r="K17" s="13">
        <v>2.0</v>
      </c>
      <c r="L17" s="13" t="s">
        <v>291</v>
      </c>
      <c r="M17" s="13" t="s">
        <v>292</v>
      </c>
      <c r="N17" s="13" t="s">
        <v>126</v>
      </c>
      <c r="O17" s="13" t="s">
        <v>293</v>
      </c>
      <c r="P17" s="17"/>
      <c r="Q17" s="16"/>
      <c r="R17" s="13" t="s">
        <v>294</v>
      </c>
      <c r="S17" s="13" t="s">
        <v>295</v>
      </c>
      <c r="T17" s="13" t="s">
        <v>296</v>
      </c>
      <c r="U17" s="13">
        <v>1.00955759E8</v>
      </c>
      <c r="V17" s="13" t="s">
        <v>297</v>
      </c>
      <c r="W17" s="16"/>
      <c r="X17" s="13">
        <v>1.4031292135E10</v>
      </c>
      <c r="Y17" s="13">
        <v>1020213.0</v>
      </c>
      <c r="Z17" s="16"/>
      <c r="AA17" s="17"/>
      <c r="AB17" s="16"/>
      <c r="AC17" s="16"/>
      <c r="AD17" s="13" t="s">
        <v>298</v>
      </c>
      <c r="AE17" s="17"/>
      <c r="AF17" s="14">
        <v>45218.0</v>
      </c>
      <c r="AG17" s="13">
        <v>968682.0</v>
      </c>
      <c r="AH17" s="16"/>
      <c r="AI17" s="16"/>
      <c r="AJ17" s="13" t="s">
        <v>90</v>
      </c>
      <c r="AK17" s="13" t="s">
        <v>91</v>
      </c>
      <c r="AL17" s="13" t="s">
        <v>92</v>
      </c>
      <c r="AM17" s="20">
        <v>0.4166666666666667</v>
      </c>
      <c r="AN17" s="20">
        <v>0.8541666666666666</v>
      </c>
      <c r="AO17" s="16"/>
      <c r="AP17" s="16"/>
      <c r="AQ17" s="13" t="s">
        <v>299</v>
      </c>
      <c r="AR17" s="13" t="s">
        <v>300</v>
      </c>
      <c r="AS17" s="17"/>
      <c r="AT17" s="17"/>
      <c r="AU17" s="16"/>
      <c r="AV17" s="16"/>
      <c r="AW17" s="16"/>
      <c r="AX17" s="16"/>
      <c r="AY17" s="13" t="s">
        <v>301</v>
      </c>
      <c r="AZ17" s="16"/>
      <c r="BA17" s="13">
        <v>138998.0</v>
      </c>
      <c r="BB17" s="13" t="s">
        <v>97</v>
      </c>
      <c r="BC17" s="13" t="s">
        <v>97</v>
      </c>
      <c r="BD17" s="13" t="s">
        <v>97</v>
      </c>
      <c r="BE17" s="13" t="s">
        <v>97</v>
      </c>
      <c r="BF17" s="13" t="s">
        <v>97</v>
      </c>
      <c r="BG17" s="13" t="s">
        <v>97</v>
      </c>
      <c r="BH17" s="13" t="s">
        <v>97</v>
      </c>
      <c r="BI17" s="16"/>
      <c r="BJ17" s="13" t="s">
        <v>98</v>
      </c>
      <c r="BK17" s="16"/>
      <c r="BL17" s="14">
        <v>43361.0</v>
      </c>
      <c r="BM17" s="14">
        <v>43482.0</v>
      </c>
      <c r="BN17" s="13" t="s">
        <v>120</v>
      </c>
      <c r="BO17" s="15"/>
      <c r="BP17" s="15"/>
      <c r="BQ17" s="17"/>
      <c r="BR17" s="14">
        <v>44012.0</v>
      </c>
      <c r="BS17" s="14">
        <v>44063.0</v>
      </c>
      <c r="BT17" s="17"/>
      <c r="BU17" s="13" t="s">
        <v>120</v>
      </c>
      <c r="BV17" s="13" t="s">
        <v>121</v>
      </c>
      <c r="BW17" s="21">
        <v>35.0</v>
      </c>
      <c r="BX17" s="13" t="s">
        <v>101</v>
      </c>
      <c r="BY17" s="14">
        <v>43346.0</v>
      </c>
      <c r="BZ17" s="13" t="s">
        <v>102</v>
      </c>
      <c r="CA17" s="22" t="s">
        <v>103</v>
      </c>
    </row>
    <row r="18">
      <c r="A18" s="4">
        <v>637.0</v>
      </c>
      <c r="B18" s="5" t="s">
        <v>302</v>
      </c>
      <c r="C18" s="5" t="s">
        <v>303</v>
      </c>
      <c r="D18" s="5">
        <v>6001661.0</v>
      </c>
      <c r="E18" s="5" t="s">
        <v>81</v>
      </c>
      <c r="F18" s="6">
        <v>46146.0</v>
      </c>
      <c r="G18" s="8"/>
      <c r="H18" s="5" t="s">
        <v>239</v>
      </c>
      <c r="I18" s="5" t="s">
        <v>83</v>
      </c>
      <c r="J18" s="5" t="s">
        <v>84</v>
      </c>
      <c r="K18" s="5" t="s">
        <v>241</v>
      </c>
      <c r="L18" s="5" t="s">
        <v>304</v>
      </c>
      <c r="M18" s="5" t="s">
        <v>167</v>
      </c>
      <c r="N18" s="5" t="s">
        <v>87</v>
      </c>
      <c r="O18" s="5">
        <v>5.142161772E9</v>
      </c>
      <c r="P18" s="9"/>
      <c r="Q18" s="8"/>
      <c r="R18" s="9"/>
      <c r="S18" s="9"/>
      <c r="T18" s="5" t="s">
        <v>305</v>
      </c>
      <c r="U18" s="9"/>
      <c r="V18" s="9"/>
      <c r="W18" s="8"/>
      <c r="X18" s="5">
        <v>1.5141294022E10</v>
      </c>
      <c r="Y18" s="5">
        <v>1060068.0</v>
      </c>
      <c r="Z18" s="8"/>
      <c r="AA18" s="9"/>
      <c r="AB18" s="8"/>
      <c r="AC18" s="8"/>
      <c r="AD18" s="9"/>
      <c r="AE18" s="9"/>
      <c r="AF18" s="7"/>
      <c r="AG18" s="9"/>
      <c r="AH18" s="8"/>
      <c r="AI18" s="8"/>
      <c r="AJ18" s="5" t="s">
        <v>90</v>
      </c>
      <c r="AK18" s="5" t="s">
        <v>244</v>
      </c>
      <c r="AL18" s="9"/>
      <c r="AM18" s="27"/>
      <c r="AN18" s="27"/>
      <c r="AO18" s="8"/>
      <c r="AP18" s="8"/>
      <c r="AQ18" s="5" t="s">
        <v>306</v>
      </c>
      <c r="AR18" s="5" t="s">
        <v>307</v>
      </c>
      <c r="AS18" s="9"/>
      <c r="AT18" s="9"/>
      <c r="AU18" s="9"/>
      <c r="AV18" s="9"/>
      <c r="AW18" s="9"/>
      <c r="AX18" s="9"/>
      <c r="AY18" s="5" t="s">
        <v>302</v>
      </c>
      <c r="AZ18" s="8"/>
      <c r="BA18" s="5" t="s">
        <v>96</v>
      </c>
      <c r="BB18" s="5" t="s">
        <v>118</v>
      </c>
      <c r="BC18" s="5" t="s">
        <v>118</v>
      </c>
      <c r="BD18" s="5" t="s">
        <v>118</v>
      </c>
      <c r="BE18" s="5" t="s">
        <v>118</v>
      </c>
      <c r="BF18" s="5" t="s">
        <v>118</v>
      </c>
      <c r="BG18" s="9"/>
      <c r="BH18" s="9"/>
      <c r="BI18" s="9"/>
      <c r="BJ18" s="9"/>
      <c r="BK18" s="8"/>
      <c r="BL18" s="7"/>
      <c r="BM18" s="7"/>
      <c r="BN18" s="9"/>
      <c r="BO18" s="7"/>
      <c r="BP18" s="7"/>
      <c r="BQ18" s="9"/>
      <c r="BR18" s="7"/>
      <c r="BS18" s="7"/>
      <c r="BT18" s="9"/>
      <c r="BU18" s="5" t="s">
        <v>99</v>
      </c>
      <c r="BV18" s="5" t="s">
        <v>308</v>
      </c>
      <c r="BW18" s="23">
        <v>35.0</v>
      </c>
      <c r="BX18" s="5" t="s">
        <v>101</v>
      </c>
      <c r="BY18" s="7"/>
      <c r="BZ18" s="5" t="s">
        <v>102</v>
      </c>
      <c r="CA18" s="11" t="s">
        <v>103</v>
      </c>
    </row>
    <row r="19">
      <c r="A19" s="12">
        <v>89.0</v>
      </c>
      <c r="B19" s="13" t="s">
        <v>309</v>
      </c>
      <c r="C19" s="13" t="s">
        <v>310</v>
      </c>
      <c r="D19" s="13">
        <v>955811.0</v>
      </c>
      <c r="E19" s="13" t="s">
        <v>81</v>
      </c>
      <c r="F19" s="14">
        <v>43948.0</v>
      </c>
      <c r="G19" s="16"/>
      <c r="H19" s="13" t="s">
        <v>106</v>
      </c>
      <c r="I19" s="13" t="s">
        <v>107</v>
      </c>
      <c r="J19" s="13" t="s">
        <v>84</v>
      </c>
      <c r="K19" s="13">
        <v>4.0</v>
      </c>
      <c r="L19" s="13" t="s">
        <v>311</v>
      </c>
      <c r="M19" s="13" t="s">
        <v>125</v>
      </c>
      <c r="N19" s="13" t="s">
        <v>126</v>
      </c>
      <c r="O19" s="13" t="s">
        <v>312</v>
      </c>
      <c r="P19" s="16"/>
      <c r="Q19" s="16"/>
      <c r="R19" s="13" t="s">
        <v>313</v>
      </c>
      <c r="S19" s="13" t="s">
        <v>314</v>
      </c>
      <c r="T19" s="13" t="s">
        <v>315</v>
      </c>
      <c r="U19" s="13">
        <v>1.00955811E8</v>
      </c>
      <c r="V19" s="13" t="s">
        <v>316</v>
      </c>
      <c r="W19" s="16"/>
      <c r="X19" s="13">
        <v>1.5141294253E10</v>
      </c>
      <c r="Y19" s="13">
        <v>1067281.0</v>
      </c>
      <c r="Z19" s="16"/>
      <c r="AA19" s="13" t="s">
        <v>132</v>
      </c>
      <c r="AB19" s="16"/>
      <c r="AC19" s="16"/>
      <c r="AD19" s="13" t="s">
        <v>317</v>
      </c>
      <c r="AE19" s="18"/>
      <c r="AF19" s="14">
        <v>44404.0</v>
      </c>
      <c r="AG19" s="13">
        <v>32398.0</v>
      </c>
      <c r="AH19" s="16"/>
      <c r="AI19" s="16"/>
      <c r="AJ19" s="13" t="s">
        <v>90</v>
      </c>
      <c r="AK19" s="13" t="s">
        <v>91</v>
      </c>
      <c r="AL19" s="19">
        <v>46115.0</v>
      </c>
      <c r="AM19" s="20">
        <v>0.3125</v>
      </c>
      <c r="AN19" s="20">
        <v>0.6666666666666666</v>
      </c>
      <c r="AO19" s="16"/>
      <c r="AP19" s="16"/>
      <c r="AQ19" s="13" t="s">
        <v>318</v>
      </c>
      <c r="AR19" s="13" t="s">
        <v>319</v>
      </c>
      <c r="AS19" s="17"/>
      <c r="AT19" s="17"/>
      <c r="AU19" s="17"/>
      <c r="AV19" s="16"/>
      <c r="AW19" s="16"/>
      <c r="AX19" s="16"/>
      <c r="AY19" s="13" t="s">
        <v>320</v>
      </c>
      <c r="AZ19" s="16"/>
      <c r="BA19" s="13">
        <v>66217.0</v>
      </c>
      <c r="BB19" s="13" t="s">
        <v>118</v>
      </c>
      <c r="BC19" s="13" t="s">
        <v>118</v>
      </c>
      <c r="BD19" s="13" t="s">
        <v>97</v>
      </c>
      <c r="BE19" s="13" t="s">
        <v>97</v>
      </c>
      <c r="BF19" s="13" t="s">
        <v>118</v>
      </c>
      <c r="BG19" s="13" t="s">
        <v>97</v>
      </c>
      <c r="BH19" s="13" t="s">
        <v>97</v>
      </c>
      <c r="BI19" s="16"/>
      <c r="BJ19" s="13" t="s">
        <v>98</v>
      </c>
      <c r="BK19" s="16"/>
      <c r="BL19" s="14">
        <v>44175.0</v>
      </c>
      <c r="BM19" s="14">
        <v>44390.0</v>
      </c>
      <c r="BN19" s="13" t="s">
        <v>120</v>
      </c>
      <c r="BO19" s="14">
        <v>45245.0</v>
      </c>
      <c r="BP19" s="14">
        <v>45443.0</v>
      </c>
      <c r="BQ19" s="13" t="s">
        <v>120</v>
      </c>
      <c r="BR19" s="14">
        <v>45846.0</v>
      </c>
      <c r="BS19" s="14">
        <v>45926.0</v>
      </c>
      <c r="BT19" s="13" t="s">
        <v>120</v>
      </c>
      <c r="BU19" s="13" t="s">
        <v>99</v>
      </c>
      <c r="BV19" s="13" t="s">
        <v>121</v>
      </c>
      <c r="BW19" s="21">
        <v>34.0</v>
      </c>
      <c r="BX19" s="13" t="s">
        <v>101</v>
      </c>
      <c r="BY19" s="14">
        <v>44019.0</v>
      </c>
      <c r="BZ19" s="13" t="s">
        <v>102</v>
      </c>
      <c r="CA19" s="22" t="s">
        <v>103</v>
      </c>
    </row>
    <row r="20">
      <c r="A20" s="4">
        <v>90.0</v>
      </c>
      <c r="B20" s="5" t="s">
        <v>321</v>
      </c>
      <c r="C20" s="5" t="s">
        <v>322</v>
      </c>
      <c r="D20" s="5">
        <v>956355.0</v>
      </c>
      <c r="E20" s="5" t="s">
        <v>81</v>
      </c>
      <c r="F20" s="6">
        <v>42611.0</v>
      </c>
      <c r="G20" s="8"/>
      <c r="H20" s="5" t="s">
        <v>82</v>
      </c>
      <c r="I20" s="5" t="s">
        <v>240</v>
      </c>
      <c r="J20" s="5" t="s">
        <v>155</v>
      </c>
      <c r="K20" s="5">
        <v>2.0</v>
      </c>
      <c r="L20" s="5" t="s">
        <v>323</v>
      </c>
      <c r="M20" s="5" t="s">
        <v>292</v>
      </c>
      <c r="N20" s="5" t="s">
        <v>126</v>
      </c>
      <c r="O20" s="5">
        <v>5.876099254E9</v>
      </c>
      <c r="P20" s="5" t="s">
        <v>324</v>
      </c>
      <c r="Q20" s="8"/>
      <c r="R20" s="5" t="s">
        <v>325</v>
      </c>
      <c r="S20" s="5" t="s">
        <v>326</v>
      </c>
      <c r="T20" s="5" t="s">
        <v>327</v>
      </c>
      <c r="U20" s="5">
        <v>1.00956355E8</v>
      </c>
      <c r="V20" s="5" t="s">
        <v>328</v>
      </c>
      <c r="W20" s="8"/>
      <c r="X20" s="5">
        <v>1.4031292002E10</v>
      </c>
      <c r="Y20" s="5">
        <v>1020004.0</v>
      </c>
      <c r="Z20" s="9"/>
      <c r="AA20" s="5" t="s">
        <v>132</v>
      </c>
      <c r="AB20" s="8"/>
      <c r="AC20" s="8"/>
      <c r="AD20" s="5" t="s">
        <v>329</v>
      </c>
      <c r="AE20" s="9"/>
      <c r="AF20" s="6">
        <v>46053.0</v>
      </c>
      <c r="AG20" s="5">
        <v>972860.0</v>
      </c>
      <c r="AH20" s="8"/>
      <c r="AI20" s="8"/>
      <c r="AJ20" s="5" t="s">
        <v>90</v>
      </c>
      <c r="AK20" s="5" t="s">
        <v>91</v>
      </c>
      <c r="AL20" s="24">
        <v>46115.0</v>
      </c>
      <c r="AM20" s="10">
        <v>0.5416666666666666</v>
      </c>
      <c r="AN20" s="10">
        <v>0.9166666666666666</v>
      </c>
      <c r="AO20" s="8"/>
      <c r="AP20" s="8"/>
      <c r="AQ20" s="5" t="s">
        <v>330</v>
      </c>
      <c r="AR20" s="5" t="s">
        <v>331</v>
      </c>
      <c r="AS20" s="9"/>
      <c r="AT20" s="9"/>
      <c r="AU20" s="9"/>
      <c r="AV20" s="8"/>
      <c r="AW20" s="8"/>
      <c r="AX20" s="8"/>
      <c r="AY20" s="5" t="s">
        <v>332</v>
      </c>
      <c r="AZ20" s="8"/>
      <c r="BA20" s="5">
        <v>421171.0</v>
      </c>
      <c r="BB20" s="5" t="s">
        <v>118</v>
      </c>
      <c r="BC20" s="5" t="s">
        <v>97</v>
      </c>
      <c r="BD20" s="5" t="s">
        <v>97</v>
      </c>
      <c r="BE20" s="5" t="s">
        <v>118</v>
      </c>
      <c r="BF20" s="5" t="s">
        <v>118</v>
      </c>
      <c r="BG20" s="5" t="s">
        <v>97</v>
      </c>
      <c r="BH20" s="5" t="s">
        <v>97</v>
      </c>
      <c r="BI20" s="9"/>
      <c r="BJ20" s="5" t="s">
        <v>176</v>
      </c>
      <c r="BK20" s="8"/>
      <c r="BL20" s="6">
        <v>43728.0</v>
      </c>
      <c r="BM20" s="7"/>
      <c r="BN20" s="5" t="s">
        <v>120</v>
      </c>
      <c r="BO20" s="7"/>
      <c r="BP20" s="7"/>
      <c r="BQ20" s="9"/>
      <c r="BR20" s="7"/>
      <c r="BS20" s="7"/>
      <c r="BT20" s="9"/>
      <c r="BU20" s="5" t="s">
        <v>120</v>
      </c>
      <c r="BV20" s="5" t="s">
        <v>121</v>
      </c>
      <c r="BW20" s="23">
        <v>34.0</v>
      </c>
      <c r="BX20" s="5" t="s">
        <v>101</v>
      </c>
      <c r="BY20" s="6">
        <v>43264.0</v>
      </c>
      <c r="BZ20" s="5" t="s">
        <v>102</v>
      </c>
      <c r="CA20" s="11" t="s">
        <v>103</v>
      </c>
    </row>
    <row r="21">
      <c r="A21" s="12">
        <v>576.0</v>
      </c>
      <c r="B21" s="13" t="s">
        <v>333</v>
      </c>
      <c r="C21" s="13" t="s">
        <v>334</v>
      </c>
      <c r="D21" s="13">
        <v>766860.0</v>
      </c>
      <c r="E21" s="13" t="s">
        <v>81</v>
      </c>
      <c r="F21" s="14">
        <v>45544.0</v>
      </c>
      <c r="G21" s="15"/>
      <c r="H21" s="13" t="s">
        <v>82</v>
      </c>
      <c r="I21" s="13" t="s">
        <v>107</v>
      </c>
      <c r="J21" s="13" t="s">
        <v>84</v>
      </c>
      <c r="K21" s="13">
        <v>2.0</v>
      </c>
      <c r="L21" s="13" t="s">
        <v>335</v>
      </c>
      <c r="M21" s="13" t="s">
        <v>181</v>
      </c>
      <c r="N21" s="13" t="s">
        <v>87</v>
      </c>
      <c r="O21" s="13">
        <v>4.386995558E9</v>
      </c>
      <c r="P21" s="17"/>
      <c r="Q21" s="16"/>
      <c r="R21" s="17"/>
      <c r="S21" s="13" t="s">
        <v>336</v>
      </c>
      <c r="T21" s="13" t="s">
        <v>337</v>
      </c>
      <c r="U21" s="13">
        <v>1.0076686E8</v>
      </c>
      <c r="V21" s="13" t="s">
        <v>334</v>
      </c>
      <c r="W21" s="16"/>
      <c r="X21" s="13">
        <v>1.5141294058E10</v>
      </c>
      <c r="Y21" s="13">
        <v>1060052.0</v>
      </c>
      <c r="Z21" s="17"/>
      <c r="AA21" s="17"/>
      <c r="AB21" s="16"/>
      <c r="AC21" s="17"/>
      <c r="AD21" s="17"/>
      <c r="AE21" s="17"/>
      <c r="AF21" s="14">
        <v>45856.0</v>
      </c>
      <c r="AG21" s="17"/>
      <c r="AH21" s="16"/>
      <c r="AI21" s="16"/>
      <c r="AJ21" s="13" t="s">
        <v>90</v>
      </c>
      <c r="AK21" s="13" t="s">
        <v>244</v>
      </c>
      <c r="AL21" s="13" t="s">
        <v>188</v>
      </c>
      <c r="AM21" s="20">
        <v>0.041666666666666664</v>
      </c>
      <c r="AN21" s="20">
        <v>0.4791666666666667</v>
      </c>
      <c r="AO21" s="16"/>
      <c r="AP21" s="16"/>
      <c r="AQ21" s="13" t="s">
        <v>338</v>
      </c>
      <c r="AR21" s="13" t="s">
        <v>339</v>
      </c>
      <c r="AS21" s="13" t="s">
        <v>340</v>
      </c>
      <c r="AT21" s="13" t="s">
        <v>340</v>
      </c>
      <c r="AU21" s="13" t="s">
        <v>340</v>
      </c>
      <c r="AV21" s="16"/>
      <c r="AW21" s="16"/>
      <c r="AX21" s="16"/>
      <c r="AY21" s="13" t="s">
        <v>341</v>
      </c>
      <c r="AZ21" s="16"/>
      <c r="BA21" s="13">
        <v>60007.0</v>
      </c>
      <c r="BB21" s="13" t="s">
        <v>97</v>
      </c>
      <c r="BC21" s="13" t="s">
        <v>97</v>
      </c>
      <c r="BD21" s="13" t="s">
        <v>97</v>
      </c>
      <c r="BE21" s="13" t="s">
        <v>97</v>
      </c>
      <c r="BF21" s="13" t="s">
        <v>97</v>
      </c>
      <c r="BG21" s="13" t="s">
        <v>97</v>
      </c>
      <c r="BH21" s="13" t="s">
        <v>97</v>
      </c>
      <c r="BI21" s="17"/>
      <c r="BJ21" s="13" t="s">
        <v>151</v>
      </c>
      <c r="BK21" s="16"/>
      <c r="BL21" s="14">
        <v>45673.0</v>
      </c>
      <c r="BM21" s="14">
        <v>45731.0</v>
      </c>
      <c r="BN21" s="13" t="s">
        <v>120</v>
      </c>
      <c r="BO21" s="15"/>
      <c r="BP21" s="15"/>
      <c r="BQ21" s="17"/>
      <c r="BR21" s="15"/>
      <c r="BS21" s="15"/>
      <c r="BT21" s="17"/>
      <c r="BU21" s="13" t="s">
        <v>99</v>
      </c>
      <c r="BV21" s="13" t="s">
        <v>100</v>
      </c>
      <c r="BW21" s="21">
        <v>34.0</v>
      </c>
      <c r="BX21" s="13" t="s">
        <v>101</v>
      </c>
      <c r="BY21" s="14">
        <v>45619.0</v>
      </c>
      <c r="BZ21" s="13" t="s">
        <v>102</v>
      </c>
      <c r="CA21" s="22" t="s">
        <v>103</v>
      </c>
    </row>
    <row r="22">
      <c r="A22" s="4">
        <v>361.0</v>
      </c>
      <c r="B22" s="5" t="s">
        <v>342</v>
      </c>
      <c r="C22" s="5" t="s">
        <v>343</v>
      </c>
      <c r="D22" s="5">
        <v>995563.0</v>
      </c>
      <c r="E22" s="5" t="s">
        <v>81</v>
      </c>
      <c r="F22" s="6">
        <v>44900.0</v>
      </c>
      <c r="G22" s="8"/>
      <c r="H22" s="5" t="s">
        <v>82</v>
      </c>
      <c r="I22" s="5" t="s">
        <v>107</v>
      </c>
      <c r="J22" s="5" t="s">
        <v>84</v>
      </c>
      <c r="K22" s="5">
        <v>2.0</v>
      </c>
      <c r="L22" s="5" t="s">
        <v>344</v>
      </c>
      <c r="M22" s="5" t="s">
        <v>86</v>
      </c>
      <c r="N22" s="5" t="s">
        <v>87</v>
      </c>
      <c r="O22" s="5">
        <v>5.14895843E9</v>
      </c>
      <c r="P22" s="8"/>
      <c r="Q22" s="8"/>
      <c r="R22" s="5" t="s">
        <v>345</v>
      </c>
      <c r="S22" s="5" t="s">
        <v>346</v>
      </c>
      <c r="T22" s="5" t="s">
        <v>347</v>
      </c>
      <c r="U22" s="5">
        <v>1.00995563E8</v>
      </c>
      <c r="V22" s="5" t="s">
        <v>343</v>
      </c>
      <c r="W22" s="8"/>
      <c r="X22" s="5">
        <v>1.5141294037E10</v>
      </c>
      <c r="Y22" s="5">
        <v>1060011.0</v>
      </c>
      <c r="Z22" s="8"/>
      <c r="AA22" s="9"/>
      <c r="AB22" s="8"/>
      <c r="AC22" s="8"/>
      <c r="AD22" s="9"/>
      <c r="AE22" s="9"/>
      <c r="AF22" s="6">
        <v>45237.0</v>
      </c>
      <c r="AG22" s="5">
        <v>968897.0</v>
      </c>
      <c r="AH22" s="8"/>
      <c r="AI22" s="8"/>
      <c r="AJ22" s="5" t="s">
        <v>90</v>
      </c>
      <c r="AK22" s="5" t="s">
        <v>91</v>
      </c>
      <c r="AL22" s="24">
        <v>46115.0</v>
      </c>
      <c r="AM22" s="10">
        <v>0.25</v>
      </c>
      <c r="AN22" s="10">
        <v>0.6041666666666666</v>
      </c>
      <c r="AO22" s="8"/>
      <c r="AP22" s="8"/>
      <c r="AQ22" s="5" t="s">
        <v>348</v>
      </c>
      <c r="AR22" s="5" t="s">
        <v>349</v>
      </c>
      <c r="AS22" s="9"/>
      <c r="AT22" s="9"/>
      <c r="AU22" s="9"/>
      <c r="AV22" s="9"/>
      <c r="AW22" s="9"/>
      <c r="AX22" s="9"/>
      <c r="AY22" s="5" t="s">
        <v>350</v>
      </c>
      <c r="AZ22" s="8"/>
      <c r="BA22" s="5">
        <v>60052.0</v>
      </c>
      <c r="BB22" s="5" t="s">
        <v>97</v>
      </c>
      <c r="BC22" s="5" t="s">
        <v>118</v>
      </c>
      <c r="BD22" s="5" t="s">
        <v>97</v>
      </c>
      <c r="BE22" s="5" t="s">
        <v>97</v>
      </c>
      <c r="BF22" s="5" t="s">
        <v>97</v>
      </c>
      <c r="BG22" s="5" t="s">
        <v>118</v>
      </c>
      <c r="BH22" s="5" t="s">
        <v>118</v>
      </c>
      <c r="BI22" s="9"/>
      <c r="BJ22" s="5" t="s">
        <v>98</v>
      </c>
      <c r="BK22" s="8"/>
      <c r="BL22" s="6">
        <v>45070.0</v>
      </c>
      <c r="BM22" s="6">
        <v>45168.0</v>
      </c>
      <c r="BN22" s="5" t="s">
        <v>120</v>
      </c>
      <c r="BO22" s="7"/>
      <c r="BP22" s="7"/>
      <c r="BQ22" s="9"/>
      <c r="BR22" s="7"/>
      <c r="BS22" s="7"/>
      <c r="BT22" s="9"/>
      <c r="BU22" s="5" t="s">
        <v>99</v>
      </c>
      <c r="BV22" s="5" t="s">
        <v>351</v>
      </c>
      <c r="BW22" s="23">
        <v>34.0</v>
      </c>
      <c r="BX22" s="5" t="s">
        <v>101</v>
      </c>
      <c r="BY22" s="6">
        <v>45041.0</v>
      </c>
      <c r="BZ22" s="5" t="s">
        <v>102</v>
      </c>
      <c r="CA22" s="11" t="s">
        <v>103</v>
      </c>
    </row>
    <row r="23">
      <c r="A23" s="12">
        <v>358.0</v>
      </c>
      <c r="B23" s="13" t="s">
        <v>352</v>
      </c>
      <c r="C23" s="13" t="s">
        <v>353</v>
      </c>
      <c r="D23" s="13">
        <v>992448.0</v>
      </c>
      <c r="E23" s="13" t="s">
        <v>81</v>
      </c>
      <c r="F23" s="14">
        <v>44823.0</v>
      </c>
      <c r="G23" s="15"/>
      <c r="H23" s="13" t="s">
        <v>106</v>
      </c>
      <c r="I23" s="13" t="s">
        <v>139</v>
      </c>
      <c r="J23" s="13" t="s">
        <v>140</v>
      </c>
      <c r="K23" s="13">
        <v>4.0</v>
      </c>
      <c r="L23" s="13" t="s">
        <v>354</v>
      </c>
      <c r="M23" s="13" t="s">
        <v>250</v>
      </c>
      <c r="N23" s="13" t="s">
        <v>87</v>
      </c>
      <c r="O23" s="13">
        <v>9.024414226E9</v>
      </c>
      <c r="P23" s="16"/>
      <c r="Q23" s="16"/>
      <c r="R23" s="13" t="s">
        <v>355</v>
      </c>
      <c r="S23" s="13" t="s">
        <v>356</v>
      </c>
      <c r="T23" s="13" t="s">
        <v>357</v>
      </c>
      <c r="U23" s="13">
        <v>1.00992448E8</v>
      </c>
      <c r="V23" s="13" t="s">
        <v>353</v>
      </c>
      <c r="W23" s="16"/>
      <c r="X23" s="13">
        <v>1.5141294084E10</v>
      </c>
      <c r="Y23" s="13">
        <v>1066154.0</v>
      </c>
      <c r="Z23" s="17"/>
      <c r="AA23" s="17"/>
      <c r="AB23" s="16"/>
      <c r="AC23" s="17"/>
      <c r="AD23" s="13" t="s">
        <v>358</v>
      </c>
      <c r="AE23" s="18"/>
      <c r="AF23" s="14">
        <v>45357.0</v>
      </c>
      <c r="AG23" s="13">
        <v>969514.0</v>
      </c>
      <c r="AH23" s="16"/>
      <c r="AI23" s="16"/>
      <c r="AJ23" s="13" t="s">
        <v>90</v>
      </c>
      <c r="AK23" s="13" t="s">
        <v>91</v>
      </c>
      <c r="AL23" s="19">
        <v>46115.0</v>
      </c>
      <c r="AM23" s="20">
        <v>0.6041666666666666</v>
      </c>
      <c r="AN23" s="20">
        <v>0.9791666666666666</v>
      </c>
      <c r="AO23" s="16"/>
      <c r="AP23" s="16"/>
      <c r="AQ23" s="13" t="s">
        <v>359</v>
      </c>
      <c r="AR23" s="13" t="s">
        <v>360</v>
      </c>
      <c r="AS23" s="13" t="s">
        <v>361</v>
      </c>
      <c r="AT23" s="13">
        <v>9.029896481E9</v>
      </c>
      <c r="AU23" s="17"/>
      <c r="AV23" s="16"/>
      <c r="AW23" s="16"/>
      <c r="AX23" s="16"/>
      <c r="AY23" s="13" t="s">
        <v>362</v>
      </c>
      <c r="AZ23" s="16"/>
      <c r="BA23" s="13" t="s">
        <v>96</v>
      </c>
      <c r="BB23" s="13" t="s">
        <v>97</v>
      </c>
      <c r="BC23" s="13" t="s">
        <v>118</v>
      </c>
      <c r="BD23" s="13" t="s">
        <v>118</v>
      </c>
      <c r="BE23" s="13" t="s">
        <v>97</v>
      </c>
      <c r="BF23" s="13" t="s">
        <v>97</v>
      </c>
      <c r="BG23" s="13" t="s">
        <v>97</v>
      </c>
      <c r="BH23" s="13" t="s">
        <v>118</v>
      </c>
      <c r="BI23" s="16"/>
      <c r="BJ23" s="13" t="s">
        <v>176</v>
      </c>
      <c r="BK23" s="16"/>
      <c r="BL23" s="14">
        <v>44967.0</v>
      </c>
      <c r="BM23" s="14">
        <v>45072.0</v>
      </c>
      <c r="BN23" s="13" t="s">
        <v>120</v>
      </c>
      <c r="BO23" s="14">
        <v>45924.0</v>
      </c>
      <c r="BP23" s="14">
        <v>45975.0</v>
      </c>
      <c r="BQ23" s="13" t="s">
        <v>120</v>
      </c>
      <c r="BR23" s="14">
        <v>46064.0</v>
      </c>
      <c r="BS23" s="14">
        <v>46136.0</v>
      </c>
      <c r="BT23" s="13" t="s">
        <v>99</v>
      </c>
      <c r="BU23" s="13" t="s">
        <v>99</v>
      </c>
      <c r="BV23" s="13" t="s">
        <v>121</v>
      </c>
      <c r="BW23" s="21">
        <v>34.0</v>
      </c>
      <c r="BX23" s="13" t="s">
        <v>101</v>
      </c>
      <c r="BY23" s="14">
        <v>44946.0</v>
      </c>
      <c r="BZ23" s="13" t="s">
        <v>102</v>
      </c>
      <c r="CA23" s="22" t="s">
        <v>103</v>
      </c>
    </row>
    <row r="24">
      <c r="A24" s="4">
        <v>645.0</v>
      </c>
      <c r="B24" s="5" t="s">
        <v>363</v>
      </c>
      <c r="C24" s="5" t="s">
        <v>364</v>
      </c>
      <c r="D24" s="5">
        <v>6001712.0</v>
      </c>
      <c r="E24" s="5" t="s">
        <v>81</v>
      </c>
      <c r="F24" s="6">
        <v>46146.0</v>
      </c>
      <c r="G24" s="7"/>
      <c r="H24" s="5" t="s">
        <v>239</v>
      </c>
      <c r="I24" s="5" t="s">
        <v>240</v>
      </c>
      <c r="J24" s="5" t="s">
        <v>155</v>
      </c>
      <c r="K24" s="5" t="s">
        <v>241</v>
      </c>
      <c r="L24" s="5" t="s">
        <v>365</v>
      </c>
      <c r="M24" s="5" t="s">
        <v>167</v>
      </c>
      <c r="N24" s="5" t="s">
        <v>87</v>
      </c>
      <c r="O24" s="5">
        <v>4.039195377E9</v>
      </c>
      <c r="P24" s="8"/>
      <c r="Q24" s="8"/>
      <c r="R24" s="9"/>
      <c r="S24" s="9"/>
      <c r="T24" s="5" t="s">
        <v>366</v>
      </c>
      <c r="U24" s="9"/>
      <c r="V24" s="9"/>
      <c r="W24" s="8"/>
      <c r="X24" s="5">
        <v>1.5141294049E10</v>
      </c>
      <c r="Y24" s="5">
        <v>1060074.0</v>
      </c>
      <c r="Z24" s="9"/>
      <c r="AA24" s="9"/>
      <c r="AB24" s="8"/>
      <c r="AC24" s="9"/>
      <c r="AD24" s="9"/>
      <c r="AE24" s="9"/>
      <c r="AF24" s="7"/>
      <c r="AG24" s="9"/>
      <c r="AH24" s="7"/>
      <c r="AI24" s="9"/>
      <c r="AJ24" s="5" t="s">
        <v>90</v>
      </c>
      <c r="AK24" s="5" t="s">
        <v>244</v>
      </c>
      <c r="AL24" s="9"/>
      <c r="AM24" s="27"/>
      <c r="AN24" s="27"/>
      <c r="AO24" s="8"/>
      <c r="AP24" s="8"/>
      <c r="AQ24" s="5" t="s">
        <v>367</v>
      </c>
      <c r="AR24" s="5" t="s">
        <v>368</v>
      </c>
      <c r="AS24" s="9"/>
      <c r="AT24" s="9"/>
      <c r="AU24" s="9"/>
      <c r="AV24" s="9"/>
      <c r="AW24" s="9"/>
      <c r="AX24" s="9"/>
      <c r="AY24" s="5" t="s">
        <v>363</v>
      </c>
      <c r="AZ24" s="8"/>
      <c r="BA24" s="5" t="s">
        <v>96</v>
      </c>
      <c r="BB24" s="5" t="s">
        <v>118</v>
      </c>
      <c r="BC24" s="5" t="s">
        <v>118</v>
      </c>
      <c r="BD24" s="5" t="s">
        <v>118</v>
      </c>
      <c r="BE24" s="5" t="s">
        <v>118</v>
      </c>
      <c r="BF24" s="5" t="s">
        <v>118</v>
      </c>
      <c r="BG24" s="9"/>
      <c r="BH24" s="9"/>
      <c r="BI24" s="9"/>
      <c r="BJ24" s="9"/>
      <c r="BK24" s="8"/>
      <c r="BL24" s="7"/>
      <c r="BM24" s="7"/>
      <c r="BN24" s="9"/>
      <c r="BO24" s="7"/>
      <c r="BP24" s="7"/>
      <c r="BQ24" s="9"/>
      <c r="BR24" s="7"/>
      <c r="BS24" s="7"/>
      <c r="BT24" s="9"/>
      <c r="BU24" s="5" t="s">
        <v>120</v>
      </c>
      <c r="BV24" s="5" t="s">
        <v>308</v>
      </c>
      <c r="BW24" s="23">
        <v>35.0</v>
      </c>
      <c r="BX24" s="5" t="s">
        <v>101</v>
      </c>
      <c r="BY24" s="7"/>
      <c r="BZ24" s="5" t="s">
        <v>102</v>
      </c>
      <c r="CA24" s="11" t="s">
        <v>103</v>
      </c>
    </row>
    <row r="25">
      <c r="A25" s="12">
        <v>624.0</v>
      </c>
      <c r="B25" s="13" t="s">
        <v>369</v>
      </c>
      <c r="C25" s="13" t="s">
        <v>370</v>
      </c>
      <c r="D25" s="13">
        <v>6001471.0</v>
      </c>
      <c r="E25" s="13" t="s">
        <v>81</v>
      </c>
      <c r="F25" s="14">
        <v>46119.0</v>
      </c>
      <c r="G25" s="15"/>
      <c r="H25" s="13" t="s">
        <v>239</v>
      </c>
      <c r="I25" s="13" t="s">
        <v>240</v>
      </c>
      <c r="J25" s="13" t="s">
        <v>155</v>
      </c>
      <c r="K25" s="13">
        <v>1.0</v>
      </c>
      <c r="L25" s="13" t="s">
        <v>371</v>
      </c>
      <c r="M25" s="13" t="s">
        <v>292</v>
      </c>
      <c r="N25" s="13" t="s">
        <v>126</v>
      </c>
      <c r="O25" s="13">
        <v>5.879688694E9</v>
      </c>
      <c r="P25" s="16"/>
      <c r="Q25" s="16"/>
      <c r="R25" s="17"/>
      <c r="S25" s="13" t="s">
        <v>372</v>
      </c>
      <c r="T25" s="13" t="s">
        <v>373</v>
      </c>
      <c r="U25" s="13">
        <v>1.06001471E8</v>
      </c>
      <c r="V25" s="17"/>
      <c r="W25" s="16"/>
      <c r="X25" s="13">
        <v>1.5141294039E10</v>
      </c>
      <c r="Y25" s="13">
        <v>1060013.0</v>
      </c>
      <c r="Z25" s="17"/>
      <c r="AA25" s="17"/>
      <c r="AB25" s="16"/>
      <c r="AC25" s="17"/>
      <c r="AD25" s="17"/>
      <c r="AE25" s="17"/>
      <c r="AF25" s="15"/>
      <c r="AG25" s="17"/>
      <c r="AH25" s="16"/>
      <c r="AI25" s="16"/>
      <c r="AJ25" s="13" t="s">
        <v>90</v>
      </c>
      <c r="AK25" s="13" t="s">
        <v>244</v>
      </c>
      <c r="AL25" s="25"/>
      <c r="AM25" s="26"/>
      <c r="AN25" s="26"/>
      <c r="AO25" s="16"/>
      <c r="AP25" s="16"/>
      <c r="AQ25" s="13" t="s">
        <v>374</v>
      </c>
      <c r="AR25" s="13" t="s">
        <v>375</v>
      </c>
      <c r="AS25" s="17"/>
      <c r="AT25" s="17"/>
      <c r="AU25" s="17"/>
      <c r="AV25" s="16"/>
      <c r="AW25" s="16"/>
      <c r="AX25" s="16"/>
      <c r="AY25" s="13" t="s">
        <v>376</v>
      </c>
      <c r="AZ25" s="16"/>
      <c r="BA25" s="13">
        <v>451832.0</v>
      </c>
      <c r="BB25" s="13" t="s">
        <v>118</v>
      </c>
      <c r="BC25" s="13" t="s">
        <v>118</v>
      </c>
      <c r="BD25" s="13" t="s">
        <v>118</v>
      </c>
      <c r="BE25" s="13" t="s">
        <v>118</v>
      </c>
      <c r="BF25" s="13" t="s">
        <v>118</v>
      </c>
      <c r="BG25" s="17"/>
      <c r="BH25" s="17"/>
      <c r="BI25" s="16"/>
      <c r="BJ25" s="17"/>
      <c r="BK25" s="16"/>
      <c r="BL25" s="15"/>
      <c r="BM25" s="15"/>
      <c r="BN25" s="17"/>
      <c r="BO25" s="15"/>
      <c r="BP25" s="15"/>
      <c r="BQ25" s="17"/>
      <c r="BR25" s="15"/>
      <c r="BS25" s="15"/>
      <c r="BT25" s="17"/>
      <c r="BU25" s="13" t="s">
        <v>120</v>
      </c>
      <c r="BV25" s="13" t="s">
        <v>308</v>
      </c>
      <c r="BW25" s="21">
        <v>35.0</v>
      </c>
      <c r="BX25" s="13" t="s">
        <v>101</v>
      </c>
      <c r="BY25" s="15"/>
      <c r="BZ25" s="13" t="s">
        <v>102</v>
      </c>
      <c r="CA25" s="22" t="s">
        <v>103</v>
      </c>
    </row>
    <row r="26">
      <c r="A26" s="4">
        <v>353.0</v>
      </c>
      <c r="B26" s="5" t="s">
        <v>377</v>
      </c>
      <c r="C26" s="5" t="s">
        <v>378</v>
      </c>
      <c r="D26" s="5">
        <v>992326.0</v>
      </c>
      <c r="E26" s="5" t="s">
        <v>81</v>
      </c>
      <c r="F26" s="6">
        <v>44823.0</v>
      </c>
      <c r="G26" s="7"/>
      <c r="H26" s="5" t="s">
        <v>82</v>
      </c>
      <c r="I26" s="5" t="s">
        <v>107</v>
      </c>
      <c r="J26" s="5" t="s">
        <v>140</v>
      </c>
      <c r="K26" s="5">
        <v>2.0</v>
      </c>
      <c r="L26" s="5" t="s">
        <v>379</v>
      </c>
      <c r="M26" s="5" t="s">
        <v>86</v>
      </c>
      <c r="N26" s="5" t="s">
        <v>87</v>
      </c>
      <c r="O26" s="5">
        <v>5.14572859E9</v>
      </c>
      <c r="P26" s="8"/>
      <c r="Q26" s="8"/>
      <c r="R26" s="5" t="s">
        <v>380</v>
      </c>
      <c r="S26" s="5" t="s">
        <v>381</v>
      </c>
      <c r="T26" s="5" t="s">
        <v>382</v>
      </c>
      <c r="U26" s="5">
        <v>1.00992326E8</v>
      </c>
      <c r="V26" s="5" t="s">
        <v>378</v>
      </c>
      <c r="W26" s="8"/>
      <c r="X26" s="5">
        <v>1.514129408E10</v>
      </c>
      <c r="Y26" s="5">
        <v>1066150.0</v>
      </c>
      <c r="Z26" s="8"/>
      <c r="AA26" s="9"/>
      <c r="AB26" s="8"/>
      <c r="AC26" s="8"/>
      <c r="AD26" s="5" t="s">
        <v>298</v>
      </c>
      <c r="AE26" s="9"/>
      <c r="AF26" s="6">
        <v>45546.0</v>
      </c>
      <c r="AG26" s="5">
        <v>992326.0</v>
      </c>
      <c r="AH26" s="8"/>
      <c r="AI26" s="8"/>
      <c r="AJ26" s="5" t="s">
        <v>90</v>
      </c>
      <c r="AK26" s="5" t="s">
        <v>91</v>
      </c>
      <c r="AL26" s="24">
        <v>46115.0</v>
      </c>
      <c r="AM26" s="10">
        <v>0.25</v>
      </c>
      <c r="AN26" s="10">
        <v>0.6041666666666666</v>
      </c>
      <c r="AO26" s="8"/>
      <c r="AP26" s="8"/>
      <c r="AQ26" s="5" t="s">
        <v>383</v>
      </c>
      <c r="AR26" s="5" t="s">
        <v>384</v>
      </c>
      <c r="AS26" s="5" t="s">
        <v>385</v>
      </c>
      <c r="AT26" s="5" t="s">
        <v>386</v>
      </c>
      <c r="AU26" s="9"/>
      <c r="AV26" s="8"/>
      <c r="AW26" s="8"/>
      <c r="AX26" s="8"/>
      <c r="AY26" s="5" t="s">
        <v>387</v>
      </c>
      <c r="AZ26" s="8"/>
      <c r="BA26" s="5">
        <v>62341.0</v>
      </c>
      <c r="BB26" s="5" t="s">
        <v>97</v>
      </c>
      <c r="BC26" s="5" t="s">
        <v>97</v>
      </c>
      <c r="BD26" s="5" t="s">
        <v>118</v>
      </c>
      <c r="BE26" s="5" t="s">
        <v>118</v>
      </c>
      <c r="BF26" s="5" t="s">
        <v>97</v>
      </c>
      <c r="BG26" s="5" t="s">
        <v>97</v>
      </c>
      <c r="BH26" s="5" t="s">
        <v>118</v>
      </c>
      <c r="BI26" s="9"/>
      <c r="BJ26" s="5" t="s">
        <v>98</v>
      </c>
      <c r="BK26" s="8"/>
      <c r="BL26" s="6">
        <v>44965.0</v>
      </c>
      <c r="BM26" s="6">
        <v>45069.0</v>
      </c>
      <c r="BN26" s="5" t="s">
        <v>120</v>
      </c>
      <c r="BO26" s="7"/>
      <c r="BP26" s="7"/>
      <c r="BQ26" s="9"/>
      <c r="BR26" s="7"/>
      <c r="BS26" s="7"/>
      <c r="BT26" s="9"/>
      <c r="BU26" s="5" t="s">
        <v>99</v>
      </c>
      <c r="BV26" s="5" t="s">
        <v>121</v>
      </c>
      <c r="BW26" s="23">
        <v>35.0</v>
      </c>
      <c r="BX26" s="5" t="s">
        <v>101</v>
      </c>
      <c r="BY26" s="6">
        <v>44960.0</v>
      </c>
      <c r="BZ26" s="5" t="s">
        <v>102</v>
      </c>
      <c r="CA26" s="11" t="s">
        <v>103</v>
      </c>
    </row>
    <row r="27">
      <c r="A27" s="12">
        <v>100.0</v>
      </c>
      <c r="B27" s="13" t="s">
        <v>388</v>
      </c>
      <c r="C27" s="13" t="s">
        <v>389</v>
      </c>
      <c r="D27" s="13">
        <v>973078.0</v>
      </c>
      <c r="E27" s="13" t="s">
        <v>193</v>
      </c>
      <c r="F27" s="14">
        <v>43514.0</v>
      </c>
      <c r="G27" s="15"/>
      <c r="H27" s="13" t="s">
        <v>82</v>
      </c>
      <c r="I27" s="13" t="s">
        <v>179</v>
      </c>
      <c r="J27" s="13" t="s">
        <v>155</v>
      </c>
      <c r="K27" s="13">
        <v>2.0</v>
      </c>
      <c r="L27" s="13" t="s">
        <v>390</v>
      </c>
      <c r="M27" s="13" t="s">
        <v>125</v>
      </c>
      <c r="N27" s="13" t="s">
        <v>126</v>
      </c>
      <c r="O27" s="13">
        <v>2.508092089E9</v>
      </c>
      <c r="P27" s="16"/>
      <c r="Q27" s="16"/>
      <c r="R27" s="13" t="s">
        <v>391</v>
      </c>
      <c r="S27" s="13" t="s">
        <v>392</v>
      </c>
      <c r="T27" s="13" t="s">
        <v>393</v>
      </c>
      <c r="U27" s="13">
        <v>1.00973078E8</v>
      </c>
      <c r="V27" s="13" t="s">
        <v>394</v>
      </c>
      <c r="W27" s="16"/>
      <c r="X27" s="13">
        <v>1.6041295067E10</v>
      </c>
      <c r="Y27" s="13">
        <v>1030138.0</v>
      </c>
      <c r="Z27" s="17"/>
      <c r="AA27" s="17"/>
      <c r="AB27" s="16"/>
      <c r="AC27" s="13" t="s">
        <v>395</v>
      </c>
      <c r="AD27" s="13" t="s">
        <v>298</v>
      </c>
      <c r="AE27" s="17"/>
      <c r="AF27" s="15"/>
      <c r="AG27" s="17"/>
      <c r="AH27" s="16"/>
      <c r="AI27" s="16"/>
      <c r="AJ27" s="13" t="s">
        <v>90</v>
      </c>
      <c r="AK27" s="13" t="s">
        <v>91</v>
      </c>
      <c r="AL27" s="19">
        <v>46115.0</v>
      </c>
      <c r="AM27" s="20">
        <v>0.6666666666666666</v>
      </c>
      <c r="AN27" s="20">
        <v>0.0</v>
      </c>
      <c r="AO27" s="16"/>
      <c r="AP27" s="16"/>
      <c r="AQ27" s="13" t="s">
        <v>396</v>
      </c>
      <c r="AR27" s="13" t="s">
        <v>397</v>
      </c>
      <c r="AS27" s="17"/>
      <c r="AT27" s="17"/>
      <c r="AU27" s="17"/>
      <c r="AV27" s="17"/>
      <c r="AW27" s="17"/>
      <c r="AX27" s="17"/>
      <c r="AY27" s="13" t="s">
        <v>398</v>
      </c>
      <c r="AZ27" s="16"/>
      <c r="BA27" s="17"/>
      <c r="BB27" s="13" t="s">
        <v>97</v>
      </c>
      <c r="BC27" s="13" t="s">
        <v>118</v>
      </c>
      <c r="BD27" s="13" t="s">
        <v>118</v>
      </c>
      <c r="BE27" s="13" t="s">
        <v>118</v>
      </c>
      <c r="BF27" s="13" t="s">
        <v>97</v>
      </c>
      <c r="BG27" s="13" t="s">
        <v>97</v>
      </c>
      <c r="BH27" s="13" t="s">
        <v>97</v>
      </c>
      <c r="BI27" s="17"/>
      <c r="BJ27" s="13" t="s">
        <v>176</v>
      </c>
      <c r="BK27" s="16"/>
      <c r="BL27" s="14">
        <v>44717.0</v>
      </c>
      <c r="BM27" s="14">
        <v>44717.0</v>
      </c>
      <c r="BN27" s="13" t="s">
        <v>120</v>
      </c>
      <c r="BO27" s="15"/>
      <c r="BP27" s="15"/>
      <c r="BQ27" s="17"/>
      <c r="BR27" s="15"/>
      <c r="BS27" s="15"/>
      <c r="BT27" s="17"/>
      <c r="BU27" s="13" t="s">
        <v>99</v>
      </c>
      <c r="BV27" s="13" t="s">
        <v>308</v>
      </c>
      <c r="BW27" s="21">
        <v>34.0</v>
      </c>
      <c r="BX27" s="13" t="s">
        <v>101</v>
      </c>
      <c r="BY27" s="14">
        <v>44717.0</v>
      </c>
      <c r="BZ27" s="13" t="s">
        <v>102</v>
      </c>
      <c r="CA27" s="22" t="s">
        <v>103</v>
      </c>
    </row>
    <row r="28">
      <c r="A28" s="4">
        <v>101.0</v>
      </c>
      <c r="B28" s="5" t="s">
        <v>399</v>
      </c>
      <c r="C28" s="5" t="s">
        <v>400</v>
      </c>
      <c r="D28" s="5">
        <v>955704.0</v>
      </c>
      <c r="E28" s="5" t="s">
        <v>81</v>
      </c>
      <c r="F28" s="6">
        <v>43045.0</v>
      </c>
      <c r="G28" s="7"/>
      <c r="H28" s="5" t="s">
        <v>82</v>
      </c>
      <c r="I28" s="5" t="s">
        <v>83</v>
      </c>
      <c r="J28" s="5" t="s">
        <v>84</v>
      </c>
      <c r="K28" s="5">
        <v>4.0</v>
      </c>
      <c r="L28" s="5" t="s">
        <v>401</v>
      </c>
      <c r="M28" s="5" t="s">
        <v>181</v>
      </c>
      <c r="N28" s="5" t="s">
        <v>87</v>
      </c>
      <c r="O28" s="5" t="s">
        <v>402</v>
      </c>
      <c r="P28" s="8"/>
      <c r="Q28" s="8"/>
      <c r="R28" s="5" t="s">
        <v>403</v>
      </c>
      <c r="S28" s="5" t="s">
        <v>404</v>
      </c>
      <c r="T28" s="5" t="s">
        <v>405</v>
      </c>
      <c r="U28" s="5">
        <v>1.00955704E8</v>
      </c>
      <c r="V28" s="5" t="s">
        <v>400</v>
      </c>
      <c r="W28" s="8"/>
      <c r="X28" s="5">
        <v>1.6131293078E10</v>
      </c>
      <c r="Y28" s="5">
        <v>1062301.0</v>
      </c>
      <c r="Z28" s="9"/>
      <c r="AA28" s="9"/>
      <c r="AB28" s="8"/>
      <c r="AC28" s="9"/>
      <c r="AD28" s="5" t="s">
        <v>298</v>
      </c>
      <c r="AE28" s="9"/>
      <c r="AF28" s="6">
        <v>43306.0</v>
      </c>
      <c r="AG28" s="5">
        <v>26262.0</v>
      </c>
      <c r="AH28" s="7"/>
      <c r="AI28" s="9"/>
      <c r="AJ28" s="5" t="s">
        <v>406</v>
      </c>
      <c r="AK28" s="5" t="s">
        <v>91</v>
      </c>
      <c r="AL28" s="5" t="s">
        <v>407</v>
      </c>
      <c r="AM28" s="10">
        <v>0.6875</v>
      </c>
      <c r="AN28" s="10">
        <v>0.020833333333333332</v>
      </c>
      <c r="AO28" s="8"/>
      <c r="AP28" s="8"/>
      <c r="AQ28" s="5" t="s">
        <v>408</v>
      </c>
      <c r="AR28" s="5" t="s">
        <v>409</v>
      </c>
      <c r="AS28" s="9"/>
      <c r="AT28" s="9"/>
      <c r="AU28" s="8"/>
      <c r="AV28" s="9"/>
      <c r="AW28" s="9"/>
      <c r="AX28" s="9"/>
      <c r="AY28" s="5" t="s">
        <v>410</v>
      </c>
      <c r="AZ28" s="8"/>
      <c r="BA28" s="9"/>
      <c r="BB28" s="5" t="s">
        <v>118</v>
      </c>
      <c r="BC28" s="5" t="s">
        <v>97</v>
      </c>
      <c r="BD28" s="5" t="s">
        <v>118</v>
      </c>
      <c r="BE28" s="5" t="s">
        <v>118</v>
      </c>
      <c r="BF28" s="5" t="s">
        <v>118</v>
      </c>
      <c r="BG28" s="5" t="s">
        <v>118</v>
      </c>
      <c r="BH28" s="5" t="s">
        <v>97</v>
      </c>
      <c r="BI28" s="9"/>
      <c r="BJ28" s="5" t="s">
        <v>176</v>
      </c>
      <c r="BK28" s="8"/>
      <c r="BL28" s="6">
        <v>43565.0</v>
      </c>
      <c r="BM28" s="6">
        <v>43567.0</v>
      </c>
      <c r="BN28" s="5" t="s">
        <v>120</v>
      </c>
      <c r="BO28" s="6">
        <v>43809.0</v>
      </c>
      <c r="BP28" s="6">
        <v>43811.0</v>
      </c>
      <c r="BQ28" s="5" t="s">
        <v>120</v>
      </c>
      <c r="BR28" s="6">
        <v>43944.0</v>
      </c>
      <c r="BS28" s="6">
        <v>43946.0</v>
      </c>
      <c r="BT28" s="5" t="s">
        <v>120</v>
      </c>
      <c r="BU28" s="5" t="s">
        <v>99</v>
      </c>
      <c r="BV28" s="5" t="s">
        <v>121</v>
      </c>
      <c r="BW28" s="23">
        <v>21.0</v>
      </c>
      <c r="BX28" s="5" t="s">
        <v>411</v>
      </c>
      <c r="BY28" s="6">
        <v>43424.0</v>
      </c>
      <c r="BZ28" s="5" t="s">
        <v>102</v>
      </c>
      <c r="CA28" s="11" t="s">
        <v>103</v>
      </c>
    </row>
    <row r="29">
      <c r="A29" s="12">
        <v>106.0</v>
      </c>
      <c r="B29" s="13" t="s">
        <v>412</v>
      </c>
      <c r="C29" s="13" t="s">
        <v>413</v>
      </c>
      <c r="D29" s="13">
        <v>966528.0</v>
      </c>
      <c r="E29" s="13" t="s">
        <v>81</v>
      </c>
      <c r="F29" s="14">
        <v>44312.0</v>
      </c>
      <c r="G29" s="15"/>
      <c r="H29" s="13" t="s">
        <v>106</v>
      </c>
      <c r="I29" s="13" t="s">
        <v>107</v>
      </c>
      <c r="J29" s="13" t="s">
        <v>84</v>
      </c>
      <c r="K29" s="13">
        <v>4.0</v>
      </c>
      <c r="L29" s="13" t="s">
        <v>414</v>
      </c>
      <c r="M29" s="13" t="s">
        <v>167</v>
      </c>
      <c r="N29" s="13" t="s">
        <v>87</v>
      </c>
      <c r="O29" s="13" t="s">
        <v>415</v>
      </c>
      <c r="P29" s="16"/>
      <c r="Q29" s="16"/>
      <c r="R29" s="13" t="s">
        <v>416</v>
      </c>
      <c r="S29" s="13" t="s">
        <v>417</v>
      </c>
      <c r="T29" s="13" t="s">
        <v>418</v>
      </c>
      <c r="U29" s="13">
        <v>1.00966528E8</v>
      </c>
      <c r="V29" s="13" t="s">
        <v>419</v>
      </c>
      <c r="W29" s="16"/>
      <c r="X29" s="13">
        <v>1.5141294405E10</v>
      </c>
      <c r="Y29" s="13">
        <v>1066475.0</v>
      </c>
      <c r="Z29" s="17"/>
      <c r="AA29" s="17"/>
      <c r="AB29" s="16"/>
      <c r="AC29" s="17"/>
      <c r="AD29" s="13" t="s">
        <v>420</v>
      </c>
      <c r="AE29" s="18"/>
      <c r="AF29" s="14">
        <v>44693.0</v>
      </c>
      <c r="AG29" s="13">
        <v>34392.0</v>
      </c>
      <c r="AH29" s="15"/>
      <c r="AI29" s="17"/>
      <c r="AJ29" s="13" t="s">
        <v>90</v>
      </c>
      <c r="AK29" s="13" t="s">
        <v>91</v>
      </c>
      <c r="AL29" s="19">
        <v>46115.0</v>
      </c>
      <c r="AM29" s="20">
        <v>0.3125</v>
      </c>
      <c r="AN29" s="20">
        <v>0.6666666666666666</v>
      </c>
      <c r="AO29" s="16"/>
      <c r="AP29" s="16"/>
      <c r="AQ29" s="13" t="s">
        <v>421</v>
      </c>
      <c r="AR29" s="13" t="s">
        <v>422</v>
      </c>
      <c r="AS29" s="13" t="s">
        <v>423</v>
      </c>
      <c r="AT29" s="13" t="s">
        <v>415</v>
      </c>
      <c r="AU29" s="13" t="s">
        <v>424</v>
      </c>
      <c r="AV29" s="17"/>
      <c r="AW29" s="17"/>
      <c r="AX29" s="17"/>
      <c r="AY29" s="13" t="s">
        <v>425</v>
      </c>
      <c r="AZ29" s="16"/>
      <c r="BA29" s="13">
        <v>66104.0</v>
      </c>
      <c r="BB29" s="13" t="s">
        <v>97</v>
      </c>
      <c r="BC29" s="13" t="s">
        <v>118</v>
      </c>
      <c r="BD29" s="13" t="s">
        <v>118</v>
      </c>
      <c r="BE29" s="13" t="s">
        <v>97</v>
      </c>
      <c r="BF29" s="13" t="s">
        <v>97</v>
      </c>
      <c r="BG29" s="13" t="s">
        <v>97</v>
      </c>
      <c r="BH29" s="13" t="s">
        <v>118</v>
      </c>
      <c r="BI29" s="16"/>
      <c r="BJ29" s="13" t="s">
        <v>98</v>
      </c>
      <c r="BK29" s="16"/>
      <c r="BL29" s="14">
        <v>44650.0</v>
      </c>
      <c r="BM29" s="14">
        <v>44791.0</v>
      </c>
      <c r="BN29" s="13" t="s">
        <v>120</v>
      </c>
      <c r="BO29" s="14">
        <v>44945.0</v>
      </c>
      <c r="BP29" s="14">
        <v>45063.0</v>
      </c>
      <c r="BQ29" s="13" t="s">
        <v>120</v>
      </c>
      <c r="BR29" s="14">
        <v>44953.0</v>
      </c>
      <c r="BS29" s="14">
        <v>45077.0</v>
      </c>
      <c r="BT29" s="13" t="s">
        <v>120</v>
      </c>
      <c r="BU29" s="13" t="s">
        <v>99</v>
      </c>
      <c r="BV29" s="13" t="s">
        <v>121</v>
      </c>
      <c r="BW29" s="21">
        <v>34.0</v>
      </c>
      <c r="BX29" s="13" t="s">
        <v>101</v>
      </c>
      <c r="BY29" s="14">
        <v>44629.0</v>
      </c>
      <c r="BZ29" s="13" t="s">
        <v>102</v>
      </c>
      <c r="CA29" s="22" t="s">
        <v>103</v>
      </c>
    </row>
    <row r="30">
      <c r="A30" s="4">
        <v>108.0</v>
      </c>
      <c r="B30" s="5" t="s">
        <v>426</v>
      </c>
      <c r="C30" s="5" t="s">
        <v>427</v>
      </c>
      <c r="D30" s="5">
        <v>956365.0</v>
      </c>
      <c r="E30" s="5" t="s">
        <v>81</v>
      </c>
      <c r="F30" s="6">
        <v>37788.0</v>
      </c>
      <c r="G30" s="7"/>
      <c r="H30" s="5" t="s">
        <v>106</v>
      </c>
      <c r="I30" s="5" t="s">
        <v>107</v>
      </c>
      <c r="J30" s="5" t="s">
        <v>84</v>
      </c>
      <c r="K30" s="5">
        <v>4.0</v>
      </c>
      <c r="L30" s="5" t="s">
        <v>428</v>
      </c>
      <c r="M30" s="5" t="s">
        <v>250</v>
      </c>
      <c r="N30" s="5" t="s">
        <v>87</v>
      </c>
      <c r="O30" s="5">
        <v>5.147731796E9</v>
      </c>
      <c r="P30" s="8"/>
      <c r="Q30" s="8"/>
      <c r="R30" s="5" t="s">
        <v>429</v>
      </c>
      <c r="S30" s="5" t="s">
        <v>430</v>
      </c>
      <c r="T30" s="5" t="s">
        <v>431</v>
      </c>
      <c r="U30" s="5">
        <v>1.00956365E8</v>
      </c>
      <c r="V30" s="5" t="s">
        <v>432</v>
      </c>
      <c r="W30" s="8"/>
      <c r="X30" s="5">
        <v>1.514129409E10</v>
      </c>
      <c r="Y30" s="5">
        <v>1066097.0</v>
      </c>
      <c r="Z30" s="9"/>
      <c r="AA30" s="9"/>
      <c r="AB30" s="8"/>
      <c r="AC30" s="8"/>
      <c r="AD30" s="5" t="s">
        <v>433</v>
      </c>
      <c r="AE30" s="9"/>
      <c r="AF30" s="6">
        <v>39956.0</v>
      </c>
      <c r="AG30" s="5">
        <v>4263.0</v>
      </c>
      <c r="AH30" s="8"/>
      <c r="AI30" s="8"/>
      <c r="AJ30" s="5" t="s">
        <v>90</v>
      </c>
      <c r="AK30" s="5" t="s">
        <v>91</v>
      </c>
      <c r="AL30" s="24">
        <v>46144.0</v>
      </c>
      <c r="AM30" s="10">
        <v>0.25</v>
      </c>
      <c r="AN30" s="10">
        <v>0.5416666666666666</v>
      </c>
      <c r="AO30" s="8"/>
      <c r="AP30" s="8"/>
      <c r="AQ30" s="5" t="s">
        <v>434</v>
      </c>
      <c r="AR30" s="5" t="s">
        <v>435</v>
      </c>
      <c r="AS30" s="5" t="s">
        <v>436</v>
      </c>
      <c r="AT30" s="5" t="s">
        <v>437</v>
      </c>
      <c r="AU30" s="8"/>
      <c r="AV30" s="8"/>
      <c r="AW30" s="8"/>
      <c r="AX30" s="8"/>
      <c r="AY30" s="5" t="s">
        <v>438</v>
      </c>
      <c r="AZ30" s="8"/>
      <c r="BA30" s="5">
        <v>66075.0</v>
      </c>
      <c r="BB30" s="5" t="s">
        <v>118</v>
      </c>
      <c r="BC30" s="5" t="s">
        <v>97</v>
      </c>
      <c r="BD30" s="5" t="s">
        <v>97</v>
      </c>
      <c r="BE30" s="5" t="s">
        <v>97</v>
      </c>
      <c r="BF30" s="5" t="s">
        <v>97</v>
      </c>
      <c r="BG30" s="5" t="s">
        <v>97</v>
      </c>
      <c r="BH30" s="5" t="s">
        <v>118</v>
      </c>
      <c r="BI30" s="5" t="s">
        <v>439</v>
      </c>
      <c r="BJ30" s="5" t="s">
        <v>98</v>
      </c>
      <c r="BK30" s="8"/>
      <c r="BL30" s="7"/>
      <c r="BM30" s="7"/>
      <c r="BN30" s="5" t="s">
        <v>120</v>
      </c>
      <c r="BO30" s="7"/>
      <c r="BP30" s="7"/>
      <c r="BQ30" s="5" t="s">
        <v>120</v>
      </c>
      <c r="BR30" s="7"/>
      <c r="BS30" s="7"/>
      <c r="BT30" s="5" t="s">
        <v>120</v>
      </c>
      <c r="BU30" s="5" t="s">
        <v>99</v>
      </c>
      <c r="BV30" s="5" t="s">
        <v>100</v>
      </c>
      <c r="BW30" s="23">
        <v>35.0</v>
      </c>
      <c r="BX30" s="5" t="s">
        <v>101</v>
      </c>
      <c r="BY30" s="7"/>
      <c r="BZ30" s="5" t="s">
        <v>102</v>
      </c>
      <c r="CA30" s="11" t="s">
        <v>103</v>
      </c>
    </row>
    <row r="31">
      <c r="A31" s="12">
        <v>611.0</v>
      </c>
      <c r="B31" s="13" t="s">
        <v>440</v>
      </c>
      <c r="C31" s="13" t="s">
        <v>441</v>
      </c>
      <c r="D31" s="13">
        <v>773558.0</v>
      </c>
      <c r="E31" s="13" t="s">
        <v>81</v>
      </c>
      <c r="F31" s="14">
        <v>45957.0</v>
      </c>
      <c r="G31" s="15"/>
      <c r="H31" s="13" t="s">
        <v>82</v>
      </c>
      <c r="I31" s="13" t="s">
        <v>107</v>
      </c>
      <c r="J31" s="13" t="s">
        <v>84</v>
      </c>
      <c r="K31" s="13">
        <v>2.0</v>
      </c>
      <c r="L31" s="13" t="s">
        <v>442</v>
      </c>
      <c r="M31" s="13" t="s">
        <v>142</v>
      </c>
      <c r="N31" s="13" t="s">
        <v>126</v>
      </c>
      <c r="O31" s="13">
        <v>5.149801223E9</v>
      </c>
      <c r="P31" s="16"/>
      <c r="Q31" s="16"/>
      <c r="R31" s="17"/>
      <c r="S31" s="13" t="s">
        <v>443</v>
      </c>
      <c r="T31" s="13" t="s">
        <v>444</v>
      </c>
      <c r="U31" s="13">
        <v>1.00773558E8</v>
      </c>
      <c r="V31" s="17"/>
      <c r="W31" s="16"/>
      <c r="X31" s="13">
        <v>1.5141294023E10</v>
      </c>
      <c r="Y31" s="13">
        <v>1060060.0</v>
      </c>
      <c r="Z31" s="17"/>
      <c r="AA31" s="17"/>
      <c r="AB31" s="16"/>
      <c r="AC31" s="17"/>
      <c r="AD31" s="17"/>
      <c r="AE31" s="17"/>
      <c r="AF31" s="15"/>
      <c r="AG31" s="17"/>
      <c r="AH31" s="16"/>
      <c r="AI31" s="16"/>
      <c r="AJ31" s="13" t="s">
        <v>90</v>
      </c>
      <c r="AK31" s="13" t="s">
        <v>91</v>
      </c>
      <c r="AL31" s="19">
        <v>46115.0</v>
      </c>
      <c r="AM31" s="20">
        <v>0.625</v>
      </c>
      <c r="AN31" s="20">
        <v>0.0</v>
      </c>
      <c r="AO31" s="16"/>
      <c r="AP31" s="16"/>
      <c r="AQ31" s="13" t="s">
        <v>445</v>
      </c>
      <c r="AR31" s="13" t="s">
        <v>446</v>
      </c>
      <c r="AS31" s="17"/>
      <c r="AT31" s="17"/>
      <c r="AU31" s="17"/>
      <c r="AV31" s="17"/>
      <c r="AW31" s="17"/>
      <c r="AX31" s="17"/>
      <c r="AY31" s="13" t="s">
        <v>447</v>
      </c>
      <c r="AZ31" s="16"/>
      <c r="BA31" s="13" t="s">
        <v>96</v>
      </c>
      <c r="BB31" s="13" t="s">
        <v>118</v>
      </c>
      <c r="BC31" s="13" t="s">
        <v>118</v>
      </c>
      <c r="BD31" s="13" t="s">
        <v>97</v>
      </c>
      <c r="BE31" s="13" t="s">
        <v>118</v>
      </c>
      <c r="BF31" s="13" t="s">
        <v>97</v>
      </c>
      <c r="BG31" s="13" t="s">
        <v>97</v>
      </c>
      <c r="BH31" s="13" t="s">
        <v>97</v>
      </c>
      <c r="BI31" s="17"/>
      <c r="BJ31" s="13" t="s">
        <v>176</v>
      </c>
      <c r="BK31" s="16"/>
      <c r="BL31" s="14">
        <v>46049.0</v>
      </c>
      <c r="BM31" s="14">
        <v>46100.0</v>
      </c>
      <c r="BN31" s="17"/>
      <c r="BO31" s="15"/>
      <c r="BP31" s="15"/>
      <c r="BQ31" s="17"/>
      <c r="BR31" s="15"/>
      <c r="BS31" s="15"/>
      <c r="BT31" s="17"/>
      <c r="BU31" s="13" t="s">
        <v>99</v>
      </c>
      <c r="BV31" s="13" t="s">
        <v>100</v>
      </c>
      <c r="BW31" s="17"/>
      <c r="BX31" s="13" t="s">
        <v>101</v>
      </c>
      <c r="BY31" s="14">
        <v>46031.0</v>
      </c>
      <c r="BZ31" s="13" t="s">
        <v>102</v>
      </c>
      <c r="CA31" s="22" t="s">
        <v>103</v>
      </c>
    </row>
    <row r="32">
      <c r="A32" s="4">
        <v>111.0</v>
      </c>
      <c r="B32" s="5" t="s">
        <v>448</v>
      </c>
      <c r="C32" s="5" t="s">
        <v>449</v>
      </c>
      <c r="D32" s="5">
        <v>956374.0</v>
      </c>
      <c r="E32" s="5" t="s">
        <v>193</v>
      </c>
      <c r="F32" s="6">
        <v>41239.0</v>
      </c>
      <c r="G32" s="7"/>
      <c r="H32" s="5" t="s">
        <v>106</v>
      </c>
      <c r="I32" s="5" t="s">
        <v>107</v>
      </c>
      <c r="J32" s="5" t="s">
        <v>84</v>
      </c>
      <c r="K32" s="5">
        <v>4.0</v>
      </c>
      <c r="L32" s="5" t="s">
        <v>450</v>
      </c>
      <c r="M32" s="5" t="s">
        <v>86</v>
      </c>
      <c r="N32" s="5" t="s">
        <v>87</v>
      </c>
      <c r="O32" s="5" t="s">
        <v>451</v>
      </c>
      <c r="P32" s="8"/>
      <c r="Q32" s="8"/>
      <c r="R32" s="5" t="s">
        <v>452</v>
      </c>
      <c r="S32" s="5" t="s">
        <v>453</v>
      </c>
      <c r="T32" s="5" t="s">
        <v>454</v>
      </c>
      <c r="U32" s="5">
        <v>1.00956374E8</v>
      </c>
      <c r="V32" s="5" t="s">
        <v>455</v>
      </c>
      <c r="W32" s="8"/>
      <c r="X32" s="5">
        <v>1.5141294369E10</v>
      </c>
      <c r="Y32" s="5">
        <v>1066366.0</v>
      </c>
      <c r="Z32" s="9"/>
      <c r="AA32" s="9"/>
      <c r="AB32" s="8"/>
      <c r="AC32" s="9"/>
      <c r="AD32" s="5" t="s">
        <v>456</v>
      </c>
      <c r="AE32" s="9"/>
      <c r="AF32" s="6">
        <v>41599.0</v>
      </c>
      <c r="AG32" s="5">
        <v>14772.0</v>
      </c>
      <c r="AH32" s="7"/>
      <c r="AI32" s="9"/>
      <c r="AJ32" s="5" t="s">
        <v>90</v>
      </c>
      <c r="AK32" s="5" t="s">
        <v>91</v>
      </c>
      <c r="AL32" s="24">
        <v>46115.0</v>
      </c>
      <c r="AM32" s="10">
        <v>0.3333333333333333</v>
      </c>
      <c r="AN32" s="10">
        <v>0.6875</v>
      </c>
      <c r="AO32" s="8"/>
      <c r="AP32" s="8"/>
      <c r="AQ32" s="5" t="s">
        <v>457</v>
      </c>
      <c r="AR32" s="5" t="s">
        <v>458</v>
      </c>
      <c r="AS32" s="9"/>
      <c r="AT32" s="9"/>
      <c r="AU32" s="8"/>
      <c r="AV32" s="8"/>
      <c r="AW32" s="8"/>
      <c r="AX32" s="8"/>
      <c r="AY32" s="5" t="s">
        <v>459</v>
      </c>
      <c r="AZ32" s="8"/>
      <c r="BA32" s="5">
        <v>66099.0</v>
      </c>
      <c r="BB32" s="5" t="s">
        <v>118</v>
      </c>
      <c r="BC32" s="5" t="s">
        <v>118</v>
      </c>
      <c r="BD32" s="5" t="s">
        <v>97</v>
      </c>
      <c r="BE32" s="5" t="s">
        <v>97</v>
      </c>
      <c r="BF32" s="5" t="s">
        <v>97</v>
      </c>
      <c r="BG32" s="5" t="s">
        <v>118</v>
      </c>
      <c r="BH32" s="5" t="s">
        <v>97</v>
      </c>
      <c r="BI32" s="8"/>
      <c r="BJ32" s="5" t="s">
        <v>98</v>
      </c>
      <c r="BK32" s="8"/>
      <c r="BL32" s="7"/>
      <c r="BM32" s="7"/>
      <c r="BN32" s="5" t="s">
        <v>120</v>
      </c>
      <c r="BO32" s="6">
        <v>44945.0</v>
      </c>
      <c r="BP32" s="6">
        <v>45033.0</v>
      </c>
      <c r="BQ32" s="5" t="s">
        <v>120</v>
      </c>
      <c r="BR32" s="6">
        <v>45237.0</v>
      </c>
      <c r="BS32" s="7"/>
      <c r="BT32" s="9"/>
      <c r="BU32" s="5" t="s">
        <v>99</v>
      </c>
      <c r="BV32" s="5" t="s">
        <v>121</v>
      </c>
      <c r="BW32" s="23">
        <v>34.0</v>
      </c>
      <c r="BX32" s="5" t="s">
        <v>101</v>
      </c>
      <c r="BY32" s="7"/>
      <c r="BZ32" s="5" t="s">
        <v>102</v>
      </c>
      <c r="CA32" s="11" t="s">
        <v>103</v>
      </c>
    </row>
    <row r="33">
      <c r="A33" s="12">
        <v>113.0</v>
      </c>
      <c r="B33" s="13" t="s">
        <v>460</v>
      </c>
      <c r="C33" s="13" t="s">
        <v>461</v>
      </c>
      <c r="D33" s="13">
        <v>960871.0</v>
      </c>
      <c r="E33" s="13" t="s">
        <v>262</v>
      </c>
      <c r="F33" s="14">
        <v>44165.0</v>
      </c>
      <c r="G33" s="15"/>
      <c r="H33" s="13" t="s">
        <v>106</v>
      </c>
      <c r="I33" s="13" t="s">
        <v>83</v>
      </c>
      <c r="J33" s="13" t="s">
        <v>84</v>
      </c>
      <c r="K33" s="13">
        <v>4.0</v>
      </c>
      <c r="L33" s="13" t="s">
        <v>462</v>
      </c>
      <c r="M33" s="13" t="s">
        <v>181</v>
      </c>
      <c r="N33" s="13" t="s">
        <v>87</v>
      </c>
      <c r="O33" s="13" t="s">
        <v>463</v>
      </c>
      <c r="P33" s="16"/>
      <c r="Q33" s="16"/>
      <c r="R33" s="13" t="s">
        <v>464</v>
      </c>
      <c r="S33" s="13" t="s">
        <v>465</v>
      </c>
      <c r="T33" s="13" t="s">
        <v>466</v>
      </c>
      <c r="U33" s="13">
        <v>1.00960871E8</v>
      </c>
      <c r="V33" s="13" t="s">
        <v>467</v>
      </c>
      <c r="W33" s="16"/>
      <c r="X33" s="13">
        <v>1.6131293143E10</v>
      </c>
      <c r="Y33" s="13">
        <v>1066728.0</v>
      </c>
      <c r="Z33" s="17"/>
      <c r="AA33" s="17"/>
      <c r="AB33" s="16"/>
      <c r="AC33" s="16"/>
      <c r="AD33" s="13" t="s">
        <v>468</v>
      </c>
      <c r="AE33" s="18"/>
      <c r="AF33" s="14">
        <v>44546.0</v>
      </c>
      <c r="AG33" s="17"/>
      <c r="AH33" s="16"/>
      <c r="AI33" s="16"/>
      <c r="AJ33" s="13" t="s">
        <v>90</v>
      </c>
      <c r="AK33" s="13" t="s">
        <v>91</v>
      </c>
      <c r="AL33" s="19">
        <v>46115.0</v>
      </c>
      <c r="AM33" s="20">
        <v>0.6666666666666666</v>
      </c>
      <c r="AN33" s="20">
        <v>0.020833333333333332</v>
      </c>
      <c r="AO33" s="16"/>
      <c r="AP33" s="16"/>
      <c r="AQ33" s="13" t="s">
        <v>469</v>
      </c>
      <c r="AR33" s="13" t="s">
        <v>470</v>
      </c>
      <c r="AS33" s="17"/>
      <c r="AT33" s="17"/>
      <c r="AU33" s="17"/>
      <c r="AV33" s="17"/>
      <c r="AW33" s="17"/>
      <c r="AX33" s="17"/>
      <c r="AY33" s="13" t="s">
        <v>471</v>
      </c>
      <c r="AZ33" s="16"/>
      <c r="BA33" s="17"/>
      <c r="BB33" s="13" t="s">
        <v>97</v>
      </c>
      <c r="BC33" s="13" t="s">
        <v>97</v>
      </c>
      <c r="BD33" s="13" t="s">
        <v>118</v>
      </c>
      <c r="BE33" s="13" t="s">
        <v>118</v>
      </c>
      <c r="BF33" s="13" t="s">
        <v>97</v>
      </c>
      <c r="BG33" s="13" t="s">
        <v>97</v>
      </c>
      <c r="BH33" s="13" t="s">
        <v>118</v>
      </c>
      <c r="BI33" s="17"/>
      <c r="BJ33" s="13" t="s">
        <v>176</v>
      </c>
      <c r="BK33" s="16"/>
      <c r="BL33" s="14">
        <v>44341.0</v>
      </c>
      <c r="BM33" s="14">
        <v>44384.0</v>
      </c>
      <c r="BN33" s="13" t="s">
        <v>120</v>
      </c>
      <c r="BO33" s="14">
        <v>45440.0</v>
      </c>
      <c r="BP33" s="14">
        <v>45556.0</v>
      </c>
      <c r="BQ33" s="13" t="s">
        <v>120</v>
      </c>
      <c r="BR33" s="14">
        <v>44982.0</v>
      </c>
      <c r="BS33" s="14">
        <v>45225.0</v>
      </c>
      <c r="BT33" s="13" t="s">
        <v>120</v>
      </c>
      <c r="BU33" s="13" t="s">
        <v>99</v>
      </c>
      <c r="BV33" s="13" t="s">
        <v>121</v>
      </c>
      <c r="BW33" s="21">
        <v>35.0</v>
      </c>
      <c r="BX33" s="13" t="s">
        <v>101</v>
      </c>
      <c r="BY33" s="14">
        <v>44314.0</v>
      </c>
      <c r="BZ33" s="13" t="s">
        <v>102</v>
      </c>
      <c r="CA33" s="22" t="s">
        <v>103</v>
      </c>
    </row>
    <row r="34">
      <c r="A34" s="4">
        <v>114.0</v>
      </c>
      <c r="B34" s="5" t="s">
        <v>472</v>
      </c>
      <c r="C34" s="5" t="s">
        <v>473</v>
      </c>
      <c r="D34" s="5">
        <v>956225.0</v>
      </c>
      <c r="E34" s="5" t="s">
        <v>262</v>
      </c>
      <c r="F34" s="6">
        <v>43114.0</v>
      </c>
      <c r="G34" s="6">
        <v>42989.0</v>
      </c>
      <c r="H34" s="5" t="s">
        <v>106</v>
      </c>
      <c r="I34" s="5" t="s">
        <v>107</v>
      </c>
      <c r="J34" s="5" t="s">
        <v>194</v>
      </c>
      <c r="K34" s="5">
        <v>4.0</v>
      </c>
      <c r="L34" s="5" t="s">
        <v>474</v>
      </c>
      <c r="M34" s="5" t="s">
        <v>167</v>
      </c>
      <c r="N34" s="5" t="s">
        <v>87</v>
      </c>
      <c r="O34" s="5" t="s">
        <v>475</v>
      </c>
      <c r="P34" s="8"/>
      <c r="Q34" s="8"/>
      <c r="R34" s="5" t="s">
        <v>476</v>
      </c>
      <c r="S34" s="5" t="s">
        <v>477</v>
      </c>
      <c r="T34" s="5" t="s">
        <v>478</v>
      </c>
      <c r="U34" s="5">
        <v>1.00956225E8</v>
      </c>
      <c r="V34" s="5" t="s">
        <v>479</v>
      </c>
      <c r="W34" s="8"/>
      <c r="X34" s="5">
        <v>1.5141294123E10</v>
      </c>
      <c r="Y34" s="5">
        <v>1066734.0</v>
      </c>
      <c r="Z34" s="5" t="s">
        <v>480</v>
      </c>
      <c r="AA34" s="5" t="s">
        <v>12</v>
      </c>
      <c r="AB34" s="8"/>
      <c r="AC34" s="5" t="s">
        <v>481</v>
      </c>
      <c r="AD34" s="5" t="s">
        <v>482</v>
      </c>
      <c r="AE34" s="18"/>
      <c r="AF34" s="6">
        <v>43173.0</v>
      </c>
      <c r="AG34" s="5">
        <v>25416.0</v>
      </c>
      <c r="AH34" s="8"/>
      <c r="AI34" s="8"/>
      <c r="AJ34" s="5" t="s">
        <v>90</v>
      </c>
      <c r="AK34" s="5" t="s">
        <v>244</v>
      </c>
      <c r="AL34" s="24">
        <v>46115.0</v>
      </c>
      <c r="AM34" s="10">
        <v>0.25</v>
      </c>
      <c r="AN34" s="10">
        <v>0.5416666666666666</v>
      </c>
      <c r="AO34" s="8"/>
      <c r="AP34" s="8"/>
      <c r="AQ34" s="5" t="s">
        <v>483</v>
      </c>
      <c r="AR34" s="5" t="s">
        <v>484</v>
      </c>
      <c r="AS34" s="5" t="s">
        <v>485</v>
      </c>
      <c r="AT34" s="5">
        <v>5.142951957E9</v>
      </c>
      <c r="AU34" s="5" t="s">
        <v>486</v>
      </c>
      <c r="AV34" s="8"/>
      <c r="AW34" s="8"/>
      <c r="AX34" s="8"/>
      <c r="AY34" s="5" t="s">
        <v>487</v>
      </c>
      <c r="AZ34" s="8"/>
      <c r="BA34" s="5">
        <v>66119.0</v>
      </c>
      <c r="BB34" s="5" t="s">
        <v>97</v>
      </c>
      <c r="BC34" s="5" t="s">
        <v>97</v>
      </c>
      <c r="BD34" s="5" t="s">
        <v>97</v>
      </c>
      <c r="BE34" s="5" t="s">
        <v>118</v>
      </c>
      <c r="BF34" s="5" t="s">
        <v>97</v>
      </c>
      <c r="BG34" s="5" t="s">
        <v>118</v>
      </c>
      <c r="BH34" s="5" t="s">
        <v>118</v>
      </c>
      <c r="BI34" s="5" t="s">
        <v>488</v>
      </c>
      <c r="BJ34" s="5" t="s">
        <v>98</v>
      </c>
      <c r="BK34" s="8"/>
      <c r="BL34" s="6">
        <v>45529.0</v>
      </c>
      <c r="BM34" s="6">
        <v>45529.0</v>
      </c>
      <c r="BN34" s="5" t="s">
        <v>120</v>
      </c>
      <c r="BO34" s="6">
        <v>45529.0</v>
      </c>
      <c r="BP34" s="6">
        <v>45529.0</v>
      </c>
      <c r="BQ34" s="5" t="s">
        <v>120</v>
      </c>
      <c r="BR34" s="6">
        <v>45529.0</v>
      </c>
      <c r="BS34" s="6">
        <v>45529.0</v>
      </c>
      <c r="BT34" s="5" t="s">
        <v>120</v>
      </c>
      <c r="BU34" s="5" t="s">
        <v>99</v>
      </c>
      <c r="BV34" s="5" t="s">
        <v>100</v>
      </c>
      <c r="BW34" s="23">
        <v>68.0</v>
      </c>
      <c r="BX34" s="5" t="s">
        <v>101</v>
      </c>
      <c r="BY34" s="6">
        <v>45529.0</v>
      </c>
      <c r="BZ34" s="5" t="s">
        <v>102</v>
      </c>
      <c r="CA34" s="11" t="s">
        <v>103</v>
      </c>
    </row>
    <row r="35">
      <c r="A35" s="12">
        <v>615.0</v>
      </c>
      <c r="B35" s="13" t="s">
        <v>489</v>
      </c>
      <c r="C35" s="13" t="s">
        <v>490</v>
      </c>
      <c r="D35" s="13">
        <v>773665.0</v>
      </c>
      <c r="E35" s="13" t="s">
        <v>81</v>
      </c>
      <c r="F35" s="14">
        <v>45957.0</v>
      </c>
      <c r="G35" s="15"/>
      <c r="H35" s="13" t="s">
        <v>82</v>
      </c>
      <c r="I35" s="13" t="s">
        <v>83</v>
      </c>
      <c r="J35" s="13" t="s">
        <v>84</v>
      </c>
      <c r="K35" s="13">
        <v>2.0</v>
      </c>
      <c r="L35" s="13" t="s">
        <v>491</v>
      </c>
      <c r="M35" s="13" t="s">
        <v>125</v>
      </c>
      <c r="N35" s="13" t="s">
        <v>126</v>
      </c>
      <c r="O35" s="13">
        <v>6.132952245E9</v>
      </c>
      <c r="P35" s="16"/>
      <c r="Q35" s="16"/>
      <c r="R35" s="17"/>
      <c r="S35" s="13" t="s">
        <v>492</v>
      </c>
      <c r="T35" s="13" t="s">
        <v>493</v>
      </c>
      <c r="U35" s="13">
        <v>1.00773665E8</v>
      </c>
      <c r="V35" s="17"/>
      <c r="W35" s="16"/>
      <c r="X35" s="13">
        <v>1.5141294008E10</v>
      </c>
      <c r="Y35" s="13">
        <v>1060063.0</v>
      </c>
      <c r="Z35" s="16"/>
      <c r="AA35" s="16"/>
      <c r="AB35" s="16"/>
      <c r="AC35" s="16"/>
      <c r="AD35" s="17"/>
      <c r="AE35" s="17"/>
      <c r="AF35" s="17"/>
      <c r="AG35" s="17"/>
      <c r="AH35" s="16"/>
      <c r="AI35" s="16"/>
      <c r="AJ35" s="13" t="s">
        <v>90</v>
      </c>
      <c r="AK35" s="13" t="s">
        <v>91</v>
      </c>
      <c r="AL35" s="13" t="s">
        <v>188</v>
      </c>
      <c r="AM35" s="20">
        <v>0.6666666666666666</v>
      </c>
      <c r="AN35" s="20">
        <v>0.10416666666666667</v>
      </c>
      <c r="AO35" s="16"/>
      <c r="AP35" s="16"/>
      <c r="AQ35" s="13" t="s">
        <v>494</v>
      </c>
      <c r="AR35" s="13" t="s">
        <v>495</v>
      </c>
      <c r="AS35" s="17"/>
      <c r="AT35" s="17"/>
      <c r="AU35" s="16"/>
      <c r="AV35" s="16"/>
      <c r="AW35" s="16"/>
      <c r="AX35" s="16"/>
      <c r="AY35" s="13" t="s">
        <v>496</v>
      </c>
      <c r="AZ35" s="16"/>
      <c r="BA35" s="13" t="s">
        <v>96</v>
      </c>
      <c r="BB35" s="13" t="s">
        <v>97</v>
      </c>
      <c r="BC35" s="13" t="s">
        <v>97</v>
      </c>
      <c r="BD35" s="13" t="s">
        <v>97</v>
      </c>
      <c r="BE35" s="13" t="s">
        <v>97</v>
      </c>
      <c r="BF35" s="13" t="s">
        <v>97</v>
      </c>
      <c r="BG35" s="13" t="s">
        <v>97</v>
      </c>
      <c r="BH35" s="13" t="s">
        <v>97</v>
      </c>
      <c r="BI35" s="16"/>
      <c r="BJ35" s="13" t="s">
        <v>176</v>
      </c>
      <c r="BK35" s="16"/>
      <c r="BL35" s="14">
        <v>46056.0</v>
      </c>
      <c r="BM35" s="14">
        <v>46104.0</v>
      </c>
      <c r="BN35" s="13" t="s">
        <v>120</v>
      </c>
      <c r="BO35" s="15"/>
      <c r="BP35" s="15"/>
      <c r="BQ35" s="17"/>
      <c r="BR35" s="15"/>
      <c r="BS35" s="15"/>
      <c r="BT35" s="17"/>
      <c r="BU35" s="13" t="s">
        <v>99</v>
      </c>
      <c r="BV35" s="13" t="s">
        <v>100</v>
      </c>
      <c r="BW35" s="17"/>
      <c r="BX35" s="13" t="s">
        <v>101</v>
      </c>
      <c r="BY35" s="14">
        <v>46038.0</v>
      </c>
      <c r="BZ35" s="13" t="s">
        <v>102</v>
      </c>
      <c r="CA35" s="22" t="s">
        <v>103</v>
      </c>
    </row>
    <row r="36">
      <c r="A36" s="4">
        <v>117.0</v>
      </c>
      <c r="B36" s="5" t="s">
        <v>497</v>
      </c>
      <c r="C36" s="5" t="s">
        <v>498</v>
      </c>
      <c r="D36" s="5">
        <v>956521.0</v>
      </c>
      <c r="E36" s="5" t="s">
        <v>81</v>
      </c>
      <c r="F36" s="6">
        <v>43318.0</v>
      </c>
      <c r="G36" s="8"/>
      <c r="H36" s="5" t="s">
        <v>106</v>
      </c>
      <c r="I36" s="5" t="s">
        <v>107</v>
      </c>
      <c r="J36" s="5" t="s">
        <v>84</v>
      </c>
      <c r="K36" s="5">
        <v>4.0</v>
      </c>
      <c r="L36" s="5" t="s">
        <v>499</v>
      </c>
      <c r="M36" s="5" t="s">
        <v>167</v>
      </c>
      <c r="N36" s="5" t="s">
        <v>87</v>
      </c>
      <c r="O36" s="5" t="s">
        <v>500</v>
      </c>
      <c r="P36" s="9"/>
      <c r="Q36" s="8"/>
      <c r="R36" s="5" t="s">
        <v>501</v>
      </c>
      <c r="S36" s="5" t="s">
        <v>502</v>
      </c>
      <c r="T36" s="5" t="s">
        <v>503</v>
      </c>
      <c r="U36" s="5">
        <v>1.00956521E8</v>
      </c>
      <c r="V36" s="5" t="s">
        <v>504</v>
      </c>
      <c r="W36" s="8"/>
      <c r="X36" s="5">
        <v>1.514129405E10</v>
      </c>
      <c r="Y36" s="5">
        <v>1067025.0</v>
      </c>
      <c r="Z36" s="9"/>
      <c r="AA36" s="9"/>
      <c r="AB36" s="8"/>
      <c r="AC36" s="9"/>
      <c r="AD36" s="5" t="s">
        <v>505</v>
      </c>
      <c r="AE36" s="18"/>
      <c r="AF36" s="6">
        <v>43974.0</v>
      </c>
      <c r="AG36" s="5">
        <v>30414.0</v>
      </c>
      <c r="AH36" s="8"/>
      <c r="AI36" s="8"/>
      <c r="AJ36" s="5" t="s">
        <v>406</v>
      </c>
      <c r="AK36" s="5" t="s">
        <v>91</v>
      </c>
      <c r="AL36" s="5" t="s">
        <v>407</v>
      </c>
      <c r="AM36" s="10">
        <v>0.2916666666666667</v>
      </c>
      <c r="AN36" s="10">
        <v>0.6458333333333334</v>
      </c>
      <c r="AO36" s="8"/>
      <c r="AP36" s="8"/>
      <c r="AQ36" s="5" t="s">
        <v>506</v>
      </c>
      <c r="AR36" s="5" t="s">
        <v>507</v>
      </c>
      <c r="AS36" s="5" t="s">
        <v>508</v>
      </c>
      <c r="AT36" s="5" t="s">
        <v>509</v>
      </c>
      <c r="AU36" s="5" t="s">
        <v>424</v>
      </c>
      <c r="AV36" s="5" t="s">
        <v>510</v>
      </c>
      <c r="AW36" s="5" t="s">
        <v>511</v>
      </c>
      <c r="AX36" s="5" t="s">
        <v>512</v>
      </c>
      <c r="AY36" s="5" t="s">
        <v>513</v>
      </c>
      <c r="AZ36" s="8"/>
      <c r="BA36" s="5">
        <v>60036.0</v>
      </c>
      <c r="BB36" s="5" t="s">
        <v>97</v>
      </c>
      <c r="BC36" s="5" t="s">
        <v>118</v>
      </c>
      <c r="BD36" s="5" t="s">
        <v>118</v>
      </c>
      <c r="BE36" s="5" t="s">
        <v>118</v>
      </c>
      <c r="BF36" s="5" t="s">
        <v>118</v>
      </c>
      <c r="BG36" s="5" t="s">
        <v>97</v>
      </c>
      <c r="BH36" s="5" t="s">
        <v>118</v>
      </c>
      <c r="BI36" s="5" t="s">
        <v>514</v>
      </c>
      <c r="BJ36" s="5" t="s">
        <v>98</v>
      </c>
      <c r="BK36" s="8"/>
      <c r="BL36" s="6">
        <v>43478.0</v>
      </c>
      <c r="BM36" s="6">
        <v>43974.0</v>
      </c>
      <c r="BN36" s="5" t="s">
        <v>120</v>
      </c>
      <c r="BO36" s="6">
        <v>45440.0</v>
      </c>
      <c r="BP36" s="6">
        <v>45529.0</v>
      </c>
      <c r="BQ36" s="5" t="s">
        <v>120</v>
      </c>
      <c r="BR36" s="6">
        <v>44980.0</v>
      </c>
      <c r="BS36" s="6">
        <v>45074.0</v>
      </c>
      <c r="BT36" s="5" t="s">
        <v>120</v>
      </c>
      <c r="BU36" s="5" t="s">
        <v>99</v>
      </c>
      <c r="BV36" s="5" t="s">
        <v>121</v>
      </c>
      <c r="BW36" s="23">
        <v>17.0</v>
      </c>
      <c r="BX36" s="5" t="s">
        <v>411</v>
      </c>
      <c r="BY36" s="6">
        <v>43462.0</v>
      </c>
      <c r="BZ36" s="5" t="s">
        <v>102</v>
      </c>
      <c r="CA36" s="11" t="s">
        <v>103</v>
      </c>
    </row>
    <row r="37">
      <c r="A37" s="12">
        <v>412.0</v>
      </c>
      <c r="B37" s="13" t="s">
        <v>515</v>
      </c>
      <c r="C37" s="13" t="s">
        <v>516</v>
      </c>
      <c r="D37" s="13">
        <v>996928.0</v>
      </c>
      <c r="E37" s="13" t="s">
        <v>81</v>
      </c>
      <c r="F37" s="14">
        <v>44970.0</v>
      </c>
      <c r="G37" s="16"/>
      <c r="H37" s="13" t="s">
        <v>82</v>
      </c>
      <c r="I37" s="13" t="s">
        <v>139</v>
      </c>
      <c r="J37" s="13" t="s">
        <v>140</v>
      </c>
      <c r="K37" s="13">
        <v>2.0</v>
      </c>
      <c r="L37" s="13" t="s">
        <v>517</v>
      </c>
      <c r="M37" s="13" t="s">
        <v>167</v>
      </c>
      <c r="N37" s="13" t="s">
        <v>87</v>
      </c>
      <c r="O37" s="13">
        <v>4.389510747E9</v>
      </c>
      <c r="P37" s="17"/>
      <c r="Q37" s="16"/>
      <c r="R37" s="17"/>
      <c r="S37" s="13" t="s">
        <v>518</v>
      </c>
      <c r="T37" s="13" t="s">
        <v>519</v>
      </c>
      <c r="U37" s="13">
        <v>1.00996928E8</v>
      </c>
      <c r="V37" s="13" t="s">
        <v>516</v>
      </c>
      <c r="W37" s="16"/>
      <c r="X37" s="13">
        <v>1.9051291052E10</v>
      </c>
      <c r="Y37" s="13">
        <v>1060028.0</v>
      </c>
      <c r="Z37" s="17"/>
      <c r="AA37" s="17"/>
      <c r="AB37" s="16"/>
      <c r="AC37" s="17"/>
      <c r="AD37" s="17"/>
      <c r="AE37" s="17"/>
      <c r="AF37" s="15"/>
      <c r="AG37" s="17"/>
      <c r="AH37" s="15"/>
      <c r="AI37" s="17"/>
      <c r="AJ37" s="13" t="s">
        <v>90</v>
      </c>
      <c r="AK37" s="13" t="s">
        <v>91</v>
      </c>
      <c r="AL37" s="13" t="s">
        <v>188</v>
      </c>
      <c r="AM37" s="20">
        <v>0.9479166666666666</v>
      </c>
      <c r="AN37" s="20">
        <v>0.3854166666666667</v>
      </c>
      <c r="AO37" s="16"/>
      <c r="AP37" s="16"/>
      <c r="AQ37" s="13" t="s">
        <v>520</v>
      </c>
      <c r="AR37" s="13" t="s">
        <v>521</v>
      </c>
      <c r="AS37" s="13" t="s">
        <v>522</v>
      </c>
      <c r="AT37" s="13" t="s">
        <v>523</v>
      </c>
      <c r="AU37" s="13" t="s">
        <v>524</v>
      </c>
      <c r="AV37" s="16"/>
      <c r="AW37" s="16"/>
      <c r="AX37" s="16"/>
      <c r="AY37" s="13" t="s">
        <v>525</v>
      </c>
      <c r="AZ37" s="16"/>
      <c r="BA37" s="13" t="s">
        <v>96</v>
      </c>
      <c r="BB37" s="13" t="s">
        <v>97</v>
      </c>
      <c r="BC37" s="13" t="s">
        <v>97</v>
      </c>
      <c r="BD37" s="13" t="s">
        <v>97</v>
      </c>
      <c r="BE37" s="13" t="s">
        <v>97</v>
      </c>
      <c r="BF37" s="13" t="s">
        <v>97</v>
      </c>
      <c r="BG37" s="13" t="s">
        <v>97</v>
      </c>
      <c r="BH37" s="13" t="s">
        <v>97</v>
      </c>
      <c r="BI37" s="17"/>
      <c r="BJ37" s="13" t="s">
        <v>151</v>
      </c>
      <c r="BK37" s="16"/>
      <c r="BL37" s="14">
        <v>45204.0</v>
      </c>
      <c r="BM37" s="14">
        <v>45411.0</v>
      </c>
      <c r="BN37" s="17"/>
      <c r="BO37" s="15"/>
      <c r="BP37" s="15"/>
      <c r="BQ37" s="17"/>
      <c r="BR37" s="15"/>
      <c r="BS37" s="15"/>
      <c r="BT37" s="17"/>
      <c r="BU37" s="13" t="s">
        <v>99</v>
      </c>
      <c r="BV37" s="13" t="s">
        <v>121</v>
      </c>
      <c r="BW37" s="21">
        <v>35.0</v>
      </c>
      <c r="BX37" s="13" t="s">
        <v>101</v>
      </c>
      <c r="BY37" s="14">
        <v>45085.0</v>
      </c>
      <c r="BZ37" s="13" t="s">
        <v>102</v>
      </c>
      <c r="CA37" s="22" t="s">
        <v>103</v>
      </c>
    </row>
    <row r="38">
      <c r="A38" s="4">
        <v>365.0</v>
      </c>
      <c r="B38" s="5" t="s">
        <v>526</v>
      </c>
      <c r="C38" s="5" t="s">
        <v>527</v>
      </c>
      <c r="D38" s="5">
        <v>995918.0</v>
      </c>
      <c r="E38" s="5" t="s">
        <v>81</v>
      </c>
      <c r="F38" s="6">
        <v>44900.0</v>
      </c>
      <c r="G38" s="7"/>
      <c r="H38" s="5" t="s">
        <v>106</v>
      </c>
      <c r="I38" s="5" t="s">
        <v>139</v>
      </c>
      <c r="J38" s="5" t="s">
        <v>140</v>
      </c>
      <c r="K38" s="5">
        <v>4.0</v>
      </c>
      <c r="L38" s="5" t="s">
        <v>528</v>
      </c>
      <c r="M38" s="5" t="s">
        <v>167</v>
      </c>
      <c r="N38" s="5" t="s">
        <v>87</v>
      </c>
      <c r="O38" s="5">
        <v>5.063807409E9</v>
      </c>
      <c r="P38" s="9"/>
      <c r="Q38" s="8"/>
      <c r="R38" s="5" t="s">
        <v>529</v>
      </c>
      <c r="S38" s="5" t="s">
        <v>530</v>
      </c>
      <c r="T38" s="5" t="s">
        <v>531</v>
      </c>
      <c r="U38" s="5">
        <v>1.00995918E8</v>
      </c>
      <c r="V38" s="5" t="s">
        <v>527</v>
      </c>
      <c r="W38" s="8"/>
      <c r="X38" s="5">
        <v>1.9051291028E10</v>
      </c>
      <c r="Y38" s="5">
        <v>1110128.0</v>
      </c>
      <c r="Z38" s="9"/>
      <c r="AA38" s="9"/>
      <c r="AB38" s="8"/>
      <c r="AC38" s="8"/>
      <c r="AD38" s="5" t="s">
        <v>532</v>
      </c>
      <c r="AE38" s="18"/>
      <c r="AF38" s="18"/>
      <c r="AG38" s="18"/>
      <c r="AH38" s="7"/>
      <c r="AI38" s="9"/>
      <c r="AJ38" s="5" t="s">
        <v>90</v>
      </c>
      <c r="AK38" s="5" t="s">
        <v>91</v>
      </c>
      <c r="AL38" s="24">
        <v>46115.0</v>
      </c>
      <c r="AM38" s="10">
        <v>0.6666666666666666</v>
      </c>
      <c r="AN38" s="10">
        <v>0.041666666666666664</v>
      </c>
      <c r="AO38" s="8"/>
      <c r="AP38" s="8"/>
      <c r="AQ38" s="5" t="s">
        <v>533</v>
      </c>
      <c r="AR38" s="5" t="s">
        <v>534</v>
      </c>
      <c r="AS38" s="5" t="s">
        <v>535</v>
      </c>
      <c r="AT38" s="5" t="s">
        <v>536</v>
      </c>
      <c r="AU38" s="9"/>
      <c r="AV38" s="8"/>
      <c r="AW38" s="8"/>
      <c r="AX38" s="8"/>
      <c r="AY38" s="5" t="s">
        <v>537</v>
      </c>
      <c r="AZ38" s="8"/>
      <c r="BA38" s="5" t="s">
        <v>150</v>
      </c>
      <c r="BB38" s="5" t="s">
        <v>118</v>
      </c>
      <c r="BC38" s="5" t="s">
        <v>97</v>
      </c>
      <c r="BD38" s="5" t="s">
        <v>97</v>
      </c>
      <c r="BE38" s="5" t="s">
        <v>97</v>
      </c>
      <c r="BF38" s="5" t="s">
        <v>118</v>
      </c>
      <c r="BG38" s="5" t="s">
        <v>118</v>
      </c>
      <c r="BH38" s="5" t="s">
        <v>97</v>
      </c>
      <c r="BI38" s="9"/>
      <c r="BJ38" s="5" t="s">
        <v>176</v>
      </c>
      <c r="BK38" s="8"/>
      <c r="BL38" s="6">
        <v>45972.0</v>
      </c>
      <c r="BM38" s="6">
        <v>45972.0</v>
      </c>
      <c r="BN38" s="5" t="s">
        <v>120</v>
      </c>
      <c r="BO38" s="6">
        <v>45921.0</v>
      </c>
      <c r="BP38" s="6">
        <v>45921.0</v>
      </c>
      <c r="BQ38" s="5" t="s">
        <v>99</v>
      </c>
      <c r="BR38" s="6">
        <v>46056.0</v>
      </c>
      <c r="BS38" s="6">
        <v>46112.0</v>
      </c>
      <c r="BT38" s="5" t="s">
        <v>99</v>
      </c>
      <c r="BU38" s="5" t="s">
        <v>99</v>
      </c>
      <c r="BV38" s="5" t="s">
        <v>121</v>
      </c>
      <c r="BW38" s="23">
        <v>37.5</v>
      </c>
      <c r="BX38" s="5" t="s">
        <v>101</v>
      </c>
      <c r="BY38" s="6">
        <v>45035.0</v>
      </c>
      <c r="BZ38" s="5" t="s">
        <v>102</v>
      </c>
      <c r="CA38" s="11" t="s">
        <v>103</v>
      </c>
    </row>
    <row r="39">
      <c r="A39" s="12">
        <v>126.0</v>
      </c>
      <c r="B39" s="13" t="s">
        <v>538</v>
      </c>
      <c r="C39" s="13" t="s">
        <v>539</v>
      </c>
      <c r="D39" s="13">
        <v>967974.0</v>
      </c>
      <c r="E39" s="13" t="s">
        <v>81</v>
      </c>
      <c r="F39" s="14">
        <v>44337.0</v>
      </c>
      <c r="G39" s="16"/>
      <c r="H39" s="13" t="s">
        <v>106</v>
      </c>
      <c r="I39" s="13" t="s">
        <v>540</v>
      </c>
      <c r="J39" s="13" t="s">
        <v>155</v>
      </c>
      <c r="K39" s="13">
        <v>4.0</v>
      </c>
      <c r="L39" s="13" t="s">
        <v>541</v>
      </c>
      <c r="M39" s="13" t="s">
        <v>125</v>
      </c>
      <c r="N39" s="13" t="s">
        <v>126</v>
      </c>
      <c r="O39" s="13">
        <v>7.78791102E9</v>
      </c>
      <c r="P39" s="16"/>
      <c r="Q39" s="16"/>
      <c r="R39" s="13" t="s">
        <v>542</v>
      </c>
      <c r="S39" s="13" t="s">
        <v>543</v>
      </c>
      <c r="T39" s="13" t="s">
        <v>544</v>
      </c>
      <c r="U39" s="13">
        <v>1.00967974E8</v>
      </c>
      <c r="V39" s="13" t="s">
        <v>545</v>
      </c>
      <c r="W39" s="16"/>
      <c r="X39" s="13">
        <v>1.6041295011E10</v>
      </c>
      <c r="Y39" s="13">
        <v>1067360.0</v>
      </c>
      <c r="Z39" s="13" t="s">
        <v>546</v>
      </c>
      <c r="AA39" s="17"/>
      <c r="AB39" s="16"/>
      <c r="AC39" s="16"/>
      <c r="AD39" s="13" t="s">
        <v>547</v>
      </c>
      <c r="AE39" s="18"/>
      <c r="AF39" s="14">
        <v>45030.0</v>
      </c>
      <c r="AG39" s="13">
        <v>35980.0</v>
      </c>
      <c r="AH39" s="16"/>
      <c r="AI39" s="16"/>
      <c r="AJ39" s="13" t="s">
        <v>90</v>
      </c>
      <c r="AK39" s="13" t="s">
        <v>91</v>
      </c>
      <c r="AL39" s="13" t="s">
        <v>92</v>
      </c>
      <c r="AM39" s="20">
        <v>0.5833333333333334</v>
      </c>
      <c r="AN39" s="20">
        <v>0.020833333333333332</v>
      </c>
      <c r="AO39" s="16"/>
      <c r="AP39" s="16"/>
      <c r="AQ39" s="13" t="s">
        <v>548</v>
      </c>
      <c r="AR39" s="13" t="s">
        <v>549</v>
      </c>
      <c r="AS39" s="13" t="s">
        <v>550</v>
      </c>
      <c r="AT39" s="13">
        <v>7.788880977E9</v>
      </c>
      <c r="AU39" s="13" t="s">
        <v>551</v>
      </c>
      <c r="AV39" s="16"/>
      <c r="AW39" s="16"/>
      <c r="AX39" s="16"/>
      <c r="AY39" s="13" t="s">
        <v>552</v>
      </c>
      <c r="AZ39" s="16"/>
      <c r="BA39" s="13" t="s">
        <v>150</v>
      </c>
      <c r="BB39" s="13" t="s">
        <v>97</v>
      </c>
      <c r="BC39" s="13" t="s">
        <v>97</v>
      </c>
      <c r="BD39" s="13" t="s">
        <v>97</v>
      </c>
      <c r="BE39" s="13" t="s">
        <v>97</v>
      </c>
      <c r="BF39" s="13" t="s">
        <v>97</v>
      </c>
      <c r="BG39" s="13" t="s">
        <v>97</v>
      </c>
      <c r="BH39" s="13" t="s">
        <v>97</v>
      </c>
      <c r="BI39" s="17"/>
      <c r="BJ39" s="13" t="s">
        <v>176</v>
      </c>
      <c r="BK39" s="16"/>
      <c r="BL39" s="14">
        <v>44472.0</v>
      </c>
      <c r="BM39" s="14">
        <v>44472.0</v>
      </c>
      <c r="BN39" s="13" t="s">
        <v>120</v>
      </c>
      <c r="BO39" s="14">
        <v>44945.0</v>
      </c>
      <c r="BP39" s="14">
        <v>45172.0</v>
      </c>
      <c r="BQ39" s="13" t="s">
        <v>120</v>
      </c>
      <c r="BR39" s="14">
        <v>44953.0</v>
      </c>
      <c r="BS39" s="14">
        <v>45383.0</v>
      </c>
      <c r="BT39" s="13" t="s">
        <v>120</v>
      </c>
      <c r="BU39" s="13" t="s">
        <v>99</v>
      </c>
      <c r="BV39" s="13" t="s">
        <v>308</v>
      </c>
      <c r="BW39" s="21">
        <v>35.0</v>
      </c>
      <c r="BX39" s="13" t="s">
        <v>101</v>
      </c>
      <c r="BY39" s="14">
        <v>44472.0</v>
      </c>
      <c r="BZ39" s="13" t="s">
        <v>102</v>
      </c>
      <c r="CA39" s="22" t="s">
        <v>103</v>
      </c>
    </row>
    <row r="40">
      <c r="A40" s="4">
        <v>130.0</v>
      </c>
      <c r="B40" s="5" t="s">
        <v>553</v>
      </c>
      <c r="C40" s="5" t="s">
        <v>554</v>
      </c>
      <c r="D40" s="5">
        <v>955761.0</v>
      </c>
      <c r="E40" s="5" t="s">
        <v>81</v>
      </c>
      <c r="F40" s="6">
        <v>42485.0</v>
      </c>
      <c r="G40" s="8"/>
      <c r="H40" s="5" t="s">
        <v>106</v>
      </c>
      <c r="I40" s="5" t="s">
        <v>107</v>
      </c>
      <c r="J40" s="5" t="s">
        <v>84</v>
      </c>
      <c r="K40" s="5">
        <v>4.0</v>
      </c>
      <c r="L40" s="5" t="s">
        <v>555</v>
      </c>
      <c r="M40" s="5" t="s">
        <v>181</v>
      </c>
      <c r="N40" s="5" t="s">
        <v>87</v>
      </c>
      <c r="O40" s="5">
        <v>4.382999631E9</v>
      </c>
      <c r="P40" s="9"/>
      <c r="Q40" s="8"/>
      <c r="R40" s="5" t="s">
        <v>556</v>
      </c>
      <c r="S40" s="5" t="s">
        <v>557</v>
      </c>
      <c r="T40" s="5" t="s">
        <v>558</v>
      </c>
      <c r="U40" s="5">
        <v>1.00955761E8</v>
      </c>
      <c r="V40" s="5" t="s">
        <v>559</v>
      </c>
      <c r="W40" s="8"/>
      <c r="X40" s="5">
        <v>1.5141294137E10</v>
      </c>
      <c r="Y40" s="5">
        <v>1066319.0</v>
      </c>
      <c r="Z40" s="8"/>
      <c r="AA40" s="9"/>
      <c r="AB40" s="8"/>
      <c r="AC40" s="8"/>
      <c r="AD40" s="5" t="s">
        <v>560</v>
      </c>
      <c r="AE40" s="18"/>
      <c r="AF40" s="6">
        <v>42783.0</v>
      </c>
      <c r="AG40" s="5">
        <v>22353.0</v>
      </c>
      <c r="AH40" s="8"/>
      <c r="AI40" s="8"/>
      <c r="AJ40" s="5" t="s">
        <v>90</v>
      </c>
      <c r="AK40" s="5" t="s">
        <v>91</v>
      </c>
      <c r="AL40" s="24">
        <v>46115.0</v>
      </c>
      <c r="AM40" s="10">
        <v>0.75</v>
      </c>
      <c r="AN40" s="10">
        <v>0.10416666666666667</v>
      </c>
      <c r="AO40" s="8"/>
      <c r="AP40" s="8"/>
      <c r="AQ40" s="5" t="s">
        <v>561</v>
      </c>
      <c r="AR40" s="5" t="s">
        <v>562</v>
      </c>
      <c r="AS40" s="5" t="s">
        <v>563</v>
      </c>
      <c r="AT40" s="5" t="s">
        <v>564</v>
      </c>
      <c r="AU40" s="8"/>
      <c r="AV40" s="8"/>
      <c r="AW40" s="8"/>
      <c r="AX40" s="8"/>
      <c r="AY40" s="5" t="s">
        <v>565</v>
      </c>
      <c r="AZ40" s="8"/>
      <c r="BA40" s="9"/>
      <c r="BB40" s="5" t="s">
        <v>97</v>
      </c>
      <c r="BC40" s="5" t="s">
        <v>97</v>
      </c>
      <c r="BD40" s="5" t="s">
        <v>118</v>
      </c>
      <c r="BE40" s="5" t="s">
        <v>97</v>
      </c>
      <c r="BF40" s="5" t="s">
        <v>97</v>
      </c>
      <c r="BG40" s="5" t="s">
        <v>118</v>
      </c>
      <c r="BH40" s="5" t="s">
        <v>118</v>
      </c>
      <c r="BI40" s="9"/>
      <c r="BJ40" s="5" t="s">
        <v>176</v>
      </c>
      <c r="BK40" s="8"/>
      <c r="BL40" s="7"/>
      <c r="BM40" s="7"/>
      <c r="BN40" s="5" t="s">
        <v>120</v>
      </c>
      <c r="BO40" s="7"/>
      <c r="BP40" s="7"/>
      <c r="BQ40" s="5" t="s">
        <v>120</v>
      </c>
      <c r="BR40" s="7"/>
      <c r="BS40" s="8"/>
      <c r="BT40" s="5" t="s">
        <v>120</v>
      </c>
      <c r="BU40" s="5" t="s">
        <v>99</v>
      </c>
      <c r="BV40" s="5" t="s">
        <v>100</v>
      </c>
      <c r="BW40" s="23">
        <v>34.0</v>
      </c>
      <c r="BX40" s="5" t="s">
        <v>101</v>
      </c>
      <c r="BY40" s="7"/>
      <c r="BZ40" s="5" t="s">
        <v>102</v>
      </c>
      <c r="CA40" s="11" t="s">
        <v>103</v>
      </c>
    </row>
    <row r="41">
      <c r="A41" s="12">
        <v>131.0</v>
      </c>
      <c r="B41" s="13" t="s">
        <v>566</v>
      </c>
      <c r="C41" s="13" t="s">
        <v>567</v>
      </c>
      <c r="D41" s="13">
        <v>966280.0</v>
      </c>
      <c r="E41" s="13" t="s">
        <v>81</v>
      </c>
      <c r="F41" s="14">
        <v>44312.0</v>
      </c>
      <c r="G41" s="16"/>
      <c r="H41" s="13" t="s">
        <v>106</v>
      </c>
      <c r="I41" s="13" t="s">
        <v>83</v>
      </c>
      <c r="J41" s="13" t="s">
        <v>84</v>
      </c>
      <c r="K41" s="13">
        <v>4.0</v>
      </c>
      <c r="L41" s="13" t="s">
        <v>568</v>
      </c>
      <c r="M41" s="13" t="s">
        <v>142</v>
      </c>
      <c r="N41" s="13" t="s">
        <v>126</v>
      </c>
      <c r="O41" s="13" t="s">
        <v>569</v>
      </c>
      <c r="P41" s="16"/>
      <c r="Q41" s="16"/>
      <c r="R41" s="13" t="s">
        <v>570</v>
      </c>
      <c r="S41" s="13" t="s">
        <v>571</v>
      </c>
      <c r="T41" s="13" t="s">
        <v>572</v>
      </c>
      <c r="U41" s="13">
        <v>4.4370265E7</v>
      </c>
      <c r="V41" s="13" t="s">
        <v>573</v>
      </c>
      <c r="W41" s="16"/>
      <c r="X41" s="13">
        <v>1.6131293156E10</v>
      </c>
      <c r="Y41" s="13">
        <v>1066465.0</v>
      </c>
      <c r="Z41" s="13" t="s">
        <v>574</v>
      </c>
      <c r="AA41" s="13" t="s">
        <v>132</v>
      </c>
      <c r="AB41" s="16"/>
      <c r="AC41" s="16"/>
      <c r="AD41" s="13" t="s">
        <v>575</v>
      </c>
      <c r="AE41" s="18"/>
      <c r="AF41" s="14">
        <v>44732.0</v>
      </c>
      <c r="AG41" s="13">
        <v>32391.0</v>
      </c>
      <c r="AH41" s="14">
        <v>45926.0</v>
      </c>
      <c r="AI41" s="13">
        <v>32391.0</v>
      </c>
      <c r="AJ41" s="13" t="s">
        <v>90</v>
      </c>
      <c r="AK41" s="13" t="s">
        <v>91</v>
      </c>
      <c r="AL41" s="13" t="s">
        <v>188</v>
      </c>
      <c r="AM41" s="20">
        <v>0.875</v>
      </c>
      <c r="AN41" s="20">
        <v>0.2916666666666667</v>
      </c>
      <c r="AO41" s="16"/>
      <c r="AP41" s="16"/>
      <c r="AQ41" s="13" t="s">
        <v>508</v>
      </c>
      <c r="AR41" s="13" t="s">
        <v>576</v>
      </c>
      <c r="AS41" s="17"/>
      <c r="AT41" s="17"/>
      <c r="AU41" s="16"/>
      <c r="AV41" s="16"/>
      <c r="AW41" s="16"/>
      <c r="AX41" s="16"/>
      <c r="AY41" s="13" t="s">
        <v>577</v>
      </c>
      <c r="AZ41" s="16"/>
      <c r="BA41" s="13" t="s">
        <v>578</v>
      </c>
      <c r="BB41" s="13" t="s">
        <v>97</v>
      </c>
      <c r="BC41" s="13" t="s">
        <v>97</v>
      </c>
      <c r="BD41" s="13" t="s">
        <v>97</v>
      </c>
      <c r="BE41" s="13" t="s">
        <v>97</v>
      </c>
      <c r="BF41" s="13" t="s">
        <v>97</v>
      </c>
      <c r="BG41" s="13" t="s">
        <v>97</v>
      </c>
      <c r="BH41" s="13" t="s">
        <v>97</v>
      </c>
      <c r="BI41" s="17"/>
      <c r="BJ41" s="13" t="s">
        <v>151</v>
      </c>
      <c r="BK41" s="16"/>
      <c r="BL41" s="14">
        <v>44465.0</v>
      </c>
      <c r="BM41" s="14">
        <v>44556.0</v>
      </c>
      <c r="BN41" s="13" t="s">
        <v>120</v>
      </c>
      <c r="BO41" s="14">
        <v>45439.0</v>
      </c>
      <c r="BP41" s="14">
        <v>45547.0</v>
      </c>
      <c r="BQ41" s="13" t="s">
        <v>120</v>
      </c>
      <c r="BR41" s="14">
        <v>45490.0</v>
      </c>
      <c r="BS41" s="14">
        <v>45552.0</v>
      </c>
      <c r="BT41" s="13" t="s">
        <v>120</v>
      </c>
      <c r="BU41" s="13" t="s">
        <v>99</v>
      </c>
      <c r="BV41" s="13" t="s">
        <v>100</v>
      </c>
      <c r="BW41" s="21">
        <v>35.0</v>
      </c>
      <c r="BX41" s="13" t="s">
        <v>101</v>
      </c>
      <c r="BY41" s="14">
        <v>44342.0</v>
      </c>
      <c r="BZ41" s="13" t="s">
        <v>102</v>
      </c>
      <c r="CA41" s="22" t="s">
        <v>103</v>
      </c>
    </row>
    <row r="42">
      <c r="A42" s="4">
        <v>137.0</v>
      </c>
      <c r="B42" s="5" t="s">
        <v>579</v>
      </c>
      <c r="C42" s="5" t="s">
        <v>580</v>
      </c>
      <c r="D42" s="5">
        <v>960919.0</v>
      </c>
      <c r="E42" s="5" t="s">
        <v>81</v>
      </c>
      <c r="F42" s="6">
        <v>44165.0</v>
      </c>
      <c r="G42" s="7"/>
      <c r="H42" s="5" t="s">
        <v>106</v>
      </c>
      <c r="I42" s="5" t="s">
        <v>107</v>
      </c>
      <c r="J42" s="5" t="s">
        <v>84</v>
      </c>
      <c r="K42" s="5">
        <v>4.0</v>
      </c>
      <c r="L42" s="5" t="s">
        <v>581</v>
      </c>
      <c r="M42" s="5" t="s">
        <v>125</v>
      </c>
      <c r="N42" s="5" t="s">
        <v>126</v>
      </c>
      <c r="O42" s="5" t="s">
        <v>582</v>
      </c>
      <c r="P42" s="8"/>
      <c r="Q42" s="8"/>
      <c r="R42" s="5" t="s">
        <v>583</v>
      </c>
      <c r="S42" s="5" t="s">
        <v>584</v>
      </c>
      <c r="T42" s="5" t="s">
        <v>585</v>
      </c>
      <c r="U42" s="5">
        <v>1.00960919E8</v>
      </c>
      <c r="V42" s="5" t="s">
        <v>586</v>
      </c>
      <c r="W42" s="8"/>
      <c r="X42" s="5">
        <v>1.5141294384E10</v>
      </c>
      <c r="Y42" s="5">
        <v>1066723.0</v>
      </c>
      <c r="Z42" s="9"/>
      <c r="AA42" s="5" t="s">
        <v>132</v>
      </c>
      <c r="AB42" s="8"/>
      <c r="AC42" s="9"/>
      <c r="AD42" s="5" t="s">
        <v>587</v>
      </c>
      <c r="AE42" s="18"/>
      <c r="AF42" s="6">
        <v>44495.0</v>
      </c>
      <c r="AG42" s="5">
        <v>32907.0</v>
      </c>
      <c r="AH42" s="8"/>
      <c r="AI42" s="8"/>
      <c r="AJ42" s="5" t="s">
        <v>90</v>
      </c>
      <c r="AK42" s="5" t="s">
        <v>91</v>
      </c>
      <c r="AL42" s="24">
        <v>46115.0</v>
      </c>
      <c r="AM42" s="10">
        <v>0.2916666666666667</v>
      </c>
      <c r="AN42" s="10">
        <v>0.6458333333333334</v>
      </c>
      <c r="AO42" s="8"/>
      <c r="AP42" s="8"/>
      <c r="AQ42" s="5" t="s">
        <v>588</v>
      </c>
      <c r="AR42" s="5" t="s">
        <v>589</v>
      </c>
      <c r="AS42" s="9"/>
      <c r="AT42" s="9"/>
      <c r="AU42" s="9"/>
      <c r="AV42" s="8"/>
      <c r="AW42" s="8"/>
      <c r="AX42" s="8"/>
      <c r="AY42" s="5" t="s">
        <v>590</v>
      </c>
      <c r="AZ42" s="8"/>
      <c r="BA42" s="5">
        <v>66111.0</v>
      </c>
      <c r="BB42" s="5" t="s">
        <v>97</v>
      </c>
      <c r="BC42" s="5" t="s">
        <v>97</v>
      </c>
      <c r="BD42" s="5" t="s">
        <v>118</v>
      </c>
      <c r="BE42" s="5" t="s">
        <v>97</v>
      </c>
      <c r="BF42" s="5" t="s">
        <v>97</v>
      </c>
      <c r="BG42" s="5" t="s">
        <v>118</v>
      </c>
      <c r="BH42" s="5" t="s">
        <v>118</v>
      </c>
      <c r="BI42" s="9"/>
      <c r="BJ42" s="5" t="s">
        <v>98</v>
      </c>
      <c r="BK42" s="8"/>
      <c r="BL42" s="7"/>
      <c r="BM42" s="6">
        <v>44412.0</v>
      </c>
      <c r="BN42" s="5" t="s">
        <v>120</v>
      </c>
      <c r="BO42" s="6">
        <v>44979.0</v>
      </c>
      <c r="BP42" s="6">
        <v>45322.0</v>
      </c>
      <c r="BQ42" s="5" t="s">
        <v>120</v>
      </c>
      <c r="BR42" s="6">
        <v>45328.0</v>
      </c>
      <c r="BS42" s="7"/>
      <c r="BT42" s="5" t="s">
        <v>99</v>
      </c>
      <c r="BU42" s="5" t="s">
        <v>99</v>
      </c>
      <c r="BV42" s="5" t="s">
        <v>121</v>
      </c>
      <c r="BW42" s="23">
        <v>34.0</v>
      </c>
      <c r="BX42" s="5" t="s">
        <v>101</v>
      </c>
      <c r="BY42" s="6">
        <v>44294.0</v>
      </c>
      <c r="BZ42" s="5" t="s">
        <v>102</v>
      </c>
      <c r="CA42" s="11" t="s">
        <v>103</v>
      </c>
    </row>
    <row r="43">
      <c r="A43" s="12">
        <v>623.0</v>
      </c>
      <c r="B43" s="13" t="s">
        <v>591</v>
      </c>
      <c r="C43" s="13" t="s">
        <v>592</v>
      </c>
      <c r="D43" s="13">
        <v>6001432.0</v>
      </c>
      <c r="E43" s="13" t="s">
        <v>81</v>
      </c>
      <c r="F43" s="14">
        <v>46119.0</v>
      </c>
      <c r="G43" s="16"/>
      <c r="H43" s="13" t="s">
        <v>239</v>
      </c>
      <c r="I43" s="13" t="s">
        <v>240</v>
      </c>
      <c r="J43" s="13" t="s">
        <v>155</v>
      </c>
      <c r="K43" s="13">
        <v>1.0</v>
      </c>
      <c r="L43" s="13" t="s">
        <v>593</v>
      </c>
      <c r="M43" s="13" t="s">
        <v>196</v>
      </c>
      <c r="N43" s="13" t="s">
        <v>126</v>
      </c>
      <c r="O43" s="13">
        <v>4.036814395E9</v>
      </c>
      <c r="P43" s="16"/>
      <c r="Q43" s="16"/>
      <c r="R43" s="17"/>
      <c r="S43" s="13" t="s">
        <v>594</v>
      </c>
      <c r="T43" s="13" t="s">
        <v>595</v>
      </c>
      <c r="U43" s="13">
        <v>1.06001432E8</v>
      </c>
      <c r="V43" s="17"/>
      <c r="W43" s="16"/>
      <c r="X43" s="13">
        <v>1.514129402E10</v>
      </c>
      <c r="Y43" s="13">
        <v>1060008.0</v>
      </c>
      <c r="Z43" s="16"/>
      <c r="AA43" s="16"/>
      <c r="AB43" s="16"/>
      <c r="AC43" s="17"/>
      <c r="AD43" s="17"/>
      <c r="AE43" s="17"/>
      <c r="AF43" s="15"/>
      <c r="AG43" s="17"/>
      <c r="AH43" s="16"/>
      <c r="AI43" s="16"/>
      <c r="AJ43" s="13" t="s">
        <v>90</v>
      </c>
      <c r="AK43" s="13" t="s">
        <v>244</v>
      </c>
      <c r="AL43" s="17"/>
      <c r="AM43" s="26"/>
      <c r="AN43" s="26"/>
      <c r="AO43" s="16"/>
      <c r="AP43" s="16"/>
      <c r="AQ43" s="13" t="s">
        <v>596</v>
      </c>
      <c r="AR43" s="13" t="s">
        <v>597</v>
      </c>
      <c r="AS43" s="17"/>
      <c r="AT43" s="17"/>
      <c r="AU43" s="17"/>
      <c r="AV43" s="16"/>
      <c r="AW43" s="16"/>
      <c r="AX43" s="16"/>
      <c r="AY43" s="13" t="s">
        <v>598</v>
      </c>
      <c r="AZ43" s="16"/>
      <c r="BA43" s="13">
        <v>867606.0</v>
      </c>
      <c r="BB43" s="13" t="s">
        <v>118</v>
      </c>
      <c r="BC43" s="13" t="s">
        <v>118</v>
      </c>
      <c r="BD43" s="13" t="s">
        <v>118</v>
      </c>
      <c r="BE43" s="13" t="s">
        <v>118</v>
      </c>
      <c r="BF43" s="13" t="s">
        <v>118</v>
      </c>
      <c r="BG43" s="17"/>
      <c r="BH43" s="17"/>
      <c r="BI43" s="17"/>
      <c r="BJ43" s="17"/>
      <c r="BK43" s="16"/>
      <c r="BL43" s="15"/>
      <c r="BM43" s="15"/>
      <c r="BN43" s="17"/>
      <c r="BO43" s="15"/>
      <c r="BP43" s="15"/>
      <c r="BQ43" s="17"/>
      <c r="BR43" s="15"/>
      <c r="BS43" s="15"/>
      <c r="BT43" s="17"/>
      <c r="BU43" s="13" t="s">
        <v>120</v>
      </c>
      <c r="BV43" s="13" t="s">
        <v>308</v>
      </c>
      <c r="BW43" s="21">
        <v>35.0</v>
      </c>
      <c r="BX43" s="13" t="s">
        <v>101</v>
      </c>
      <c r="BY43" s="15"/>
      <c r="BZ43" s="13" t="s">
        <v>102</v>
      </c>
      <c r="CA43" s="22" t="s">
        <v>103</v>
      </c>
    </row>
    <row r="44">
      <c r="A44" s="4">
        <v>616.0</v>
      </c>
      <c r="B44" s="5" t="s">
        <v>599</v>
      </c>
      <c r="C44" s="5" t="s">
        <v>600</v>
      </c>
      <c r="D44" s="5">
        <v>773718.0</v>
      </c>
      <c r="E44" s="5" t="s">
        <v>81</v>
      </c>
      <c r="F44" s="6">
        <v>45957.0</v>
      </c>
      <c r="G44" s="7"/>
      <c r="H44" s="5" t="s">
        <v>82</v>
      </c>
      <c r="I44" s="5" t="s">
        <v>107</v>
      </c>
      <c r="J44" s="5" t="s">
        <v>84</v>
      </c>
      <c r="K44" s="5">
        <v>2.0</v>
      </c>
      <c r="L44" s="5" t="s">
        <v>601</v>
      </c>
      <c r="M44" s="5" t="s">
        <v>142</v>
      </c>
      <c r="N44" s="5" t="s">
        <v>126</v>
      </c>
      <c r="O44" s="5">
        <v>5.144317307E9</v>
      </c>
      <c r="P44" s="8"/>
      <c r="Q44" s="8"/>
      <c r="R44" s="9"/>
      <c r="S44" s="5" t="s">
        <v>602</v>
      </c>
      <c r="T44" s="5" t="s">
        <v>603</v>
      </c>
      <c r="U44" s="5">
        <v>1.00773718E8</v>
      </c>
      <c r="V44" s="9"/>
      <c r="W44" s="8"/>
      <c r="X44" s="5">
        <v>1.5141294003E10</v>
      </c>
      <c r="Y44" s="5">
        <v>1060064.0</v>
      </c>
      <c r="Z44" s="8"/>
      <c r="AA44" s="8"/>
      <c r="AB44" s="8"/>
      <c r="AC44" s="9"/>
      <c r="AD44" s="5" t="s">
        <v>298</v>
      </c>
      <c r="AE44" s="9"/>
      <c r="AF44" s="7"/>
      <c r="AG44" s="9"/>
      <c r="AH44" s="8"/>
      <c r="AI44" s="8"/>
      <c r="AJ44" s="5" t="s">
        <v>90</v>
      </c>
      <c r="AK44" s="5" t="s">
        <v>91</v>
      </c>
      <c r="AL44" s="5" t="s">
        <v>188</v>
      </c>
      <c r="AM44" s="10">
        <v>0.5416666666666666</v>
      </c>
      <c r="AN44" s="10">
        <v>0.9791666666666666</v>
      </c>
      <c r="AO44" s="8"/>
      <c r="AP44" s="8"/>
      <c r="AQ44" s="5" t="s">
        <v>604</v>
      </c>
      <c r="AR44" s="5" t="s">
        <v>605</v>
      </c>
      <c r="AS44" s="9"/>
      <c r="AT44" s="9"/>
      <c r="AU44" s="8"/>
      <c r="AV44" s="8"/>
      <c r="AW44" s="8"/>
      <c r="AX44" s="8"/>
      <c r="AY44" s="5" t="s">
        <v>606</v>
      </c>
      <c r="AZ44" s="8"/>
      <c r="BA44" s="5">
        <v>550468.0</v>
      </c>
      <c r="BB44" s="5" t="s">
        <v>97</v>
      </c>
      <c r="BC44" s="5" t="s">
        <v>97</v>
      </c>
      <c r="BD44" s="5" t="s">
        <v>97</v>
      </c>
      <c r="BE44" s="5" t="s">
        <v>97</v>
      </c>
      <c r="BF44" s="5" t="s">
        <v>97</v>
      </c>
      <c r="BG44" s="5" t="s">
        <v>97</v>
      </c>
      <c r="BH44" s="5" t="s">
        <v>97</v>
      </c>
      <c r="BI44" s="9"/>
      <c r="BJ44" s="5" t="s">
        <v>176</v>
      </c>
      <c r="BK44" s="8"/>
      <c r="BL44" s="6">
        <v>46051.0</v>
      </c>
      <c r="BM44" s="6">
        <v>46090.0</v>
      </c>
      <c r="BN44" s="5" t="s">
        <v>120</v>
      </c>
      <c r="BO44" s="7"/>
      <c r="BP44" s="7"/>
      <c r="BQ44" s="9"/>
      <c r="BR44" s="7"/>
      <c r="BS44" s="7"/>
      <c r="BT44" s="9"/>
      <c r="BU44" s="5" t="s">
        <v>99</v>
      </c>
      <c r="BV44" s="5" t="s">
        <v>100</v>
      </c>
      <c r="BW44" s="23">
        <v>35.0</v>
      </c>
      <c r="BX44" s="5" t="s">
        <v>101</v>
      </c>
      <c r="BY44" s="6">
        <v>46030.0</v>
      </c>
      <c r="BZ44" s="5" t="s">
        <v>102</v>
      </c>
      <c r="CA44" s="11" t="s">
        <v>103</v>
      </c>
    </row>
    <row r="45">
      <c r="A45" s="12">
        <v>148.0</v>
      </c>
      <c r="B45" s="13" t="s">
        <v>607</v>
      </c>
      <c r="C45" s="13" t="s">
        <v>608</v>
      </c>
      <c r="D45" s="13">
        <v>956515.0</v>
      </c>
      <c r="E45" s="13" t="s">
        <v>81</v>
      </c>
      <c r="F45" s="14">
        <v>43240.0</v>
      </c>
      <c r="G45" s="14">
        <v>43136.0</v>
      </c>
      <c r="H45" s="13" t="s">
        <v>106</v>
      </c>
      <c r="I45" s="13" t="s">
        <v>83</v>
      </c>
      <c r="J45" s="13" t="s">
        <v>194</v>
      </c>
      <c r="K45" s="13">
        <v>4.0</v>
      </c>
      <c r="L45" s="13" t="s">
        <v>609</v>
      </c>
      <c r="M45" s="13" t="s">
        <v>181</v>
      </c>
      <c r="N45" s="13" t="s">
        <v>87</v>
      </c>
      <c r="O45" s="13" t="s">
        <v>610</v>
      </c>
      <c r="P45" s="16"/>
      <c r="Q45" s="16"/>
      <c r="R45" s="13" t="s">
        <v>611</v>
      </c>
      <c r="S45" s="13" t="s">
        <v>612</v>
      </c>
      <c r="T45" s="13" t="s">
        <v>613</v>
      </c>
      <c r="U45" s="13">
        <v>1.00956515E8</v>
      </c>
      <c r="V45" s="13" t="s">
        <v>614</v>
      </c>
      <c r="W45" s="16"/>
      <c r="X45" s="13">
        <v>1.6131293069E10</v>
      </c>
      <c r="Y45" s="13">
        <v>1062106.0</v>
      </c>
      <c r="Z45" s="13" t="s">
        <v>614</v>
      </c>
      <c r="AA45" s="13" t="s">
        <v>12</v>
      </c>
      <c r="AB45" s="16"/>
      <c r="AC45" s="13" t="s">
        <v>615</v>
      </c>
      <c r="AD45" s="13" t="s">
        <v>616</v>
      </c>
      <c r="AE45" s="17"/>
      <c r="AF45" s="14">
        <v>43287.0</v>
      </c>
      <c r="AG45" s="13">
        <v>26343.0</v>
      </c>
      <c r="AH45" s="16"/>
      <c r="AI45" s="16"/>
      <c r="AJ45" s="13" t="s">
        <v>90</v>
      </c>
      <c r="AK45" s="13" t="s">
        <v>91</v>
      </c>
      <c r="AL45" s="13" t="s">
        <v>188</v>
      </c>
      <c r="AM45" s="20">
        <v>0.2708333333333333</v>
      </c>
      <c r="AN45" s="20">
        <v>0.6875</v>
      </c>
      <c r="AO45" s="16"/>
      <c r="AP45" s="16"/>
      <c r="AQ45" s="13" t="s">
        <v>617</v>
      </c>
      <c r="AR45" s="13" t="s">
        <v>618</v>
      </c>
      <c r="AS45" s="13" t="s">
        <v>619</v>
      </c>
      <c r="AT45" s="13" t="s">
        <v>620</v>
      </c>
      <c r="AU45" s="16"/>
      <c r="AV45" s="16"/>
      <c r="AW45" s="16"/>
      <c r="AX45" s="16"/>
      <c r="AY45" s="13" t="s">
        <v>621</v>
      </c>
      <c r="AZ45" s="16"/>
      <c r="BA45" s="17"/>
      <c r="BB45" s="13" t="s">
        <v>97</v>
      </c>
      <c r="BC45" s="13" t="s">
        <v>97</v>
      </c>
      <c r="BD45" s="13" t="s">
        <v>97</v>
      </c>
      <c r="BE45" s="13" t="s">
        <v>97</v>
      </c>
      <c r="BF45" s="13" t="s">
        <v>97</v>
      </c>
      <c r="BG45" s="13" t="s">
        <v>97</v>
      </c>
      <c r="BH45" s="13" t="s">
        <v>97</v>
      </c>
      <c r="BI45" s="16"/>
      <c r="BJ45" s="13" t="s">
        <v>98</v>
      </c>
      <c r="BK45" s="16"/>
      <c r="BL45" s="14">
        <v>43136.0</v>
      </c>
      <c r="BM45" s="14">
        <v>43218.0</v>
      </c>
      <c r="BN45" s="13" t="s">
        <v>120</v>
      </c>
      <c r="BO45" s="14">
        <v>43243.0</v>
      </c>
      <c r="BP45" s="14">
        <v>43277.0</v>
      </c>
      <c r="BQ45" s="13" t="s">
        <v>120</v>
      </c>
      <c r="BR45" s="14">
        <v>43244.0</v>
      </c>
      <c r="BS45" s="14">
        <v>43277.0</v>
      </c>
      <c r="BT45" s="13" t="s">
        <v>120</v>
      </c>
      <c r="BU45" s="13" t="s">
        <v>99</v>
      </c>
      <c r="BV45" s="13" t="s">
        <v>121</v>
      </c>
      <c r="BW45" s="21">
        <v>35.0</v>
      </c>
      <c r="BX45" s="13" t="s">
        <v>101</v>
      </c>
      <c r="BY45" s="14">
        <v>43218.0</v>
      </c>
      <c r="BZ45" s="13" t="s">
        <v>102</v>
      </c>
      <c r="CA45" s="22" t="s">
        <v>103</v>
      </c>
    </row>
    <row r="46">
      <c r="A46" s="4">
        <v>149.0</v>
      </c>
      <c r="B46" s="5" t="s">
        <v>622</v>
      </c>
      <c r="C46" s="5" t="s">
        <v>623</v>
      </c>
      <c r="D46" s="5">
        <v>980256.0</v>
      </c>
      <c r="E46" s="5" t="s">
        <v>81</v>
      </c>
      <c r="F46" s="6">
        <v>44578.0</v>
      </c>
      <c r="G46" s="7"/>
      <c r="H46" s="5" t="s">
        <v>106</v>
      </c>
      <c r="I46" s="5" t="s">
        <v>624</v>
      </c>
      <c r="J46" s="5" t="s">
        <v>194</v>
      </c>
      <c r="K46" s="5">
        <v>4.0</v>
      </c>
      <c r="L46" s="5" t="s">
        <v>625</v>
      </c>
      <c r="M46" s="5" t="s">
        <v>292</v>
      </c>
      <c r="N46" s="5" t="s">
        <v>126</v>
      </c>
      <c r="O46" s="5">
        <v>2.503018808E9</v>
      </c>
      <c r="P46" s="9"/>
      <c r="Q46" s="8"/>
      <c r="R46" s="5" t="s">
        <v>626</v>
      </c>
      <c r="S46" s="5" t="s">
        <v>627</v>
      </c>
      <c r="T46" s="5" t="s">
        <v>628</v>
      </c>
      <c r="U46" s="5">
        <v>1.00980256E8</v>
      </c>
      <c r="V46" s="5" t="s">
        <v>629</v>
      </c>
      <c r="W46" s="8"/>
      <c r="X46" s="5">
        <v>1.6041295005E10</v>
      </c>
      <c r="Y46" s="5">
        <v>1067381.0</v>
      </c>
      <c r="Z46" s="9"/>
      <c r="AA46" s="9"/>
      <c r="AB46" s="8"/>
      <c r="AC46" s="9"/>
      <c r="AD46" s="5" t="s">
        <v>630</v>
      </c>
      <c r="AE46" s="9"/>
      <c r="AF46" s="6">
        <v>45371.0</v>
      </c>
      <c r="AG46" s="5">
        <v>969509.0</v>
      </c>
      <c r="AH46" s="8"/>
      <c r="AI46" s="8"/>
      <c r="AJ46" s="5" t="s">
        <v>90</v>
      </c>
      <c r="AK46" s="5" t="s">
        <v>91</v>
      </c>
      <c r="AL46" s="5" t="s">
        <v>92</v>
      </c>
      <c r="AM46" s="10">
        <v>0.375</v>
      </c>
      <c r="AN46" s="10">
        <v>0.8125</v>
      </c>
      <c r="AO46" s="8"/>
      <c r="AP46" s="8"/>
      <c r="AQ46" s="5" t="s">
        <v>631</v>
      </c>
      <c r="AR46" s="5" t="s">
        <v>632</v>
      </c>
      <c r="AS46" s="5" t="s">
        <v>633</v>
      </c>
      <c r="AT46" s="5">
        <v>2.506175168E9</v>
      </c>
      <c r="AU46" s="5" t="s">
        <v>424</v>
      </c>
      <c r="AV46" s="9"/>
      <c r="AW46" s="9"/>
      <c r="AX46" s="9"/>
      <c r="AY46" s="5" t="s">
        <v>634</v>
      </c>
      <c r="AZ46" s="8"/>
      <c r="BA46" s="5" t="s">
        <v>150</v>
      </c>
      <c r="BB46" s="5" t="s">
        <v>97</v>
      </c>
      <c r="BC46" s="5" t="s">
        <v>97</v>
      </c>
      <c r="BD46" s="5" t="s">
        <v>97</v>
      </c>
      <c r="BE46" s="5" t="s">
        <v>97</v>
      </c>
      <c r="BF46" s="5" t="s">
        <v>97</v>
      </c>
      <c r="BG46" s="5" t="s">
        <v>97</v>
      </c>
      <c r="BH46" s="5" t="s">
        <v>97</v>
      </c>
      <c r="BI46" s="9"/>
      <c r="BJ46" s="5" t="s">
        <v>98</v>
      </c>
      <c r="BK46" s="8"/>
      <c r="BL46" s="6">
        <v>44706.0</v>
      </c>
      <c r="BM46" s="6">
        <v>44804.0</v>
      </c>
      <c r="BN46" s="5" t="s">
        <v>120</v>
      </c>
      <c r="BO46" s="6">
        <v>45275.0</v>
      </c>
      <c r="BP46" s="6">
        <v>45751.0</v>
      </c>
      <c r="BQ46" s="5" t="s">
        <v>120</v>
      </c>
      <c r="BR46" s="6">
        <v>45846.0</v>
      </c>
      <c r="BS46" s="6">
        <v>45936.0</v>
      </c>
      <c r="BT46" s="5" t="s">
        <v>120</v>
      </c>
      <c r="BU46" s="5" t="s">
        <v>99</v>
      </c>
      <c r="BV46" s="5" t="s">
        <v>121</v>
      </c>
      <c r="BW46" s="23">
        <v>35.0</v>
      </c>
      <c r="BX46" s="5" t="s">
        <v>101</v>
      </c>
      <c r="BY46" s="6">
        <v>44594.0</v>
      </c>
      <c r="BZ46" s="5" t="s">
        <v>102</v>
      </c>
      <c r="CA46" s="11" t="s">
        <v>103</v>
      </c>
    </row>
    <row r="47">
      <c r="A47" s="12">
        <v>150.0</v>
      </c>
      <c r="B47" s="13" t="s">
        <v>635</v>
      </c>
      <c r="C47" s="13" t="s">
        <v>636</v>
      </c>
      <c r="D47" s="13">
        <v>955723.0</v>
      </c>
      <c r="E47" s="13" t="s">
        <v>81</v>
      </c>
      <c r="F47" s="14">
        <v>43170.0</v>
      </c>
      <c r="G47" s="14">
        <v>43045.0</v>
      </c>
      <c r="H47" s="13" t="s">
        <v>106</v>
      </c>
      <c r="I47" s="13" t="s">
        <v>83</v>
      </c>
      <c r="J47" s="13" t="s">
        <v>84</v>
      </c>
      <c r="K47" s="13">
        <v>4.0</v>
      </c>
      <c r="L47" s="13" t="s">
        <v>637</v>
      </c>
      <c r="M47" s="13" t="s">
        <v>181</v>
      </c>
      <c r="N47" s="13" t="s">
        <v>87</v>
      </c>
      <c r="O47" s="13" t="s">
        <v>638</v>
      </c>
      <c r="P47" s="16"/>
      <c r="Q47" s="16"/>
      <c r="R47" s="13" t="s">
        <v>639</v>
      </c>
      <c r="S47" s="13" t="s">
        <v>640</v>
      </c>
      <c r="T47" s="13" t="s">
        <v>641</v>
      </c>
      <c r="U47" s="13">
        <v>1.00955723E8</v>
      </c>
      <c r="V47" s="13" t="s">
        <v>642</v>
      </c>
      <c r="W47" s="16"/>
      <c r="X47" s="13">
        <v>1.6131293017E10</v>
      </c>
      <c r="Y47" s="13">
        <v>1062322.0</v>
      </c>
      <c r="Z47" s="17"/>
      <c r="AA47" s="17"/>
      <c r="AB47" s="17"/>
      <c r="AC47" s="17"/>
      <c r="AD47" s="13" t="s">
        <v>643</v>
      </c>
      <c r="AE47" s="18"/>
      <c r="AF47" s="14">
        <v>43256.0</v>
      </c>
      <c r="AG47" s="13">
        <v>26188.0</v>
      </c>
      <c r="AH47" s="15"/>
      <c r="AI47" s="17"/>
      <c r="AJ47" s="13" t="s">
        <v>90</v>
      </c>
      <c r="AK47" s="13" t="s">
        <v>91</v>
      </c>
      <c r="AL47" s="13" t="s">
        <v>188</v>
      </c>
      <c r="AM47" s="20">
        <v>0.25</v>
      </c>
      <c r="AN47" s="20">
        <v>0.6666666666666666</v>
      </c>
      <c r="AO47" s="16"/>
      <c r="AP47" s="16"/>
      <c r="AQ47" s="13" t="s">
        <v>644</v>
      </c>
      <c r="AR47" s="13" t="s">
        <v>645</v>
      </c>
      <c r="AS47" s="16"/>
      <c r="AT47" s="16"/>
      <c r="AU47" s="16"/>
      <c r="AV47" s="16"/>
      <c r="AW47" s="16"/>
      <c r="AX47" s="16"/>
      <c r="AY47" s="13" t="s">
        <v>646</v>
      </c>
      <c r="AZ47" s="16"/>
      <c r="BA47" s="17"/>
      <c r="BB47" s="13" t="s">
        <v>97</v>
      </c>
      <c r="BC47" s="13" t="s">
        <v>97</v>
      </c>
      <c r="BD47" s="13" t="s">
        <v>97</v>
      </c>
      <c r="BE47" s="13" t="s">
        <v>97</v>
      </c>
      <c r="BF47" s="13" t="s">
        <v>97</v>
      </c>
      <c r="BG47" s="13" t="s">
        <v>97</v>
      </c>
      <c r="BH47" s="13" t="s">
        <v>97</v>
      </c>
      <c r="BI47" s="17"/>
      <c r="BJ47" s="13" t="s">
        <v>98</v>
      </c>
      <c r="BK47" s="16"/>
      <c r="BL47" s="14">
        <v>43045.0</v>
      </c>
      <c r="BM47" s="14">
        <v>43137.0</v>
      </c>
      <c r="BN47" s="13" t="s">
        <v>120</v>
      </c>
      <c r="BO47" s="14">
        <v>43173.0</v>
      </c>
      <c r="BP47" s="14">
        <v>43229.0</v>
      </c>
      <c r="BQ47" s="13" t="s">
        <v>120</v>
      </c>
      <c r="BR47" s="14">
        <v>44278.0</v>
      </c>
      <c r="BS47" s="14">
        <v>44305.0</v>
      </c>
      <c r="BT47" s="13" t="s">
        <v>120</v>
      </c>
      <c r="BU47" s="13" t="s">
        <v>99</v>
      </c>
      <c r="BV47" s="13" t="s">
        <v>121</v>
      </c>
      <c r="BW47" s="21">
        <v>35.0</v>
      </c>
      <c r="BX47" s="13" t="s">
        <v>101</v>
      </c>
      <c r="BY47" s="14">
        <v>43137.0</v>
      </c>
      <c r="BZ47" s="13" t="s">
        <v>102</v>
      </c>
      <c r="CA47" s="22" t="s">
        <v>103</v>
      </c>
    </row>
    <row r="48">
      <c r="A48" s="4">
        <v>151.0</v>
      </c>
      <c r="B48" s="5" t="s">
        <v>647</v>
      </c>
      <c r="C48" s="5" t="s">
        <v>648</v>
      </c>
      <c r="D48" s="5">
        <v>956362.0</v>
      </c>
      <c r="E48" s="5" t="s">
        <v>81</v>
      </c>
      <c r="F48" s="6">
        <v>43352.0</v>
      </c>
      <c r="G48" s="6">
        <v>43227.0</v>
      </c>
      <c r="H48" s="5" t="s">
        <v>82</v>
      </c>
      <c r="I48" s="5" t="s">
        <v>240</v>
      </c>
      <c r="J48" s="5" t="s">
        <v>155</v>
      </c>
      <c r="K48" s="5">
        <v>2.0</v>
      </c>
      <c r="L48" s="5" t="s">
        <v>649</v>
      </c>
      <c r="M48" s="5" t="s">
        <v>292</v>
      </c>
      <c r="N48" s="5" t="s">
        <v>126</v>
      </c>
      <c r="O48" s="5" t="s">
        <v>650</v>
      </c>
      <c r="P48" s="8"/>
      <c r="Q48" s="8"/>
      <c r="R48" s="5" t="s">
        <v>651</v>
      </c>
      <c r="S48" s="5" t="s">
        <v>652</v>
      </c>
      <c r="T48" s="5" t="s">
        <v>653</v>
      </c>
      <c r="U48" s="5">
        <v>1.00956362E8</v>
      </c>
      <c r="V48" s="5" t="s">
        <v>648</v>
      </c>
      <c r="W48" s="8"/>
      <c r="X48" s="5">
        <v>1.4031292008E10</v>
      </c>
      <c r="Y48" s="5">
        <v>1020178.0</v>
      </c>
      <c r="Z48" s="9"/>
      <c r="AA48" s="9"/>
      <c r="AB48" s="8"/>
      <c r="AC48" s="9"/>
      <c r="AD48" s="5" t="s">
        <v>329</v>
      </c>
      <c r="AE48" s="9"/>
      <c r="AF48" s="6">
        <v>43403.0</v>
      </c>
      <c r="AG48" s="5">
        <v>27063.0</v>
      </c>
      <c r="AH48" s="8"/>
      <c r="AI48" s="8"/>
      <c r="AJ48" s="5" t="s">
        <v>90</v>
      </c>
      <c r="AK48" s="5" t="s">
        <v>91</v>
      </c>
      <c r="AL48" s="24">
        <v>46115.0</v>
      </c>
      <c r="AM48" s="10">
        <v>0.4583333333333333</v>
      </c>
      <c r="AN48" s="10">
        <v>0.8333333333333334</v>
      </c>
      <c r="AO48" s="8"/>
      <c r="AP48" s="8"/>
      <c r="AQ48" s="5" t="s">
        <v>654</v>
      </c>
      <c r="AR48" s="5" t="s">
        <v>655</v>
      </c>
      <c r="AS48" s="9"/>
      <c r="AT48" s="9"/>
      <c r="AU48" s="9"/>
      <c r="AV48" s="8"/>
      <c r="AW48" s="8"/>
      <c r="AX48" s="8"/>
      <c r="AY48" s="5" t="s">
        <v>656</v>
      </c>
      <c r="AZ48" s="8"/>
      <c r="BA48" s="5">
        <v>332267.0</v>
      </c>
      <c r="BB48" s="5" t="s">
        <v>118</v>
      </c>
      <c r="BC48" s="5" t="s">
        <v>97</v>
      </c>
      <c r="BD48" s="5" t="s">
        <v>97</v>
      </c>
      <c r="BE48" s="5" t="s">
        <v>97</v>
      </c>
      <c r="BF48" s="5" t="s">
        <v>118</v>
      </c>
      <c r="BG48" s="5" t="s">
        <v>118</v>
      </c>
      <c r="BH48" s="5" t="s">
        <v>97</v>
      </c>
      <c r="BI48" s="9"/>
      <c r="BJ48" s="5" t="s">
        <v>98</v>
      </c>
      <c r="BK48" s="8"/>
      <c r="BL48" s="6">
        <v>43319.0</v>
      </c>
      <c r="BM48" s="6">
        <v>43395.0</v>
      </c>
      <c r="BN48" s="5" t="s">
        <v>120</v>
      </c>
      <c r="BO48" s="7"/>
      <c r="BP48" s="7"/>
      <c r="BQ48" s="9"/>
      <c r="BR48" s="7"/>
      <c r="BS48" s="7"/>
      <c r="BT48" s="9"/>
      <c r="BU48" s="5" t="s">
        <v>120</v>
      </c>
      <c r="BV48" s="5" t="s">
        <v>121</v>
      </c>
      <c r="BW48" s="23">
        <v>34.0</v>
      </c>
      <c r="BX48" s="5" t="s">
        <v>101</v>
      </c>
      <c r="BY48" s="6">
        <v>43295.0</v>
      </c>
      <c r="BZ48" s="5" t="s">
        <v>102</v>
      </c>
      <c r="CA48" s="11" t="s">
        <v>103</v>
      </c>
    </row>
    <row r="49">
      <c r="A49" s="12">
        <v>153.0</v>
      </c>
      <c r="B49" s="13" t="s">
        <v>657</v>
      </c>
      <c r="C49" s="13" t="s">
        <v>658</v>
      </c>
      <c r="D49" s="13">
        <v>956381.0</v>
      </c>
      <c r="E49" s="13" t="s">
        <v>81</v>
      </c>
      <c r="F49" s="14">
        <v>43192.0</v>
      </c>
      <c r="G49" s="15"/>
      <c r="H49" s="13" t="s">
        <v>106</v>
      </c>
      <c r="I49" s="13" t="s">
        <v>83</v>
      </c>
      <c r="J49" s="13" t="s">
        <v>84</v>
      </c>
      <c r="K49" s="13">
        <v>4.0</v>
      </c>
      <c r="L49" s="13" t="s">
        <v>659</v>
      </c>
      <c r="M49" s="13" t="s">
        <v>167</v>
      </c>
      <c r="N49" s="13" t="s">
        <v>87</v>
      </c>
      <c r="O49" s="13" t="s">
        <v>660</v>
      </c>
      <c r="P49" s="16"/>
      <c r="Q49" s="16"/>
      <c r="R49" s="13" t="s">
        <v>661</v>
      </c>
      <c r="S49" s="13" t="s">
        <v>661</v>
      </c>
      <c r="T49" s="13" t="s">
        <v>662</v>
      </c>
      <c r="U49" s="13">
        <v>1.00956381E8</v>
      </c>
      <c r="V49" s="13" t="s">
        <v>663</v>
      </c>
      <c r="W49" s="16"/>
      <c r="X49" s="13">
        <v>1.613129306E10</v>
      </c>
      <c r="Y49" s="13">
        <v>1062242.0</v>
      </c>
      <c r="Z49" s="13" t="s">
        <v>664</v>
      </c>
      <c r="AA49" s="13" t="s">
        <v>12</v>
      </c>
      <c r="AB49" s="17"/>
      <c r="AC49" s="13" t="s">
        <v>665</v>
      </c>
      <c r="AD49" s="13" t="s">
        <v>666</v>
      </c>
      <c r="AE49" s="18"/>
      <c r="AF49" s="14">
        <v>45186.0</v>
      </c>
      <c r="AG49" s="13">
        <v>968603.0</v>
      </c>
      <c r="AH49" s="16"/>
      <c r="AI49" s="16"/>
      <c r="AJ49" s="13" t="s">
        <v>90</v>
      </c>
      <c r="AK49" s="13" t="s">
        <v>91</v>
      </c>
      <c r="AL49" s="13" t="s">
        <v>188</v>
      </c>
      <c r="AM49" s="20">
        <v>0.25</v>
      </c>
      <c r="AN49" s="20">
        <v>0.6666666666666666</v>
      </c>
      <c r="AO49" s="16"/>
      <c r="AP49" s="16"/>
      <c r="AQ49" s="13" t="s">
        <v>667</v>
      </c>
      <c r="AR49" s="13" t="s">
        <v>668</v>
      </c>
      <c r="AS49" s="13" t="s">
        <v>669</v>
      </c>
      <c r="AT49" s="13" t="s">
        <v>670</v>
      </c>
      <c r="AU49" s="17"/>
      <c r="AV49" s="13" t="s">
        <v>671</v>
      </c>
      <c r="AW49" s="13" t="s">
        <v>672</v>
      </c>
      <c r="AX49" s="13" t="s">
        <v>673</v>
      </c>
      <c r="AY49" s="13" t="s">
        <v>674</v>
      </c>
      <c r="AZ49" s="16"/>
      <c r="BA49" s="17"/>
      <c r="BB49" s="13" t="s">
        <v>97</v>
      </c>
      <c r="BC49" s="13" t="s">
        <v>97</v>
      </c>
      <c r="BD49" s="13" t="s">
        <v>97</v>
      </c>
      <c r="BE49" s="13" t="s">
        <v>97</v>
      </c>
      <c r="BF49" s="13" t="s">
        <v>97</v>
      </c>
      <c r="BG49" s="13" t="s">
        <v>97</v>
      </c>
      <c r="BH49" s="13" t="s">
        <v>97</v>
      </c>
      <c r="BI49" s="17"/>
      <c r="BJ49" s="13" t="s">
        <v>98</v>
      </c>
      <c r="BK49" s="16"/>
      <c r="BL49" s="14">
        <v>43298.0</v>
      </c>
      <c r="BM49" s="14">
        <v>43413.0</v>
      </c>
      <c r="BN49" s="13" t="s">
        <v>120</v>
      </c>
      <c r="BO49" s="14">
        <v>44250.0</v>
      </c>
      <c r="BP49" s="14">
        <v>45413.0</v>
      </c>
      <c r="BQ49" s="13" t="s">
        <v>120</v>
      </c>
      <c r="BR49" s="14">
        <v>44873.0</v>
      </c>
      <c r="BS49" s="14">
        <v>45413.0</v>
      </c>
      <c r="BT49" s="13" t="s">
        <v>120</v>
      </c>
      <c r="BU49" s="13" t="s">
        <v>99</v>
      </c>
      <c r="BV49" s="13" t="s">
        <v>121</v>
      </c>
      <c r="BW49" s="21">
        <v>35.0</v>
      </c>
      <c r="BX49" s="13" t="s">
        <v>101</v>
      </c>
      <c r="BY49" s="14">
        <v>43264.0</v>
      </c>
      <c r="BZ49" s="13" t="s">
        <v>102</v>
      </c>
      <c r="CA49" s="22" t="s">
        <v>103</v>
      </c>
    </row>
    <row r="50">
      <c r="A50" s="4">
        <v>639.0</v>
      </c>
      <c r="B50" s="5" t="s">
        <v>675</v>
      </c>
      <c r="C50" s="5" t="s">
        <v>676</v>
      </c>
      <c r="D50" s="5">
        <v>6001663.0</v>
      </c>
      <c r="E50" s="5" t="s">
        <v>81</v>
      </c>
      <c r="F50" s="6">
        <v>46146.0</v>
      </c>
      <c r="G50" s="7"/>
      <c r="H50" s="5" t="s">
        <v>239</v>
      </c>
      <c r="I50" s="5" t="s">
        <v>240</v>
      </c>
      <c r="J50" s="5" t="s">
        <v>155</v>
      </c>
      <c r="K50" s="5" t="s">
        <v>241</v>
      </c>
      <c r="L50" s="5" t="s">
        <v>677</v>
      </c>
      <c r="M50" s="5" t="s">
        <v>167</v>
      </c>
      <c r="N50" s="5" t="s">
        <v>87</v>
      </c>
      <c r="O50" s="9"/>
      <c r="P50" s="8"/>
      <c r="Q50" s="8"/>
      <c r="R50" s="9"/>
      <c r="S50" s="9"/>
      <c r="T50" s="5" t="s">
        <v>678</v>
      </c>
      <c r="U50" s="9"/>
      <c r="V50" s="5">
        <v>1060071.0</v>
      </c>
      <c r="W50" s="8"/>
      <c r="X50" s="5">
        <v>1.5141294026E10</v>
      </c>
      <c r="Y50" s="9"/>
      <c r="Z50" s="9"/>
      <c r="AA50" s="9"/>
      <c r="AB50" s="8"/>
      <c r="AC50" s="8"/>
      <c r="AD50" s="9"/>
      <c r="AE50" s="9"/>
      <c r="AF50" s="7"/>
      <c r="AG50" s="9"/>
      <c r="AH50" s="8"/>
      <c r="AI50" s="8"/>
      <c r="AJ50" s="5" t="s">
        <v>90</v>
      </c>
      <c r="AK50" s="5" t="s">
        <v>244</v>
      </c>
      <c r="AL50" s="9"/>
      <c r="AM50" s="27"/>
      <c r="AN50" s="27"/>
      <c r="AO50" s="8"/>
      <c r="AP50" s="8"/>
      <c r="AQ50" s="5" t="s">
        <v>679</v>
      </c>
      <c r="AR50" s="5" t="s">
        <v>680</v>
      </c>
      <c r="AS50" s="5" t="s">
        <v>681</v>
      </c>
      <c r="AT50" s="9"/>
      <c r="AU50" s="9"/>
      <c r="AV50" s="8"/>
      <c r="AW50" s="8"/>
      <c r="AX50" s="8"/>
      <c r="AY50" s="5" t="s">
        <v>675</v>
      </c>
      <c r="AZ50" s="8"/>
      <c r="BA50" s="5" t="s">
        <v>96</v>
      </c>
      <c r="BB50" s="5" t="s">
        <v>118</v>
      </c>
      <c r="BC50" s="5" t="s">
        <v>118</v>
      </c>
      <c r="BD50" s="5" t="s">
        <v>118</v>
      </c>
      <c r="BE50" s="5" t="s">
        <v>118</v>
      </c>
      <c r="BF50" s="5" t="s">
        <v>118</v>
      </c>
      <c r="BG50" s="9"/>
      <c r="BH50" s="9"/>
      <c r="BI50" s="9"/>
      <c r="BJ50" s="9"/>
      <c r="BK50" s="8"/>
      <c r="BL50" s="7"/>
      <c r="BM50" s="7"/>
      <c r="BN50" s="9"/>
      <c r="BO50" s="7"/>
      <c r="BP50" s="7"/>
      <c r="BQ50" s="9"/>
      <c r="BR50" s="7"/>
      <c r="BS50" s="7"/>
      <c r="BT50" s="9"/>
      <c r="BU50" s="5" t="s">
        <v>120</v>
      </c>
      <c r="BV50" s="5" t="s">
        <v>308</v>
      </c>
      <c r="BW50" s="23">
        <v>35.0</v>
      </c>
      <c r="BX50" s="5" t="s">
        <v>101</v>
      </c>
      <c r="BY50" s="7"/>
      <c r="BZ50" s="5" t="s">
        <v>102</v>
      </c>
      <c r="CA50" s="11" t="s">
        <v>103</v>
      </c>
    </row>
    <row r="51">
      <c r="A51" s="12">
        <v>157.0</v>
      </c>
      <c r="B51" s="13" t="s">
        <v>682</v>
      </c>
      <c r="C51" s="13" t="s">
        <v>683</v>
      </c>
      <c r="D51" s="13">
        <v>955709.0</v>
      </c>
      <c r="E51" s="13" t="s">
        <v>81</v>
      </c>
      <c r="F51" s="14">
        <v>43227.0</v>
      </c>
      <c r="G51" s="15"/>
      <c r="H51" s="13" t="s">
        <v>106</v>
      </c>
      <c r="I51" s="13" t="s">
        <v>107</v>
      </c>
      <c r="J51" s="13" t="s">
        <v>194</v>
      </c>
      <c r="K51" s="13">
        <v>4.0</v>
      </c>
      <c r="L51" s="13" t="s">
        <v>684</v>
      </c>
      <c r="M51" s="13" t="s">
        <v>142</v>
      </c>
      <c r="N51" s="13" t="s">
        <v>126</v>
      </c>
      <c r="O51" s="13" t="s">
        <v>685</v>
      </c>
      <c r="P51" s="16"/>
      <c r="Q51" s="16"/>
      <c r="R51" s="13" t="s">
        <v>686</v>
      </c>
      <c r="S51" s="13" t="s">
        <v>687</v>
      </c>
      <c r="T51" s="13" t="s">
        <v>688</v>
      </c>
      <c r="U51" s="13">
        <v>1.00955709E8</v>
      </c>
      <c r="V51" s="13" t="s">
        <v>689</v>
      </c>
      <c r="W51" s="16"/>
      <c r="X51" s="13">
        <v>1.5141294186E10</v>
      </c>
      <c r="Y51" s="13">
        <v>1066930.0</v>
      </c>
      <c r="Z51" s="13" t="s">
        <v>690</v>
      </c>
      <c r="AA51" s="13" t="s">
        <v>12</v>
      </c>
      <c r="AB51" s="16"/>
      <c r="AC51" s="13" t="s">
        <v>691</v>
      </c>
      <c r="AD51" s="13" t="s">
        <v>692</v>
      </c>
      <c r="AE51" s="18"/>
      <c r="AF51" s="14">
        <v>45183.0</v>
      </c>
      <c r="AG51" s="13">
        <v>968600.0</v>
      </c>
      <c r="AH51" s="14">
        <v>46099.0</v>
      </c>
      <c r="AI51" s="13">
        <v>27130.0</v>
      </c>
      <c r="AJ51" s="13" t="s">
        <v>90</v>
      </c>
      <c r="AK51" s="13" t="s">
        <v>91</v>
      </c>
      <c r="AL51" s="13" t="s">
        <v>188</v>
      </c>
      <c r="AM51" s="20">
        <v>0.8333333333333334</v>
      </c>
      <c r="AN51" s="20">
        <v>0.25</v>
      </c>
      <c r="AO51" s="16"/>
      <c r="AP51" s="16"/>
      <c r="AQ51" s="13" t="s">
        <v>693</v>
      </c>
      <c r="AR51" s="13" t="s">
        <v>694</v>
      </c>
      <c r="AS51" s="17"/>
      <c r="AT51" s="17"/>
      <c r="AU51" s="16"/>
      <c r="AV51" s="16"/>
      <c r="AW51" s="16"/>
      <c r="AX51" s="16"/>
      <c r="AY51" s="13" t="s">
        <v>695</v>
      </c>
      <c r="AZ51" s="16"/>
      <c r="BA51" s="13">
        <v>66921.0</v>
      </c>
      <c r="BB51" s="13" t="s">
        <v>97</v>
      </c>
      <c r="BC51" s="13" t="s">
        <v>97</v>
      </c>
      <c r="BD51" s="13" t="s">
        <v>97</v>
      </c>
      <c r="BE51" s="13" t="s">
        <v>97</v>
      </c>
      <c r="BF51" s="13" t="s">
        <v>97</v>
      </c>
      <c r="BG51" s="13" t="s">
        <v>97</v>
      </c>
      <c r="BH51" s="13" t="s">
        <v>97</v>
      </c>
      <c r="BI51" s="17"/>
      <c r="BJ51" s="13" t="s">
        <v>151</v>
      </c>
      <c r="BK51" s="16"/>
      <c r="BL51" s="14">
        <v>43466.0</v>
      </c>
      <c r="BM51" s="14">
        <v>43525.0</v>
      </c>
      <c r="BN51" s="13" t="s">
        <v>120</v>
      </c>
      <c r="BO51" s="14">
        <v>44652.0</v>
      </c>
      <c r="BP51" s="14">
        <v>44713.0</v>
      </c>
      <c r="BQ51" s="13" t="s">
        <v>120</v>
      </c>
      <c r="BR51" s="14">
        <v>44979.0</v>
      </c>
      <c r="BS51" s="14">
        <v>45042.0</v>
      </c>
      <c r="BT51" s="13" t="s">
        <v>120</v>
      </c>
      <c r="BU51" s="13" t="s">
        <v>99</v>
      </c>
      <c r="BV51" s="13" t="s">
        <v>100</v>
      </c>
      <c r="BW51" s="21">
        <v>35.0</v>
      </c>
      <c r="BX51" s="13" t="s">
        <v>101</v>
      </c>
      <c r="BY51" s="14">
        <v>43319.0</v>
      </c>
      <c r="BZ51" s="13" t="s">
        <v>102</v>
      </c>
      <c r="CA51" s="22" t="s">
        <v>103</v>
      </c>
    </row>
    <row r="52">
      <c r="A52" s="4">
        <v>644.0</v>
      </c>
      <c r="B52" s="5" t="s">
        <v>696</v>
      </c>
      <c r="C52" s="5" t="s">
        <v>697</v>
      </c>
      <c r="D52" s="5">
        <v>6001710.0</v>
      </c>
      <c r="E52" s="5" t="s">
        <v>81</v>
      </c>
      <c r="F52" s="6">
        <v>46146.0</v>
      </c>
      <c r="G52" s="8"/>
      <c r="H52" s="5" t="s">
        <v>239</v>
      </c>
      <c r="I52" s="5" t="s">
        <v>107</v>
      </c>
      <c r="J52" s="5" t="s">
        <v>84</v>
      </c>
      <c r="K52" s="5" t="s">
        <v>241</v>
      </c>
      <c r="L52" s="5" t="s">
        <v>698</v>
      </c>
      <c r="M52" s="5" t="s">
        <v>167</v>
      </c>
      <c r="N52" s="5" t="s">
        <v>87</v>
      </c>
      <c r="O52" s="5">
        <v>5.145775741E9</v>
      </c>
      <c r="P52" s="8"/>
      <c r="Q52" s="8"/>
      <c r="R52" s="9"/>
      <c r="S52" s="9"/>
      <c r="T52" s="5" t="s">
        <v>699</v>
      </c>
      <c r="U52" s="9"/>
      <c r="V52" s="9"/>
      <c r="W52" s="8"/>
      <c r="X52" s="5">
        <v>1.5141294048E10</v>
      </c>
      <c r="Y52" s="5">
        <v>1060073.0</v>
      </c>
      <c r="Z52" s="9"/>
      <c r="AA52" s="9"/>
      <c r="AB52" s="9"/>
      <c r="AC52" s="8"/>
      <c r="AD52" s="9"/>
      <c r="AE52" s="9"/>
      <c r="AF52" s="7"/>
      <c r="AG52" s="9"/>
      <c r="AH52" s="8"/>
      <c r="AI52" s="8"/>
      <c r="AJ52" s="5" t="s">
        <v>90</v>
      </c>
      <c r="AK52" s="5" t="s">
        <v>244</v>
      </c>
      <c r="AL52" s="28"/>
      <c r="AM52" s="27"/>
      <c r="AN52" s="27"/>
      <c r="AO52" s="8"/>
      <c r="AP52" s="8"/>
      <c r="AQ52" s="5" t="s">
        <v>700</v>
      </c>
      <c r="AR52" s="5" t="s">
        <v>701</v>
      </c>
      <c r="AS52" s="9"/>
      <c r="AT52" s="9"/>
      <c r="AU52" s="9"/>
      <c r="AV52" s="8"/>
      <c r="AW52" s="8"/>
      <c r="AX52" s="8"/>
      <c r="AY52" s="5" t="s">
        <v>696</v>
      </c>
      <c r="AZ52" s="8"/>
      <c r="BA52" s="5" t="s">
        <v>96</v>
      </c>
      <c r="BB52" s="5" t="s">
        <v>118</v>
      </c>
      <c r="BC52" s="5" t="s">
        <v>118</v>
      </c>
      <c r="BD52" s="5" t="s">
        <v>118</v>
      </c>
      <c r="BE52" s="5" t="s">
        <v>118</v>
      </c>
      <c r="BF52" s="5" t="s">
        <v>118</v>
      </c>
      <c r="BG52" s="9"/>
      <c r="BH52" s="9"/>
      <c r="BI52" s="9"/>
      <c r="BJ52" s="9"/>
      <c r="BK52" s="8"/>
      <c r="BL52" s="7"/>
      <c r="BM52" s="7"/>
      <c r="BN52" s="9"/>
      <c r="BO52" s="7"/>
      <c r="BP52" s="7"/>
      <c r="BQ52" s="9"/>
      <c r="BR52" s="7"/>
      <c r="BS52" s="7"/>
      <c r="BT52" s="9"/>
      <c r="BU52" s="5" t="s">
        <v>99</v>
      </c>
      <c r="BV52" s="5" t="s">
        <v>121</v>
      </c>
      <c r="BW52" s="23">
        <v>35.0</v>
      </c>
      <c r="BX52" s="5" t="s">
        <v>101</v>
      </c>
      <c r="BY52" s="7"/>
      <c r="BZ52" s="5" t="s">
        <v>102</v>
      </c>
      <c r="CA52" s="11" t="s">
        <v>103</v>
      </c>
    </row>
    <row r="53">
      <c r="A53" s="12">
        <v>643.0</v>
      </c>
      <c r="B53" s="13" t="s">
        <v>702</v>
      </c>
      <c r="C53" s="13" t="s">
        <v>703</v>
      </c>
      <c r="D53" s="13">
        <v>6001708.0</v>
      </c>
      <c r="E53" s="13" t="s">
        <v>81</v>
      </c>
      <c r="F53" s="14">
        <v>46146.0</v>
      </c>
      <c r="G53" s="16"/>
      <c r="H53" s="13" t="s">
        <v>239</v>
      </c>
      <c r="I53" s="13" t="s">
        <v>107</v>
      </c>
      <c r="J53" s="13" t="s">
        <v>84</v>
      </c>
      <c r="K53" s="13" t="s">
        <v>241</v>
      </c>
      <c r="L53" s="13" t="s">
        <v>704</v>
      </c>
      <c r="M53" s="13" t="s">
        <v>167</v>
      </c>
      <c r="N53" s="13" t="s">
        <v>87</v>
      </c>
      <c r="O53" s="13">
        <v>5.149968286E9</v>
      </c>
      <c r="P53" s="16"/>
      <c r="Q53" s="16"/>
      <c r="R53" s="17"/>
      <c r="S53" s="17"/>
      <c r="T53" s="17"/>
      <c r="U53" s="17"/>
      <c r="V53" s="17"/>
      <c r="W53" s="16"/>
      <c r="X53" s="17"/>
      <c r="Y53" s="17"/>
      <c r="Z53" s="17"/>
      <c r="AA53" s="17"/>
      <c r="AB53" s="16"/>
      <c r="AC53" s="16"/>
      <c r="AD53" s="17"/>
      <c r="AE53" s="17"/>
      <c r="AF53" s="15"/>
      <c r="AG53" s="17"/>
      <c r="AH53" s="16"/>
      <c r="AI53" s="16"/>
      <c r="AJ53" s="13" t="s">
        <v>90</v>
      </c>
      <c r="AK53" s="13" t="s">
        <v>244</v>
      </c>
      <c r="AL53" s="17"/>
      <c r="AM53" s="26"/>
      <c r="AN53" s="26"/>
      <c r="AO53" s="16"/>
      <c r="AP53" s="16"/>
      <c r="AQ53" s="13" t="s">
        <v>705</v>
      </c>
      <c r="AR53" s="13" t="s">
        <v>706</v>
      </c>
      <c r="AS53" s="17"/>
      <c r="AT53" s="17"/>
      <c r="AU53" s="16"/>
      <c r="AV53" s="16"/>
      <c r="AW53" s="16"/>
      <c r="AX53" s="16"/>
      <c r="AY53" s="13" t="s">
        <v>702</v>
      </c>
      <c r="AZ53" s="16"/>
      <c r="BA53" s="13" t="s">
        <v>96</v>
      </c>
      <c r="BB53" s="13" t="s">
        <v>118</v>
      </c>
      <c r="BC53" s="13" t="s">
        <v>118</v>
      </c>
      <c r="BD53" s="13" t="s">
        <v>118</v>
      </c>
      <c r="BE53" s="13" t="s">
        <v>118</v>
      </c>
      <c r="BF53" s="13" t="s">
        <v>118</v>
      </c>
      <c r="BG53" s="17"/>
      <c r="BH53" s="17"/>
      <c r="BI53" s="17"/>
      <c r="BJ53" s="17"/>
      <c r="BK53" s="16"/>
      <c r="BL53" s="15"/>
      <c r="BM53" s="15"/>
      <c r="BN53" s="17"/>
      <c r="BO53" s="15"/>
      <c r="BP53" s="15"/>
      <c r="BQ53" s="17"/>
      <c r="BR53" s="15"/>
      <c r="BS53" s="15"/>
      <c r="BT53" s="17"/>
      <c r="BU53" s="13" t="s">
        <v>99</v>
      </c>
      <c r="BV53" s="13" t="s">
        <v>308</v>
      </c>
      <c r="BW53" s="21">
        <v>35.0</v>
      </c>
      <c r="BX53" s="13" t="s">
        <v>101</v>
      </c>
      <c r="BY53" s="15"/>
      <c r="BZ53" s="13" t="s">
        <v>102</v>
      </c>
      <c r="CA53" s="22" t="s">
        <v>103</v>
      </c>
    </row>
    <row r="54">
      <c r="A54" s="4">
        <v>161.0</v>
      </c>
      <c r="B54" s="5" t="s">
        <v>707</v>
      </c>
      <c r="C54" s="5" t="s">
        <v>708</v>
      </c>
      <c r="D54" s="5">
        <v>955836.0</v>
      </c>
      <c r="E54" s="5" t="s">
        <v>81</v>
      </c>
      <c r="F54" s="6">
        <v>43198.0</v>
      </c>
      <c r="G54" s="6">
        <v>43066.0</v>
      </c>
      <c r="H54" s="5" t="s">
        <v>106</v>
      </c>
      <c r="I54" s="5" t="s">
        <v>107</v>
      </c>
      <c r="J54" s="5" t="s">
        <v>84</v>
      </c>
      <c r="K54" s="5">
        <v>4.0</v>
      </c>
      <c r="L54" s="5" t="s">
        <v>709</v>
      </c>
      <c r="M54" s="5" t="s">
        <v>250</v>
      </c>
      <c r="N54" s="5" t="s">
        <v>87</v>
      </c>
      <c r="O54" s="5" t="s">
        <v>710</v>
      </c>
      <c r="P54" s="8"/>
      <c r="Q54" s="8"/>
      <c r="R54" s="5" t="s">
        <v>711</v>
      </c>
      <c r="S54" s="5" t="s">
        <v>712</v>
      </c>
      <c r="T54" s="5" t="s">
        <v>713</v>
      </c>
      <c r="U54" s="5">
        <v>1.00955836E8</v>
      </c>
      <c r="V54" s="5" t="s">
        <v>714</v>
      </c>
      <c r="W54" s="8"/>
      <c r="X54" s="5">
        <v>1.5141294182E10</v>
      </c>
      <c r="Y54" s="5">
        <v>1066780.0</v>
      </c>
      <c r="Z54" s="5" t="s">
        <v>715</v>
      </c>
      <c r="AA54" s="5" t="s">
        <v>12</v>
      </c>
      <c r="AB54" s="8"/>
      <c r="AC54" s="9"/>
      <c r="AD54" s="5" t="s">
        <v>716</v>
      </c>
      <c r="AE54" s="18"/>
      <c r="AF54" s="6">
        <v>43239.0</v>
      </c>
      <c r="AG54" s="5">
        <v>26018.0</v>
      </c>
      <c r="AH54" s="8"/>
      <c r="AI54" s="8"/>
      <c r="AJ54" s="5" t="s">
        <v>90</v>
      </c>
      <c r="AK54" s="5" t="s">
        <v>91</v>
      </c>
      <c r="AL54" s="5" t="s">
        <v>92</v>
      </c>
      <c r="AM54" s="10">
        <v>0.3333333333333333</v>
      </c>
      <c r="AN54" s="10">
        <v>0.75</v>
      </c>
      <c r="AO54" s="8"/>
      <c r="AP54" s="8"/>
      <c r="AQ54" s="5" t="s">
        <v>717</v>
      </c>
      <c r="AR54" s="5" t="s">
        <v>718</v>
      </c>
      <c r="AS54" s="9"/>
      <c r="AT54" s="9"/>
      <c r="AU54" s="9"/>
      <c r="AV54" s="8"/>
      <c r="AW54" s="8"/>
      <c r="AX54" s="8"/>
      <c r="AY54" s="5" t="s">
        <v>719</v>
      </c>
      <c r="AZ54" s="8"/>
      <c r="BA54" s="5">
        <v>67180.0</v>
      </c>
      <c r="BB54" s="5" t="s">
        <v>97</v>
      </c>
      <c r="BC54" s="5" t="s">
        <v>97</v>
      </c>
      <c r="BD54" s="5" t="s">
        <v>97</v>
      </c>
      <c r="BE54" s="5" t="s">
        <v>97</v>
      </c>
      <c r="BF54" s="5" t="s">
        <v>97</v>
      </c>
      <c r="BG54" s="5" t="s">
        <v>97</v>
      </c>
      <c r="BH54" s="5" t="s">
        <v>97</v>
      </c>
      <c r="BI54" s="8"/>
      <c r="BJ54" s="5" t="s">
        <v>98</v>
      </c>
      <c r="BK54" s="8"/>
      <c r="BL54" s="7"/>
      <c r="BM54" s="7"/>
      <c r="BN54" s="5" t="s">
        <v>120</v>
      </c>
      <c r="BO54" s="6">
        <v>43396.0</v>
      </c>
      <c r="BP54" s="6">
        <v>43488.0</v>
      </c>
      <c r="BQ54" s="5" t="s">
        <v>120</v>
      </c>
      <c r="BR54" s="6">
        <v>43397.0</v>
      </c>
      <c r="BS54" s="6">
        <v>43488.0</v>
      </c>
      <c r="BT54" s="5" t="s">
        <v>120</v>
      </c>
      <c r="BU54" s="5" t="s">
        <v>99</v>
      </c>
      <c r="BV54" s="5" t="s">
        <v>100</v>
      </c>
      <c r="BW54" s="23">
        <v>35.0</v>
      </c>
      <c r="BX54" s="5" t="s">
        <v>101</v>
      </c>
      <c r="BY54" s="7"/>
      <c r="BZ54" s="5" t="s">
        <v>102</v>
      </c>
      <c r="CA54" s="11" t="s">
        <v>103</v>
      </c>
    </row>
    <row r="55">
      <c r="A55" s="12">
        <v>626.0</v>
      </c>
      <c r="B55" s="13" t="s">
        <v>720</v>
      </c>
      <c r="C55" s="13" t="s">
        <v>721</v>
      </c>
      <c r="D55" s="13">
        <v>6001437.0</v>
      </c>
      <c r="E55" s="13" t="s">
        <v>81</v>
      </c>
      <c r="F55" s="14">
        <v>46119.0</v>
      </c>
      <c r="G55" s="16"/>
      <c r="H55" s="13" t="s">
        <v>239</v>
      </c>
      <c r="I55" s="13" t="s">
        <v>240</v>
      </c>
      <c r="J55" s="13" t="s">
        <v>155</v>
      </c>
      <c r="K55" s="13">
        <v>1.0</v>
      </c>
      <c r="L55" s="13" t="s">
        <v>722</v>
      </c>
      <c r="M55" s="13" t="s">
        <v>196</v>
      </c>
      <c r="N55" s="13" t="s">
        <v>126</v>
      </c>
      <c r="O55" s="13">
        <v>5.876648226E9</v>
      </c>
      <c r="P55" s="17"/>
      <c r="Q55" s="16"/>
      <c r="R55" s="17"/>
      <c r="S55" s="13" t="s">
        <v>723</v>
      </c>
      <c r="T55" s="13" t="s">
        <v>724</v>
      </c>
      <c r="U55" s="13">
        <v>1.06001437E8</v>
      </c>
      <c r="V55" s="17"/>
      <c r="W55" s="16"/>
      <c r="X55" s="13">
        <v>1.5141294064E10</v>
      </c>
      <c r="Y55" s="13">
        <v>1060019.0</v>
      </c>
      <c r="Z55" s="17"/>
      <c r="AA55" s="16"/>
      <c r="AB55" s="16"/>
      <c r="AC55" s="16"/>
      <c r="AD55" s="17"/>
      <c r="AE55" s="17"/>
      <c r="AF55" s="15"/>
      <c r="AG55" s="17"/>
      <c r="AH55" s="16"/>
      <c r="AI55" s="16"/>
      <c r="AJ55" s="13" t="s">
        <v>90</v>
      </c>
      <c r="AK55" s="13" t="s">
        <v>244</v>
      </c>
      <c r="AL55" s="17"/>
      <c r="AM55" s="26"/>
      <c r="AN55" s="26"/>
      <c r="AO55" s="16"/>
      <c r="AP55" s="16"/>
      <c r="AQ55" s="13" t="s">
        <v>725</v>
      </c>
      <c r="AR55" s="13" t="s">
        <v>726</v>
      </c>
      <c r="AS55" s="17"/>
      <c r="AT55" s="17"/>
      <c r="AU55" s="17"/>
      <c r="AV55" s="16"/>
      <c r="AW55" s="16"/>
      <c r="AX55" s="16"/>
      <c r="AY55" s="13" t="s">
        <v>727</v>
      </c>
      <c r="AZ55" s="16"/>
      <c r="BA55" s="13">
        <v>796929.0</v>
      </c>
      <c r="BB55" s="13" t="s">
        <v>118</v>
      </c>
      <c r="BC55" s="13" t="s">
        <v>118</v>
      </c>
      <c r="BD55" s="13" t="s">
        <v>118</v>
      </c>
      <c r="BE55" s="13" t="s">
        <v>118</v>
      </c>
      <c r="BF55" s="13" t="s">
        <v>118</v>
      </c>
      <c r="BG55" s="17"/>
      <c r="BH55" s="17"/>
      <c r="BI55" s="16"/>
      <c r="BJ55" s="17"/>
      <c r="BK55" s="16"/>
      <c r="BL55" s="15"/>
      <c r="BM55" s="15"/>
      <c r="BN55" s="17"/>
      <c r="BO55" s="15"/>
      <c r="BP55" s="15"/>
      <c r="BQ55" s="17"/>
      <c r="BR55" s="15"/>
      <c r="BS55" s="15"/>
      <c r="BT55" s="17"/>
      <c r="BU55" s="13" t="s">
        <v>120</v>
      </c>
      <c r="BV55" s="13" t="s">
        <v>308</v>
      </c>
      <c r="BW55" s="21">
        <v>35.0</v>
      </c>
      <c r="BX55" s="13" t="s">
        <v>101</v>
      </c>
      <c r="BY55" s="15"/>
      <c r="BZ55" s="13" t="s">
        <v>102</v>
      </c>
      <c r="CA55" s="22" t="s">
        <v>103</v>
      </c>
    </row>
    <row r="56">
      <c r="A56" s="4">
        <v>333.0</v>
      </c>
      <c r="B56" s="5" t="s">
        <v>728</v>
      </c>
      <c r="C56" s="5" t="s">
        <v>729</v>
      </c>
      <c r="D56" s="5">
        <v>990270.0</v>
      </c>
      <c r="E56" s="5" t="s">
        <v>81</v>
      </c>
      <c r="F56" s="6">
        <v>44781.0</v>
      </c>
      <c r="G56" s="8"/>
      <c r="H56" s="5" t="s">
        <v>82</v>
      </c>
      <c r="I56" s="5" t="s">
        <v>107</v>
      </c>
      <c r="J56" s="5" t="s">
        <v>194</v>
      </c>
      <c r="K56" s="5">
        <v>2.0</v>
      </c>
      <c r="L56" s="5" t="s">
        <v>730</v>
      </c>
      <c r="M56" s="5" t="s">
        <v>167</v>
      </c>
      <c r="N56" s="5" t="s">
        <v>87</v>
      </c>
      <c r="O56" s="5">
        <v>5.148678691E9</v>
      </c>
      <c r="P56" s="8"/>
      <c r="Q56" s="8"/>
      <c r="R56" s="5" t="s">
        <v>731</v>
      </c>
      <c r="S56" s="5" t="s">
        <v>732</v>
      </c>
      <c r="T56" s="5" t="s">
        <v>733</v>
      </c>
      <c r="U56" s="5">
        <v>1.0099027E8</v>
      </c>
      <c r="V56" s="5" t="s">
        <v>729</v>
      </c>
      <c r="W56" s="8"/>
      <c r="X56" s="5">
        <v>1.5141294006E10</v>
      </c>
      <c r="Y56" s="5">
        <v>1060004.0</v>
      </c>
      <c r="Z56" s="9"/>
      <c r="AA56" s="9"/>
      <c r="AB56" s="8"/>
      <c r="AC56" s="8"/>
      <c r="AD56" s="9"/>
      <c r="AE56" s="9"/>
      <c r="AF56" s="6">
        <v>45374.0</v>
      </c>
      <c r="AG56" s="5">
        <v>990270.0</v>
      </c>
      <c r="AH56" s="8"/>
      <c r="AI56" s="8"/>
      <c r="AJ56" s="5" t="s">
        <v>406</v>
      </c>
      <c r="AK56" s="5" t="s">
        <v>91</v>
      </c>
      <c r="AL56" s="5" t="s">
        <v>407</v>
      </c>
      <c r="AM56" s="10">
        <v>0.20833333333333334</v>
      </c>
      <c r="AN56" s="10">
        <v>0.5208333333333334</v>
      </c>
      <c r="AO56" s="8"/>
      <c r="AP56" s="8"/>
      <c r="AQ56" s="5" t="s">
        <v>734</v>
      </c>
      <c r="AR56" s="5" t="s">
        <v>735</v>
      </c>
      <c r="AS56" s="5" t="s">
        <v>736</v>
      </c>
      <c r="AT56" s="5">
        <v>5.148398691E9</v>
      </c>
      <c r="AU56" s="9"/>
      <c r="AV56" s="8"/>
      <c r="AW56" s="8"/>
      <c r="AX56" s="8"/>
      <c r="AY56" s="5" t="s">
        <v>737</v>
      </c>
      <c r="AZ56" s="8"/>
      <c r="BA56" s="5">
        <v>60043.0</v>
      </c>
      <c r="BB56" s="5" t="s">
        <v>97</v>
      </c>
      <c r="BC56" s="5" t="s">
        <v>118</v>
      </c>
      <c r="BD56" s="5" t="s">
        <v>118</v>
      </c>
      <c r="BE56" s="5" t="s">
        <v>118</v>
      </c>
      <c r="BF56" s="5" t="s">
        <v>118</v>
      </c>
      <c r="BG56" s="5" t="s">
        <v>118</v>
      </c>
      <c r="BH56" s="5" t="s">
        <v>97</v>
      </c>
      <c r="BI56" s="8"/>
      <c r="BJ56" s="5" t="s">
        <v>98</v>
      </c>
      <c r="BK56" s="8"/>
      <c r="BL56" s="6">
        <v>45070.0</v>
      </c>
      <c r="BM56" s="6">
        <v>45249.0</v>
      </c>
      <c r="BN56" s="5" t="s">
        <v>120</v>
      </c>
      <c r="BO56" s="7"/>
      <c r="BP56" s="7"/>
      <c r="BQ56" s="9"/>
      <c r="BR56" s="7"/>
      <c r="BS56" s="7"/>
      <c r="BT56" s="9"/>
      <c r="BU56" s="5" t="s">
        <v>99</v>
      </c>
      <c r="BV56" s="5" t="s">
        <v>121</v>
      </c>
      <c r="BW56" s="23">
        <v>15.0</v>
      </c>
      <c r="BX56" s="5" t="s">
        <v>411</v>
      </c>
      <c r="BY56" s="6">
        <v>44873.0</v>
      </c>
      <c r="BZ56" s="5" t="s">
        <v>102</v>
      </c>
      <c r="CA56" s="11" t="s">
        <v>103</v>
      </c>
    </row>
    <row r="57">
      <c r="A57" s="12">
        <v>453.0</v>
      </c>
      <c r="B57" s="13" t="s">
        <v>738</v>
      </c>
      <c r="C57" s="13" t="s">
        <v>739</v>
      </c>
      <c r="D57" s="13">
        <v>998052.0</v>
      </c>
      <c r="E57" s="13" t="s">
        <v>81</v>
      </c>
      <c r="F57" s="14">
        <v>45025.0</v>
      </c>
      <c r="G57" s="15"/>
      <c r="H57" s="13" t="s">
        <v>82</v>
      </c>
      <c r="I57" s="13" t="s">
        <v>154</v>
      </c>
      <c r="J57" s="13" t="s">
        <v>155</v>
      </c>
      <c r="K57" s="13">
        <v>2.0</v>
      </c>
      <c r="L57" s="13" t="s">
        <v>740</v>
      </c>
      <c r="M57" s="13" t="s">
        <v>196</v>
      </c>
      <c r="N57" s="13" t="s">
        <v>126</v>
      </c>
      <c r="O57" s="13">
        <v>7.7832528E9</v>
      </c>
      <c r="P57" s="17"/>
      <c r="Q57" s="16"/>
      <c r="R57" s="17"/>
      <c r="S57" s="13" t="s">
        <v>741</v>
      </c>
      <c r="T57" s="13" t="s">
        <v>742</v>
      </c>
      <c r="U57" s="13">
        <v>1.00998052E8</v>
      </c>
      <c r="V57" s="13" t="s">
        <v>739</v>
      </c>
      <c r="W57" s="16"/>
      <c r="X57" s="13">
        <v>1.6041295062E10</v>
      </c>
      <c r="Y57" s="13">
        <v>1030017.0</v>
      </c>
      <c r="Z57" s="17"/>
      <c r="AA57" s="16"/>
      <c r="AB57" s="16"/>
      <c r="AC57" s="16"/>
      <c r="AD57" s="13" t="s">
        <v>329</v>
      </c>
      <c r="AE57" s="17"/>
      <c r="AF57" s="14">
        <v>45743.0</v>
      </c>
      <c r="AG57" s="17"/>
      <c r="AH57" s="16"/>
      <c r="AI57" s="16"/>
      <c r="AJ57" s="13" t="s">
        <v>90</v>
      </c>
      <c r="AK57" s="13" t="s">
        <v>91</v>
      </c>
      <c r="AL57" s="19">
        <v>46115.0</v>
      </c>
      <c r="AM57" s="20">
        <v>0.0625</v>
      </c>
      <c r="AN57" s="20">
        <v>0.4375</v>
      </c>
      <c r="AO57" s="16"/>
      <c r="AP57" s="16"/>
      <c r="AQ57" s="13" t="s">
        <v>743</v>
      </c>
      <c r="AR57" s="13" t="s">
        <v>744</v>
      </c>
      <c r="AS57" s="17"/>
      <c r="AT57" s="17"/>
      <c r="AU57" s="17"/>
      <c r="AV57" s="16"/>
      <c r="AW57" s="16"/>
      <c r="AX57" s="16"/>
      <c r="AY57" s="13" t="s">
        <v>745</v>
      </c>
      <c r="AZ57" s="16"/>
      <c r="BA57" s="13" t="s">
        <v>96</v>
      </c>
      <c r="BB57" s="13" t="s">
        <v>118</v>
      </c>
      <c r="BC57" s="13" t="s">
        <v>97</v>
      </c>
      <c r="BD57" s="13" t="s">
        <v>118</v>
      </c>
      <c r="BE57" s="13" t="s">
        <v>118</v>
      </c>
      <c r="BF57" s="13" t="s">
        <v>97</v>
      </c>
      <c r="BG57" s="13" t="s">
        <v>97</v>
      </c>
      <c r="BH57" s="13" t="s">
        <v>97</v>
      </c>
      <c r="BI57" s="17"/>
      <c r="BJ57" s="13" t="s">
        <v>151</v>
      </c>
      <c r="BK57" s="16"/>
      <c r="BL57" s="15"/>
      <c r="BM57" s="15"/>
      <c r="BN57" s="17"/>
      <c r="BO57" s="15"/>
      <c r="BP57" s="15"/>
      <c r="BQ57" s="17"/>
      <c r="BR57" s="15"/>
      <c r="BS57" s="15"/>
      <c r="BT57" s="17"/>
      <c r="BU57" s="13" t="s">
        <v>99</v>
      </c>
      <c r="BV57" s="13" t="s">
        <v>100</v>
      </c>
      <c r="BW57" s="21">
        <v>34.0</v>
      </c>
      <c r="BX57" s="13" t="s">
        <v>101</v>
      </c>
      <c r="BY57" s="15"/>
      <c r="BZ57" s="13" t="s">
        <v>102</v>
      </c>
      <c r="CA57" s="22" t="s">
        <v>103</v>
      </c>
    </row>
    <row r="58">
      <c r="A58" s="4">
        <v>167.0</v>
      </c>
      <c r="B58" s="5" t="s">
        <v>746</v>
      </c>
      <c r="C58" s="5" t="s">
        <v>747</v>
      </c>
      <c r="D58" s="5">
        <v>956486.0</v>
      </c>
      <c r="E58" s="5" t="s">
        <v>81</v>
      </c>
      <c r="F58" s="6">
        <v>43654.0</v>
      </c>
      <c r="G58" s="8"/>
      <c r="H58" s="5" t="s">
        <v>106</v>
      </c>
      <c r="I58" s="5" t="s">
        <v>107</v>
      </c>
      <c r="J58" s="5" t="s">
        <v>84</v>
      </c>
      <c r="K58" s="5">
        <v>4.0</v>
      </c>
      <c r="L58" s="5" t="s">
        <v>748</v>
      </c>
      <c r="M58" s="5" t="s">
        <v>142</v>
      </c>
      <c r="N58" s="5" t="s">
        <v>126</v>
      </c>
      <c r="O58" s="5" t="s">
        <v>749</v>
      </c>
      <c r="P58" s="9"/>
      <c r="Q58" s="8"/>
      <c r="R58" s="5" t="s">
        <v>750</v>
      </c>
      <c r="S58" s="5" t="s">
        <v>751</v>
      </c>
      <c r="T58" s="5" t="s">
        <v>752</v>
      </c>
      <c r="U58" s="5">
        <v>1.00956486E8</v>
      </c>
      <c r="V58" s="5" t="s">
        <v>753</v>
      </c>
      <c r="W58" s="8"/>
      <c r="X58" s="5">
        <v>1.5141294288E10</v>
      </c>
      <c r="Y58" s="5">
        <v>1067180.0</v>
      </c>
      <c r="Z58" s="8"/>
      <c r="AA58" s="9"/>
      <c r="AB58" s="9"/>
      <c r="AC58" s="8"/>
      <c r="AD58" s="5" t="s">
        <v>754</v>
      </c>
      <c r="AE58" s="18"/>
      <c r="AF58" s="6">
        <v>43962.0</v>
      </c>
      <c r="AG58" s="5">
        <v>30259.0</v>
      </c>
      <c r="AH58" s="6">
        <v>46135.0</v>
      </c>
      <c r="AI58" s="5">
        <v>968681.0</v>
      </c>
      <c r="AJ58" s="5" t="s">
        <v>90</v>
      </c>
      <c r="AK58" s="5" t="s">
        <v>91</v>
      </c>
      <c r="AL58" s="24">
        <v>46115.0</v>
      </c>
      <c r="AM58" s="10">
        <v>0.8541666666666666</v>
      </c>
      <c r="AN58" s="10">
        <v>0.16666666666666666</v>
      </c>
      <c r="AO58" s="8"/>
      <c r="AP58" s="8"/>
      <c r="AQ58" s="5" t="s">
        <v>755</v>
      </c>
      <c r="AR58" s="5" t="s">
        <v>756</v>
      </c>
      <c r="AS58" s="9"/>
      <c r="AT58" s="9"/>
      <c r="AU58" s="9"/>
      <c r="AV58" s="8"/>
      <c r="AW58" s="8"/>
      <c r="AX58" s="8"/>
      <c r="AY58" s="5" t="s">
        <v>757</v>
      </c>
      <c r="AZ58" s="8"/>
      <c r="BA58" s="5">
        <v>66003.0</v>
      </c>
      <c r="BB58" s="5" t="s">
        <v>97</v>
      </c>
      <c r="BC58" s="5" t="s">
        <v>97</v>
      </c>
      <c r="BD58" s="5" t="s">
        <v>118</v>
      </c>
      <c r="BE58" s="5" t="s">
        <v>97</v>
      </c>
      <c r="BF58" s="5" t="s">
        <v>97</v>
      </c>
      <c r="BG58" s="5" t="s">
        <v>118</v>
      </c>
      <c r="BH58" s="5" t="s">
        <v>118</v>
      </c>
      <c r="BI58" s="9"/>
      <c r="BJ58" s="5" t="s">
        <v>151</v>
      </c>
      <c r="BK58" s="8"/>
      <c r="BL58" s="6">
        <v>43866.0</v>
      </c>
      <c r="BM58" s="6">
        <v>43930.0</v>
      </c>
      <c r="BN58" s="5" t="s">
        <v>120</v>
      </c>
      <c r="BO58" s="6">
        <v>45513.0</v>
      </c>
      <c r="BP58" s="6">
        <v>45583.0</v>
      </c>
      <c r="BQ58" s="5" t="s">
        <v>120</v>
      </c>
      <c r="BR58" s="6">
        <v>44012.0</v>
      </c>
      <c r="BS58" s="6">
        <v>44012.0</v>
      </c>
      <c r="BT58" s="5" t="s">
        <v>120</v>
      </c>
      <c r="BU58" s="5" t="s">
        <v>99</v>
      </c>
      <c r="BV58" s="5" t="s">
        <v>100</v>
      </c>
      <c r="BW58" s="23">
        <v>30.0</v>
      </c>
      <c r="BX58" s="5" t="s">
        <v>101</v>
      </c>
      <c r="BY58" s="6">
        <v>43728.0</v>
      </c>
      <c r="BZ58" s="5" t="s">
        <v>102</v>
      </c>
      <c r="CA58" s="11" t="s">
        <v>103</v>
      </c>
    </row>
    <row r="59">
      <c r="A59" s="12">
        <v>418.0</v>
      </c>
      <c r="B59" s="13" t="s">
        <v>758</v>
      </c>
      <c r="C59" s="13" t="s">
        <v>759</v>
      </c>
      <c r="D59" s="13">
        <v>997309.0</v>
      </c>
      <c r="E59" s="13" t="s">
        <v>81</v>
      </c>
      <c r="F59" s="14">
        <v>45040.0</v>
      </c>
      <c r="G59" s="16"/>
      <c r="H59" s="13" t="s">
        <v>106</v>
      </c>
      <c r="I59" s="13" t="s">
        <v>139</v>
      </c>
      <c r="J59" s="13" t="s">
        <v>140</v>
      </c>
      <c r="K59" s="13">
        <v>4.0</v>
      </c>
      <c r="L59" s="13" t="s">
        <v>760</v>
      </c>
      <c r="M59" s="13" t="s">
        <v>86</v>
      </c>
      <c r="N59" s="13" t="s">
        <v>87</v>
      </c>
      <c r="O59" s="13">
        <v>5.068899123E9</v>
      </c>
      <c r="P59" s="17"/>
      <c r="Q59" s="16"/>
      <c r="R59" s="17"/>
      <c r="S59" s="13" t="s">
        <v>761</v>
      </c>
      <c r="T59" s="13" t="s">
        <v>762</v>
      </c>
      <c r="U59" s="13">
        <v>1.00997309E8</v>
      </c>
      <c r="V59" s="13" t="s">
        <v>759</v>
      </c>
      <c r="W59" s="16"/>
      <c r="X59" s="13">
        <v>1.9051291054E10</v>
      </c>
      <c r="Y59" s="13">
        <v>1060034.0</v>
      </c>
      <c r="Z59" s="16"/>
      <c r="AA59" s="17"/>
      <c r="AB59" s="16"/>
      <c r="AC59" s="16"/>
      <c r="AD59" s="13" t="s">
        <v>763</v>
      </c>
      <c r="AE59" s="17"/>
      <c r="AF59" s="15"/>
      <c r="AG59" s="17"/>
      <c r="AH59" s="16"/>
      <c r="AI59" s="16"/>
      <c r="AJ59" s="13" t="s">
        <v>90</v>
      </c>
      <c r="AK59" s="13" t="s">
        <v>91</v>
      </c>
      <c r="AL59" s="19">
        <v>46115.0</v>
      </c>
      <c r="AM59" s="20">
        <v>0.7083333333333334</v>
      </c>
      <c r="AN59" s="20">
        <v>0.08333333333333333</v>
      </c>
      <c r="AO59" s="16"/>
      <c r="AP59" s="16"/>
      <c r="AQ59" s="13" t="s">
        <v>764</v>
      </c>
      <c r="AR59" s="13" t="s">
        <v>765</v>
      </c>
      <c r="AS59" s="13" t="s">
        <v>766</v>
      </c>
      <c r="AT59" s="13" t="s">
        <v>767</v>
      </c>
      <c r="AU59" s="17"/>
      <c r="AV59" s="16"/>
      <c r="AW59" s="16"/>
      <c r="AX59" s="16"/>
      <c r="AY59" s="13" t="s">
        <v>768</v>
      </c>
      <c r="AZ59" s="16"/>
      <c r="BA59" s="13" t="s">
        <v>96</v>
      </c>
      <c r="BB59" s="13" t="s">
        <v>97</v>
      </c>
      <c r="BC59" s="13" t="s">
        <v>118</v>
      </c>
      <c r="BD59" s="13" t="s">
        <v>97</v>
      </c>
      <c r="BE59" s="13" t="s">
        <v>97</v>
      </c>
      <c r="BF59" s="13" t="s">
        <v>97</v>
      </c>
      <c r="BG59" s="13" t="s">
        <v>118</v>
      </c>
      <c r="BH59" s="13" t="s">
        <v>118</v>
      </c>
      <c r="BI59" s="17"/>
      <c r="BJ59" s="13" t="s">
        <v>176</v>
      </c>
      <c r="BK59" s="16"/>
      <c r="BL59" s="14">
        <v>45204.0</v>
      </c>
      <c r="BM59" s="14">
        <v>45272.0</v>
      </c>
      <c r="BN59" s="17"/>
      <c r="BO59" s="14">
        <v>45720.0</v>
      </c>
      <c r="BP59" s="14">
        <v>45774.0</v>
      </c>
      <c r="BQ59" s="13" t="s">
        <v>99</v>
      </c>
      <c r="BR59" s="14">
        <v>45881.0</v>
      </c>
      <c r="BS59" s="14">
        <v>45937.0</v>
      </c>
      <c r="BT59" s="17"/>
      <c r="BU59" s="13" t="s">
        <v>99</v>
      </c>
      <c r="BV59" s="13" t="s">
        <v>121</v>
      </c>
      <c r="BW59" s="21">
        <v>34.0</v>
      </c>
      <c r="BX59" s="13" t="s">
        <v>101</v>
      </c>
      <c r="BY59" s="15"/>
      <c r="BZ59" s="13" t="s">
        <v>102</v>
      </c>
      <c r="CA59" s="22" t="s">
        <v>103</v>
      </c>
    </row>
    <row r="60">
      <c r="A60" s="4">
        <v>332.0</v>
      </c>
      <c r="B60" s="5" t="s">
        <v>769</v>
      </c>
      <c r="C60" s="5" t="s">
        <v>770</v>
      </c>
      <c r="D60" s="5">
        <v>990146.0</v>
      </c>
      <c r="E60" s="5" t="s">
        <v>81</v>
      </c>
      <c r="F60" s="6">
        <v>44781.0</v>
      </c>
      <c r="G60" s="8"/>
      <c r="H60" s="5" t="s">
        <v>82</v>
      </c>
      <c r="I60" s="5" t="s">
        <v>107</v>
      </c>
      <c r="J60" s="5" t="s">
        <v>140</v>
      </c>
      <c r="K60" s="5">
        <v>2.0</v>
      </c>
      <c r="L60" s="5" t="s">
        <v>771</v>
      </c>
      <c r="M60" s="5" t="s">
        <v>167</v>
      </c>
      <c r="N60" s="5" t="s">
        <v>87</v>
      </c>
      <c r="O60" s="5">
        <v>5.147781079E9</v>
      </c>
      <c r="P60" s="9"/>
      <c r="Q60" s="8"/>
      <c r="R60" s="5" t="s">
        <v>772</v>
      </c>
      <c r="S60" s="5" t="s">
        <v>773</v>
      </c>
      <c r="T60" s="5" t="s">
        <v>774</v>
      </c>
      <c r="U60" s="5">
        <v>1.00990146E8</v>
      </c>
      <c r="V60" s="5" t="s">
        <v>770</v>
      </c>
      <c r="W60" s="8"/>
      <c r="X60" s="5">
        <v>1.5141294012E10</v>
      </c>
      <c r="Y60" s="5">
        <v>1060007.0</v>
      </c>
      <c r="Z60" s="9"/>
      <c r="AA60" s="9"/>
      <c r="AB60" s="8"/>
      <c r="AC60" s="9"/>
      <c r="AD60" s="9"/>
      <c r="AE60" s="9"/>
      <c r="AF60" s="6">
        <v>45546.0</v>
      </c>
      <c r="AG60" s="5">
        <v>990146.0</v>
      </c>
      <c r="AH60" s="8"/>
      <c r="AI60" s="8"/>
      <c r="AJ60" s="5" t="s">
        <v>406</v>
      </c>
      <c r="AK60" s="5" t="s">
        <v>91</v>
      </c>
      <c r="AL60" s="5" t="s">
        <v>407</v>
      </c>
      <c r="AM60" s="10">
        <v>0.20833333333333334</v>
      </c>
      <c r="AN60" s="10">
        <v>0.5208333333333334</v>
      </c>
      <c r="AO60" s="8"/>
      <c r="AP60" s="8"/>
      <c r="AQ60" s="5" t="s">
        <v>775</v>
      </c>
      <c r="AR60" s="5" t="s">
        <v>776</v>
      </c>
      <c r="AS60" s="5" t="s">
        <v>777</v>
      </c>
      <c r="AT60" s="5">
        <v>4.388848544E9</v>
      </c>
      <c r="AU60" s="9"/>
      <c r="AV60" s="8"/>
      <c r="AW60" s="8"/>
      <c r="AX60" s="8"/>
      <c r="AY60" s="5" t="s">
        <v>778</v>
      </c>
      <c r="AZ60" s="8"/>
      <c r="BA60" s="5">
        <v>66711.0</v>
      </c>
      <c r="BB60" s="5" t="s">
        <v>97</v>
      </c>
      <c r="BC60" s="5" t="s">
        <v>118</v>
      </c>
      <c r="BD60" s="5" t="s">
        <v>118</v>
      </c>
      <c r="BE60" s="5" t="s">
        <v>97</v>
      </c>
      <c r="BF60" s="5" t="s">
        <v>118</v>
      </c>
      <c r="BG60" s="5" t="s">
        <v>118</v>
      </c>
      <c r="BH60" s="5" t="s">
        <v>118</v>
      </c>
      <c r="BI60" s="8"/>
      <c r="BJ60" s="5" t="s">
        <v>98</v>
      </c>
      <c r="BK60" s="8"/>
      <c r="BL60" s="6">
        <v>45688.0</v>
      </c>
      <c r="BM60" s="6">
        <v>45742.0</v>
      </c>
      <c r="BN60" s="5" t="s">
        <v>99</v>
      </c>
      <c r="BO60" s="7"/>
      <c r="BP60" s="7"/>
      <c r="BQ60" s="9"/>
      <c r="BR60" s="7"/>
      <c r="BS60" s="7"/>
      <c r="BT60" s="9"/>
      <c r="BU60" s="5" t="s">
        <v>99</v>
      </c>
      <c r="BV60" s="5" t="s">
        <v>121</v>
      </c>
      <c r="BW60" s="23">
        <v>15.0</v>
      </c>
      <c r="BX60" s="5" t="s">
        <v>411</v>
      </c>
      <c r="BY60" s="6">
        <v>44927.0</v>
      </c>
      <c r="BZ60" s="5" t="s">
        <v>102</v>
      </c>
      <c r="CA60" s="11" t="s">
        <v>103</v>
      </c>
    </row>
    <row r="61">
      <c r="A61" s="12">
        <v>172.0</v>
      </c>
      <c r="B61" s="13" t="s">
        <v>779</v>
      </c>
      <c r="C61" s="13" t="s">
        <v>780</v>
      </c>
      <c r="D61" s="13">
        <v>955763.0</v>
      </c>
      <c r="E61" s="13" t="s">
        <v>193</v>
      </c>
      <c r="F61" s="14">
        <v>40259.0</v>
      </c>
      <c r="G61" s="16"/>
      <c r="H61" s="13" t="s">
        <v>106</v>
      </c>
      <c r="I61" s="13" t="s">
        <v>107</v>
      </c>
      <c r="J61" s="13" t="s">
        <v>194</v>
      </c>
      <c r="K61" s="13">
        <v>4.0</v>
      </c>
      <c r="L61" s="13" t="s">
        <v>781</v>
      </c>
      <c r="M61" s="13" t="s">
        <v>250</v>
      </c>
      <c r="N61" s="13" t="s">
        <v>87</v>
      </c>
      <c r="O61" s="13" t="s">
        <v>782</v>
      </c>
      <c r="P61" s="16"/>
      <c r="Q61" s="16"/>
      <c r="R61" s="13" t="s">
        <v>783</v>
      </c>
      <c r="S61" s="13" t="s">
        <v>784</v>
      </c>
      <c r="T61" s="13" t="s">
        <v>785</v>
      </c>
      <c r="U61" s="13">
        <v>1.00955763E8</v>
      </c>
      <c r="V61" s="13" t="s">
        <v>786</v>
      </c>
      <c r="W61" s="16"/>
      <c r="X61" s="13">
        <v>1.51412941E10</v>
      </c>
      <c r="Y61" s="13">
        <v>1066311.0</v>
      </c>
      <c r="Z61" s="17"/>
      <c r="AA61" s="17"/>
      <c r="AB61" s="16"/>
      <c r="AC61" s="17"/>
      <c r="AD61" s="13" t="s">
        <v>787</v>
      </c>
      <c r="AE61" s="18"/>
      <c r="AF61" s="14">
        <v>40489.0</v>
      </c>
      <c r="AG61" s="13">
        <v>8263.0</v>
      </c>
      <c r="AH61" s="16"/>
      <c r="AI61" s="16"/>
      <c r="AJ61" s="13" t="s">
        <v>90</v>
      </c>
      <c r="AK61" s="13" t="s">
        <v>91</v>
      </c>
      <c r="AL61" s="13" t="s">
        <v>188</v>
      </c>
      <c r="AM61" s="20">
        <v>0.2916666666666667</v>
      </c>
      <c r="AN61" s="20">
        <v>0.7083333333333334</v>
      </c>
      <c r="AO61" s="16"/>
      <c r="AP61" s="16"/>
      <c r="AQ61" s="13" t="s">
        <v>788</v>
      </c>
      <c r="AR61" s="13" t="s">
        <v>789</v>
      </c>
      <c r="AS61" s="17"/>
      <c r="AT61" s="17"/>
      <c r="AU61" s="16"/>
      <c r="AV61" s="16"/>
      <c r="AW61" s="16"/>
      <c r="AX61" s="16"/>
      <c r="AY61" s="13" t="s">
        <v>790</v>
      </c>
      <c r="AZ61" s="16"/>
      <c r="BA61" s="13">
        <v>66097.0</v>
      </c>
      <c r="BB61" s="13" t="s">
        <v>97</v>
      </c>
      <c r="BC61" s="13" t="s">
        <v>97</v>
      </c>
      <c r="BD61" s="13" t="s">
        <v>97</v>
      </c>
      <c r="BE61" s="13" t="s">
        <v>97</v>
      </c>
      <c r="BF61" s="13" t="s">
        <v>97</v>
      </c>
      <c r="BG61" s="13" t="s">
        <v>97</v>
      </c>
      <c r="BH61" s="13" t="s">
        <v>97</v>
      </c>
      <c r="BI61" s="17"/>
      <c r="BJ61" s="13" t="s">
        <v>98</v>
      </c>
      <c r="BK61" s="16"/>
      <c r="BL61" s="15"/>
      <c r="BM61" s="15"/>
      <c r="BN61" s="13" t="s">
        <v>120</v>
      </c>
      <c r="BO61" s="15"/>
      <c r="BP61" s="15"/>
      <c r="BQ61" s="13" t="s">
        <v>120</v>
      </c>
      <c r="BR61" s="15"/>
      <c r="BS61" s="15"/>
      <c r="BT61" s="13" t="s">
        <v>120</v>
      </c>
      <c r="BU61" s="13" t="s">
        <v>99</v>
      </c>
      <c r="BV61" s="13" t="s">
        <v>100</v>
      </c>
      <c r="BW61" s="21">
        <v>35.0</v>
      </c>
      <c r="BX61" s="13" t="s">
        <v>101</v>
      </c>
      <c r="BY61" s="15"/>
      <c r="BZ61" s="13" t="s">
        <v>102</v>
      </c>
      <c r="CA61" s="22" t="s">
        <v>103</v>
      </c>
    </row>
    <row r="62">
      <c r="A62" s="4">
        <v>356.0</v>
      </c>
      <c r="B62" s="5" t="s">
        <v>791</v>
      </c>
      <c r="C62" s="5" t="s">
        <v>792</v>
      </c>
      <c r="D62" s="5">
        <v>992414.0</v>
      </c>
      <c r="E62" s="5" t="s">
        <v>81</v>
      </c>
      <c r="F62" s="6">
        <v>44823.0</v>
      </c>
      <c r="G62" s="8"/>
      <c r="H62" s="5" t="s">
        <v>106</v>
      </c>
      <c r="I62" s="5" t="s">
        <v>139</v>
      </c>
      <c r="J62" s="5" t="s">
        <v>140</v>
      </c>
      <c r="K62" s="5">
        <v>3.0</v>
      </c>
      <c r="L62" s="5" t="s">
        <v>793</v>
      </c>
      <c r="M62" s="5" t="s">
        <v>86</v>
      </c>
      <c r="N62" s="5" t="s">
        <v>87</v>
      </c>
      <c r="O62" s="5">
        <v>5.066883455E9</v>
      </c>
      <c r="P62" s="8"/>
      <c r="Q62" s="8"/>
      <c r="R62" s="5" t="s">
        <v>794</v>
      </c>
      <c r="S62" s="5" t="s">
        <v>795</v>
      </c>
      <c r="T62" s="5" t="s">
        <v>796</v>
      </c>
      <c r="U62" s="5">
        <v>1.00992414E8</v>
      </c>
      <c r="V62" s="5" t="s">
        <v>792</v>
      </c>
      <c r="W62" s="8"/>
      <c r="X62" s="5">
        <v>1.5141294035E10</v>
      </c>
      <c r="Y62" s="5">
        <v>1066011.0</v>
      </c>
      <c r="Z62" s="8"/>
      <c r="AA62" s="8"/>
      <c r="AB62" s="8"/>
      <c r="AC62" s="8"/>
      <c r="AD62" s="5" t="s">
        <v>797</v>
      </c>
      <c r="AE62" s="9"/>
      <c r="AF62" s="7"/>
      <c r="AG62" s="9"/>
      <c r="AH62" s="8"/>
      <c r="AI62" s="8"/>
      <c r="AJ62" s="5" t="s">
        <v>90</v>
      </c>
      <c r="AK62" s="5" t="s">
        <v>91</v>
      </c>
      <c r="AL62" s="24">
        <v>46115.0</v>
      </c>
      <c r="AM62" s="10">
        <v>0.6666666666666666</v>
      </c>
      <c r="AN62" s="10">
        <v>0.041666666666666664</v>
      </c>
      <c r="AO62" s="8"/>
      <c r="AP62" s="8"/>
      <c r="AQ62" s="5" t="s">
        <v>798</v>
      </c>
      <c r="AR62" s="5" t="s">
        <v>799</v>
      </c>
      <c r="AS62" s="5" t="s">
        <v>800</v>
      </c>
      <c r="AT62" s="5">
        <v>5.069612293E9</v>
      </c>
      <c r="AU62" s="9"/>
      <c r="AV62" s="8"/>
      <c r="AW62" s="8"/>
      <c r="AX62" s="8"/>
      <c r="AY62" s="5" t="s">
        <v>801</v>
      </c>
      <c r="AZ62" s="8"/>
      <c r="BA62" s="5" t="s">
        <v>96</v>
      </c>
      <c r="BB62" s="5" t="s">
        <v>97</v>
      </c>
      <c r="BC62" s="5" t="s">
        <v>97</v>
      </c>
      <c r="BD62" s="5" t="s">
        <v>97</v>
      </c>
      <c r="BE62" s="5" t="s">
        <v>97</v>
      </c>
      <c r="BF62" s="5" t="s">
        <v>118</v>
      </c>
      <c r="BG62" s="5" t="s">
        <v>118</v>
      </c>
      <c r="BH62" s="5" t="s">
        <v>118</v>
      </c>
      <c r="BI62" s="8"/>
      <c r="BJ62" s="5" t="s">
        <v>176</v>
      </c>
      <c r="BK62" s="8"/>
      <c r="BL62" s="6">
        <v>44993.0</v>
      </c>
      <c r="BM62" s="6">
        <v>45085.0</v>
      </c>
      <c r="BN62" s="5" t="s">
        <v>120</v>
      </c>
      <c r="BO62" s="6">
        <v>46077.0</v>
      </c>
      <c r="BP62" s="6">
        <v>46127.0</v>
      </c>
      <c r="BQ62" s="5" t="s">
        <v>120</v>
      </c>
      <c r="BR62" s="7"/>
      <c r="BS62" s="7"/>
      <c r="BT62" s="9"/>
      <c r="BU62" s="5" t="s">
        <v>99</v>
      </c>
      <c r="BV62" s="5" t="s">
        <v>121</v>
      </c>
      <c r="BW62" s="23">
        <v>34.0</v>
      </c>
      <c r="BX62" s="5" t="s">
        <v>101</v>
      </c>
      <c r="BY62" s="6">
        <v>44978.0</v>
      </c>
      <c r="BZ62" s="5" t="s">
        <v>102</v>
      </c>
      <c r="CA62" s="11" t="s">
        <v>103</v>
      </c>
    </row>
    <row r="63">
      <c r="A63" s="12">
        <v>177.0</v>
      </c>
      <c r="B63" s="13" t="s">
        <v>802</v>
      </c>
      <c r="C63" s="13" t="s">
        <v>803</v>
      </c>
      <c r="D63" s="13">
        <v>956513.0</v>
      </c>
      <c r="E63" s="13" t="s">
        <v>81</v>
      </c>
      <c r="F63" s="14">
        <v>37696.0</v>
      </c>
      <c r="G63" s="15"/>
      <c r="H63" s="13" t="s">
        <v>106</v>
      </c>
      <c r="I63" s="13" t="s">
        <v>107</v>
      </c>
      <c r="J63" s="13" t="s">
        <v>84</v>
      </c>
      <c r="K63" s="13">
        <v>4.0</v>
      </c>
      <c r="L63" s="13" t="s">
        <v>804</v>
      </c>
      <c r="M63" s="13" t="s">
        <v>250</v>
      </c>
      <c r="N63" s="13" t="s">
        <v>87</v>
      </c>
      <c r="O63" s="13" t="s">
        <v>805</v>
      </c>
      <c r="P63" s="13" t="s">
        <v>806</v>
      </c>
      <c r="Q63" s="16"/>
      <c r="R63" s="13" t="s">
        <v>807</v>
      </c>
      <c r="S63" s="13" t="s">
        <v>808</v>
      </c>
      <c r="T63" s="13" t="s">
        <v>809</v>
      </c>
      <c r="U63" s="13">
        <v>1.00956513E8</v>
      </c>
      <c r="V63" s="13" t="s">
        <v>810</v>
      </c>
      <c r="W63" s="16"/>
      <c r="X63" s="13">
        <v>1.5141294329E10</v>
      </c>
      <c r="Y63" s="13">
        <v>1066033.0</v>
      </c>
      <c r="Z63" s="17"/>
      <c r="AA63" s="16"/>
      <c r="AB63" s="16"/>
      <c r="AC63" s="16"/>
      <c r="AD63" s="13" t="s">
        <v>811</v>
      </c>
      <c r="AE63" s="18"/>
      <c r="AF63" s="14">
        <v>39948.0</v>
      </c>
      <c r="AG63" s="13">
        <v>4257.0</v>
      </c>
      <c r="AH63" s="16"/>
      <c r="AI63" s="16"/>
      <c r="AJ63" s="13" t="s">
        <v>812</v>
      </c>
      <c r="AK63" s="13" t="s">
        <v>91</v>
      </c>
      <c r="AL63" s="13" t="s">
        <v>407</v>
      </c>
      <c r="AM63" s="20">
        <v>0.20833333333333334</v>
      </c>
      <c r="AN63" s="20">
        <v>0.4583333333333333</v>
      </c>
      <c r="AO63" s="16"/>
      <c r="AP63" s="16"/>
      <c r="AQ63" s="13" t="s">
        <v>813</v>
      </c>
      <c r="AR63" s="13" t="s">
        <v>814</v>
      </c>
      <c r="AS63" s="17"/>
      <c r="AT63" s="17"/>
      <c r="AU63" s="16"/>
      <c r="AV63" s="16"/>
      <c r="AW63" s="16"/>
      <c r="AX63" s="16"/>
      <c r="AY63" s="13" t="s">
        <v>815</v>
      </c>
      <c r="AZ63" s="16"/>
      <c r="BA63" s="13">
        <v>66033.0</v>
      </c>
      <c r="BB63" s="13" t="s">
        <v>118</v>
      </c>
      <c r="BC63" s="13" t="s">
        <v>97</v>
      </c>
      <c r="BD63" s="13" t="s">
        <v>97</v>
      </c>
      <c r="BE63" s="13" t="s">
        <v>97</v>
      </c>
      <c r="BF63" s="13" t="s">
        <v>97</v>
      </c>
      <c r="BG63" s="13" t="s">
        <v>97</v>
      </c>
      <c r="BH63" s="13" t="s">
        <v>118</v>
      </c>
      <c r="BI63" s="13" t="s">
        <v>816</v>
      </c>
      <c r="BJ63" s="13" t="s">
        <v>98</v>
      </c>
      <c r="BK63" s="16"/>
      <c r="BL63" s="15"/>
      <c r="BM63" s="15"/>
      <c r="BN63" s="13" t="s">
        <v>120</v>
      </c>
      <c r="BO63" s="15"/>
      <c r="BP63" s="15"/>
      <c r="BQ63" s="13" t="s">
        <v>120</v>
      </c>
      <c r="BR63" s="14">
        <v>46091.0</v>
      </c>
      <c r="BS63" s="15"/>
      <c r="BT63" s="17"/>
      <c r="BU63" s="13" t="s">
        <v>99</v>
      </c>
      <c r="BV63" s="13" t="s">
        <v>100</v>
      </c>
      <c r="BW63" s="21">
        <v>30.0</v>
      </c>
      <c r="BX63" s="13" t="s">
        <v>101</v>
      </c>
      <c r="BY63" s="15"/>
      <c r="BZ63" s="13" t="s">
        <v>102</v>
      </c>
      <c r="CA63" s="22" t="s">
        <v>103</v>
      </c>
    </row>
    <row r="64">
      <c r="A64" s="4">
        <v>180.0</v>
      </c>
      <c r="B64" s="5" t="s">
        <v>817</v>
      </c>
      <c r="C64" s="5" t="s">
        <v>818</v>
      </c>
      <c r="D64" s="5">
        <v>956388.0</v>
      </c>
      <c r="E64" s="5" t="s">
        <v>81</v>
      </c>
      <c r="F64" s="6">
        <v>43437.0</v>
      </c>
      <c r="G64" s="7"/>
      <c r="H64" s="5" t="s">
        <v>106</v>
      </c>
      <c r="I64" s="5" t="s">
        <v>83</v>
      </c>
      <c r="J64" s="5" t="s">
        <v>84</v>
      </c>
      <c r="K64" s="5">
        <v>4.0</v>
      </c>
      <c r="L64" s="5" t="s">
        <v>819</v>
      </c>
      <c r="M64" s="5" t="s">
        <v>125</v>
      </c>
      <c r="N64" s="5" t="s">
        <v>126</v>
      </c>
      <c r="O64" s="5" t="s">
        <v>820</v>
      </c>
      <c r="P64" s="9"/>
      <c r="Q64" s="8"/>
      <c r="R64" s="5" t="s">
        <v>821</v>
      </c>
      <c r="S64" s="5" t="s">
        <v>822</v>
      </c>
      <c r="T64" s="5" t="s">
        <v>823</v>
      </c>
      <c r="U64" s="5">
        <v>1.00956388E8</v>
      </c>
      <c r="V64" s="5" t="s">
        <v>824</v>
      </c>
      <c r="W64" s="8"/>
      <c r="X64" s="5">
        <v>1.6131293044E10</v>
      </c>
      <c r="Y64" s="5">
        <v>1062508.0</v>
      </c>
      <c r="Z64" s="8"/>
      <c r="AA64" s="5" t="s">
        <v>132</v>
      </c>
      <c r="AB64" s="8"/>
      <c r="AC64" s="8"/>
      <c r="AD64" s="5" t="s">
        <v>825</v>
      </c>
      <c r="AE64" s="18"/>
      <c r="AF64" s="6">
        <v>43560.0</v>
      </c>
      <c r="AG64" s="5">
        <v>27953.0</v>
      </c>
      <c r="AH64" s="8"/>
      <c r="AI64" s="8"/>
      <c r="AJ64" s="5" t="s">
        <v>90</v>
      </c>
      <c r="AK64" s="5" t="s">
        <v>91</v>
      </c>
      <c r="AL64" s="5" t="s">
        <v>92</v>
      </c>
      <c r="AM64" s="10">
        <v>0.5</v>
      </c>
      <c r="AN64" s="10">
        <v>0.9166666666666666</v>
      </c>
      <c r="AO64" s="8"/>
      <c r="AP64" s="8"/>
      <c r="AQ64" s="5" t="s">
        <v>826</v>
      </c>
      <c r="AR64" s="5" t="s">
        <v>827</v>
      </c>
      <c r="AS64" s="9"/>
      <c r="AT64" s="9"/>
      <c r="AU64" s="9"/>
      <c r="AV64" s="8"/>
      <c r="AW64" s="8"/>
      <c r="AX64" s="8"/>
      <c r="AY64" s="5" t="s">
        <v>828</v>
      </c>
      <c r="AZ64" s="8"/>
      <c r="BA64" s="9"/>
      <c r="BB64" s="5" t="s">
        <v>97</v>
      </c>
      <c r="BC64" s="5" t="s">
        <v>97</v>
      </c>
      <c r="BD64" s="5" t="s">
        <v>97</v>
      </c>
      <c r="BE64" s="5" t="s">
        <v>97</v>
      </c>
      <c r="BF64" s="5" t="s">
        <v>97</v>
      </c>
      <c r="BG64" s="5" t="s">
        <v>97</v>
      </c>
      <c r="BH64" s="5" t="s">
        <v>97</v>
      </c>
      <c r="BI64" s="9"/>
      <c r="BJ64" s="5" t="s">
        <v>176</v>
      </c>
      <c r="BK64" s="8"/>
      <c r="BL64" s="6">
        <v>43516.0</v>
      </c>
      <c r="BM64" s="6">
        <v>43545.0</v>
      </c>
      <c r="BN64" s="5" t="s">
        <v>120</v>
      </c>
      <c r="BO64" s="6">
        <v>45513.0</v>
      </c>
      <c r="BP64" s="6">
        <v>45582.0</v>
      </c>
      <c r="BQ64" s="5" t="s">
        <v>120</v>
      </c>
      <c r="BR64" s="6">
        <v>45755.0</v>
      </c>
      <c r="BS64" s="6">
        <v>45905.0</v>
      </c>
      <c r="BT64" s="5" t="s">
        <v>120</v>
      </c>
      <c r="BU64" s="5" t="s">
        <v>99</v>
      </c>
      <c r="BV64" s="5" t="s">
        <v>121</v>
      </c>
      <c r="BW64" s="23">
        <v>35.0</v>
      </c>
      <c r="BX64" s="5" t="s">
        <v>101</v>
      </c>
      <c r="BY64" s="6">
        <v>43493.0</v>
      </c>
      <c r="BZ64" s="5" t="s">
        <v>102</v>
      </c>
      <c r="CA64" s="11" t="s">
        <v>103</v>
      </c>
    </row>
    <row r="65">
      <c r="A65" s="12">
        <v>622.0</v>
      </c>
      <c r="B65" s="13" t="s">
        <v>829</v>
      </c>
      <c r="C65" s="13" t="s">
        <v>830</v>
      </c>
      <c r="D65" s="13">
        <v>6001502.0</v>
      </c>
      <c r="E65" s="13" t="s">
        <v>81</v>
      </c>
      <c r="F65" s="14">
        <v>46119.0</v>
      </c>
      <c r="G65" s="15"/>
      <c r="H65" s="13" t="s">
        <v>239</v>
      </c>
      <c r="I65" s="13" t="s">
        <v>240</v>
      </c>
      <c r="J65" s="13" t="s">
        <v>155</v>
      </c>
      <c r="K65" s="13">
        <v>1.0</v>
      </c>
      <c r="L65" s="13" t="s">
        <v>831</v>
      </c>
      <c r="M65" s="13" t="s">
        <v>292</v>
      </c>
      <c r="N65" s="13" t="s">
        <v>126</v>
      </c>
      <c r="O65" s="13">
        <v>4.034718819E9</v>
      </c>
      <c r="P65" s="16"/>
      <c r="Q65" s="16"/>
      <c r="R65" s="17"/>
      <c r="S65" s="13" t="s">
        <v>832</v>
      </c>
      <c r="T65" s="13" t="s">
        <v>833</v>
      </c>
      <c r="U65" s="13">
        <v>1.06001502E8</v>
      </c>
      <c r="V65" s="17"/>
      <c r="W65" s="16"/>
      <c r="X65" s="13">
        <v>1.5141294019E10</v>
      </c>
      <c r="Y65" s="13">
        <v>1060006.0</v>
      </c>
      <c r="Z65" s="17"/>
      <c r="AA65" s="17"/>
      <c r="AB65" s="16"/>
      <c r="AC65" s="17"/>
      <c r="AD65" s="17"/>
      <c r="AE65" s="17"/>
      <c r="AF65" s="15"/>
      <c r="AG65" s="17"/>
      <c r="AH65" s="16"/>
      <c r="AI65" s="16"/>
      <c r="AJ65" s="13" t="s">
        <v>90</v>
      </c>
      <c r="AK65" s="13" t="s">
        <v>244</v>
      </c>
      <c r="AL65" s="25"/>
      <c r="AM65" s="26"/>
      <c r="AN65" s="26"/>
      <c r="AO65" s="16"/>
      <c r="AP65" s="16"/>
      <c r="AQ65" s="13" t="s">
        <v>834</v>
      </c>
      <c r="AR65" s="13" t="s">
        <v>835</v>
      </c>
      <c r="AS65" s="17"/>
      <c r="AT65" s="17"/>
      <c r="AU65" s="17"/>
      <c r="AV65" s="16"/>
      <c r="AW65" s="16"/>
      <c r="AX65" s="16"/>
      <c r="AY65" s="13" t="s">
        <v>836</v>
      </c>
      <c r="AZ65" s="16"/>
      <c r="BA65" s="13">
        <v>344906.0</v>
      </c>
      <c r="BB65" s="13" t="s">
        <v>118</v>
      </c>
      <c r="BC65" s="13" t="s">
        <v>118</v>
      </c>
      <c r="BD65" s="13" t="s">
        <v>118</v>
      </c>
      <c r="BE65" s="13" t="s">
        <v>118</v>
      </c>
      <c r="BF65" s="13" t="s">
        <v>118</v>
      </c>
      <c r="BG65" s="17"/>
      <c r="BH65" s="17"/>
      <c r="BI65" s="16"/>
      <c r="BJ65" s="17"/>
      <c r="BK65" s="16"/>
      <c r="BL65" s="15"/>
      <c r="BM65" s="15"/>
      <c r="BN65" s="17"/>
      <c r="BO65" s="15"/>
      <c r="BP65" s="15"/>
      <c r="BQ65" s="17"/>
      <c r="BR65" s="15"/>
      <c r="BS65" s="15"/>
      <c r="BT65" s="17"/>
      <c r="BU65" s="13" t="s">
        <v>120</v>
      </c>
      <c r="BV65" s="13" t="s">
        <v>308</v>
      </c>
      <c r="BW65" s="21">
        <v>35.0</v>
      </c>
      <c r="BX65" s="13" t="s">
        <v>101</v>
      </c>
      <c r="BY65" s="15"/>
      <c r="BZ65" s="13" t="s">
        <v>102</v>
      </c>
      <c r="CA65" s="22" t="s">
        <v>103</v>
      </c>
    </row>
    <row r="66">
      <c r="A66" s="4">
        <v>630.0</v>
      </c>
      <c r="B66" s="5" t="s">
        <v>837</v>
      </c>
      <c r="C66" s="5" t="s">
        <v>838</v>
      </c>
      <c r="D66" s="5">
        <v>6001469.0</v>
      </c>
      <c r="E66" s="5" t="s">
        <v>81</v>
      </c>
      <c r="F66" s="6">
        <v>46119.0</v>
      </c>
      <c r="G66" s="7"/>
      <c r="H66" s="5" t="s">
        <v>239</v>
      </c>
      <c r="I66" s="5" t="s">
        <v>240</v>
      </c>
      <c r="J66" s="5" t="s">
        <v>155</v>
      </c>
      <c r="K66" s="5">
        <v>1.0</v>
      </c>
      <c r="L66" s="5" t="s">
        <v>839</v>
      </c>
      <c r="M66" s="5" t="s">
        <v>196</v>
      </c>
      <c r="N66" s="5" t="s">
        <v>126</v>
      </c>
      <c r="O66" s="5">
        <v>4.034797579E9</v>
      </c>
      <c r="P66" s="8"/>
      <c r="Q66" s="8"/>
      <c r="R66" s="9"/>
      <c r="S66" s="5" t="s">
        <v>840</v>
      </c>
      <c r="T66" s="5" t="s">
        <v>841</v>
      </c>
      <c r="U66" s="5">
        <v>1.06001469E8</v>
      </c>
      <c r="V66" s="9"/>
      <c r="W66" s="8"/>
      <c r="X66" s="5">
        <v>1.5141294087E10</v>
      </c>
      <c r="Y66" s="5">
        <v>1060025.0</v>
      </c>
      <c r="Z66" s="9"/>
      <c r="AA66" s="9"/>
      <c r="AB66" s="8"/>
      <c r="AC66" s="8"/>
      <c r="AD66" s="9"/>
      <c r="AE66" s="9"/>
      <c r="AF66" s="7"/>
      <c r="AG66" s="9"/>
      <c r="AH66" s="8"/>
      <c r="AI66" s="8"/>
      <c r="AJ66" s="5" t="s">
        <v>90</v>
      </c>
      <c r="AK66" s="5" t="s">
        <v>244</v>
      </c>
      <c r="AL66" s="9"/>
      <c r="AM66" s="27"/>
      <c r="AN66" s="27"/>
      <c r="AO66" s="8"/>
      <c r="AP66" s="8"/>
      <c r="AQ66" s="5" t="s">
        <v>842</v>
      </c>
      <c r="AR66" s="5" t="s">
        <v>835</v>
      </c>
      <c r="AS66" s="9"/>
      <c r="AT66" s="9"/>
      <c r="AU66" s="9"/>
      <c r="AV66" s="8"/>
      <c r="AW66" s="8"/>
      <c r="AX66" s="8"/>
      <c r="AY66" s="5" t="s">
        <v>843</v>
      </c>
      <c r="AZ66" s="8"/>
      <c r="BA66" s="5">
        <v>992858.0</v>
      </c>
      <c r="BB66" s="5" t="s">
        <v>118</v>
      </c>
      <c r="BC66" s="5" t="s">
        <v>118</v>
      </c>
      <c r="BD66" s="5" t="s">
        <v>118</v>
      </c>
      <c r="BE66" s="5" t="s">
        <v>118</v>
      </c>
      <c r="BF66" s="5" t="s">
        <v>118</v>
      </c>
      <c r="BG66" s="9"/>
      <c r="BH66" s="9"/>
      <c r="BI66" s="9"/>
      <c r="BJ66" s="9"/>
      <c r="BK66" s="8"/>
      <c r="BL66" s="7"/>
      <c r="BM66" s="7"/>
      <c r="BN66" s="9"/>
      <c r="BO66" s="7"/>
      <c r="BP66" s="7"/>
      <c r="BQ66" s="9"/>
      <c r="BR66" s="7"/>
      <c r="BS66" s="7"/>
      <c r="BT66" s="9"/>
      <c r="BU66" s="5" t="s">
        <v>120</v>
      </c>
      <c r="BV66" s="5" t="s">
        <v>308</v>
      </c>
      <c r="BW66" s="23">
        <v>35.0</v>
      </c>
      <c r="BX66" s="5" t="s">
        <v>101</v>
      </c>
      <c r="BY66" s="7"/>
      <c r="BZ66" s="5" t="s">
        <v>102</v>
      </c>
      <c r="CA66" s="11" t="s">
        <v>103</v>
      </c>
    </row>
    <row r="67">
      <c r="A67" s="12">
        <v>192.0</v>
      </c>
      <c r="B67" s="13" t="s">
        <v>844</v>
      </c>
      <c r="C67" s="13" t="s">
        <v>845</v>
      </c>
      <c r="D67" s="13">
        <v>980945.0</v>
      </c>
      <c r="E67" s="13" t="s">
        <v>81</v>
      </c>
      <c r="F67" s="14">
        <v>44578.0</v>
      </c>
      <c r="G67" s="15"/>
      <c r="H67" s="13" t="s">
        <v>82</v>
      </c>
      <c r="I67" s="13" t="s">
        <v>240</v>
      </c>
      <c r="J67" s="13" t="s">
        <v>155</v>
      </c>
      <c r="K67" s="13">
        <v>2.0</v>
      </c>
      <c r="L67" s="13" t="s">
        <v>846</v>
      </c>
      <c r="M67" s="13" t="s">
        <v>196</v>
      </c>
      <c r="N67" s="13" t="s">
        <v>126</v>
      </c>
      <c r="O67" s="13">
        <v>8.257346848E9</v>
      </c>
      <c r="P67" s="16"/>
      <c r="Q67" s="16"/>
      <c r="R67" s="13" t="s">
        <v>847</v>
      </c>
      <c r="S67" s="13" t="s">
        <v>848</v>
      </c>
      <c r="T67" s="13" t="s">
        <v>849</v>
      </c>
      <c r="U67" s="13">
        <v>1.00980945E8</v>
      </c>
      <c r="V67" s="13" t="s">
        <v>850</v>
      </c>
      <c r="W67" s="16"/>
      <c r="X67" s="13">
        <v>1.6041295074E10</v>
      </c>
      <c r="Y67" s="13">
        <v>1067383.0</v>
      </c>
      <c r="Z67" s="16"/>
      <c r="AA67" s="16"/>
      <c r="AB67" s="16"/>
      <c r="AC67" s="17"/>
      <c r="AD67" s="17"/>
      <c r="AE67" s="17"/>
      <c r="AF67" s="15"/>
      <c r="AG67" s="17"/>
      <c r="AH67" s="16"/>
      <c r="AI67" s="16"/>
      <c r="AJ67" s="13" t="s">
        <v>90</v>
      </c>
      <c r="AK67" s="13" t="s">
        <v>91</v>
      </c>
      <c r="AL67" s="19">
        <v>46115.0</v>
      </c>
      <c r="AM67" s="20">
        <v>0.25</v>
      </c>
      <c r="AN67" s="20">
        <v>0.625</v>
      </c>
      <c r="AO67" s="16"/>
      <c r="AP67" s="16"/>
      <c r="AQ67" s="13" t="s">
        <v>851</v>
      </c>
      <c r="AR67" s="13" t="s">
        <v>852</v>
      </c>
      <c r="AS67" s="13" t="s">
        <v>853</v>
      </c>
      <c r="AT67" s="13">
        <v>8.257347311E9</v>
      </c>
      <c r="AU67" s="13" t="s">
        <v>854</v>
      </c>
      <c r="AV67" s="16"/>
      <c r="AW67" s="16"/>
      <c r="AX67" s="16"/>
      <c r="AY67" s="13" t="s">
        <v>855</v>
      </c>
      <c r="AZ67" s="16"/>
      <c r="BA67" s="13" t="s">
        <v>150</v>
      </c>
      <c r="BB67" s="13" t="s">
        <v>118</v>
      </c>
      <c r="BC67" s="13" t="s">
        <v>118</v>
      </c>
      <c r="BD67" s="13" t="s">
        <v>97</v>
      </c>
      <c r="BE67" s="13" t="s">
        <v>97</v>
      </c>
      <c r="BF67" s="13" t="s">
        <v>97</v>
      </c>
      <c r="BG67" s="13" t="s">
        <v>118</v>
      </c>
      <c r="BH67" s="13" t="s">
        <v>97</v>
      </c>
      <c r="BI67" s="17"/>
      <c r="BJ67" s="13" t="s">
        <v>151</v>
      </c>
      <c r="BK67" s="16"/>
      <c r="BL67" s="14">
        <v>44706.0</v>
      </c>
      <c r="BM67" s="14">
        <v>44801.0</v>
      </c>
      <c r="BN67" s="13" t="s">
        <v>120</v>
      </c>
      <c r="BO67" s="15"/>
      <c r="BP67" s="15"/>
      <c r="BQ67" s="17"/>
      <c r="BR67" s="15"/>
      <c r="BS67" s="15"/>
      <c r="BT67" s="17"/>
      <c r="BU67" s="13" t="s">
        <v>120</v>
      </c>
      <c r="BV67" s="13" t="s">
        <v>100</v>
      </c>
      <c r="BW67" s="21">
        <v>17.0</v>
      </c>
      <c r="BX67" s="13" t="s">
        <v>101</v>
      </c>
      <c r="BY67" s="14">
        <v>44594.0</v>
      </c>
      <c r="BZ67" s="13" t="s">
        <v>102</v>
      </c>
      <c r="CA67" s="22" t="s">
        <v>103</v>
      </c>
    </row>
    <row r="68">
      <c r="A68" s="4">
        <v>598.0</v>
      </c>
      <c r="B68" s="5" t="s">
        <v>856</v>
      </c>
      <c r="C68" s="5" t="s">
        <v>857</v>
      </c>
      <c r="D68" s="5">
        <v>769716.0</v>
      </c>
      <c r="E68" s="5" t="s">
        <v>81</v>
      </c>
      <c r="F68" s="6">
        <v>45797.0</v>
      </c>
      <c r="G68" s="8"/>
      <c r="H68" s="5" t="s">
        <v>82</v>
      </c>
      <c r="I68" s="5" t="s">
        <v>107</v>
      </c>
      <c r="J68" s="5" t="s">
        <v>84</v>
      </c>
      <c r="K68" s="5">
        <v>2.0</v>
      </c>
      <c r="L68" s="5" t="s">
        <v>858</v>
      </c>
      <c r="M68" s="5" t="s">
        <v>142</v>
      </c>
      <c r="N68" s="5" t="s">
        <v>126</v>
      </c>
      <c r="O68" s="5">
        <v>4.38889673E9</v>
      </c>
      <c r="P68" s="9"/>
      <c r="Q68" s="8"/>
      <c r="R68" s="9"/>
      <c r="S68" s="5" t="s">
        <v>859</v>
      </c>
      <c r="T68" s="5" t="s">
        <v>860</v>
      </c>
      <c r="U68" s="5">
        <v>1.00769716E8</v>
      </c>
      <c r="V68" s="9"/>
      <c r="W68" s="8"/>
      <c r="X68" s="5">
        <v>1.5141294032E10</v>
      </c>
      <c r="Y68" s="5">
        <v>1060023.0</v>
      </c>
      <c r="Z68" s="8"/>
      <c r="AA68" s="9"/>
      <c r="AB68" s="8"/>
      <c r="AC68" s="8"/>
      <c r="AD68" s="9"/>
      <c r="AE68" s="9"/>
      <c r="AF68" s="6">
        <v>46021.0</v>
      </c>
      <c r="AG68" s="5">
        <v>972875.0</v>
      </c>
      <c r="AH68" s="8"/>
      <c r="AI68" s="8"/>
      <c r="AJ68" s="5" t="s">
        <v>90</v>
      </c>
      <c r="AK68" s="5" t="s">
        <v>91</v>
      </c>
      <c r="AL68" s="24">
        <v>46115.0</v>
      </c>
      <c r="AM68" s="10">
        <v>0.5833333333333334</v>
      </c>
      <c r="AN68" s="10">
        <v>0.9583333333333334</v>
      </c>
      <c r="AO68" s="8"/>
      <c r="AP68" s="8"/>
      <c r="AQ68" s="5" t="s">
        <v>861</v>
      </c>
      <c r="AR68" s="5" t="s">
        <v>862</v>
      </c>
      <c r="AS68" s="9"/>
      <c r="AT68" s="9"/>
      <c r="AU68" s="9"/>
      <c r="AV68" s="8"/>
      <c r="AW68" s="8"/>
      <c r="AX68" s="8"/>
      <c r="AY68" s="5" t="s">
        <v>863</v>
      </c>
      <c r="AZ68" s="8"/>
      <c r="BA68" s="5">
        <v>943307.0</v>
      </c>
      <c r="BB68" s="5" t="s">
        <v>97</v>
      </c>
      <c r="BC68" s="5" t="s">
        <v>97</v>
      </c>
      <c r="BD68" s="5" t="s">
        <v>118</v>
      </c>
      <c r="BE68" s="5" t="s">
        <v>118</v>
      </c>
      <c r="BF68" s="5" t="s">
        <v>97</v>
      </c>
      <c r="BG68" s="5" t="s">
        <v>97</v>
      </c>
      <c r="BH68" s="9"/>
      <c r="BI68" s="9"/>
      <c r="BJ68" s="5" t="s">
        <v>176</v>
      </c>
      <c r="BK68" s="8"/>
      <c r="BL68" s="6">
        <v>45911.0</v>
      </c>
      <c r="BM68" s="6">
        <v>45978.0</v>
      </c>
      <c r="BN68" s="5" t="s">
        <v>120</v>
      </c>
      <c r="BO68" s="7"/>
      <c r="BP68" s="7"/>
      <c r="BQ68" s="9"/>
      <c r="BR68" s="7"/>
      <c r="BS68" s="7"/>
      <c r="BT68" s="9"/>
      <c r="BU68" s="5" t="s">
        <v>99</v>
      </c>
      <c r="BV68" s="5" t="s">
        <v>100</v>
      </c>
      <c r="BW68" s="23">
        <v>34.0</v>
      </c>
      <c r="BX68" s="5" t="s">
        <v>101</v>
      </c>
      <c r="BY68" s="6">
        <v>45876.0</v>
      </c>
      <c r="BZ68" s="5" t="s">
        <v>102</v>
      </c>
      <c r="CA68" s="11" t="s">
        <v>103</v>
      </c>
    </row>
    <row r="69">
      <c r="A69" s="12">
        <v>354.0</v>
      </c>
      <c r="B69" s="13" t="s">
        <v>864</v>
      </c>
      <c r="C69" s="13" t="s">
        <v>865</v>
      </c>
      <c r="D69" s="13">
        <v>992431.0</v>
      </c>
      <c r="E69" s="13" t="s">
        <v>81</v>
      </c>
      <c r="F69" s="14">
        <v>44823.0</v>
      </c>
      <c r="G69" s="15"/>
      <c r="H69" s="13" t="s">
        <v>106</v>
      </c>
      <c r="I69" s="13" t="s">
        <v>83</v>
      </c>
      <c r="J69" s="13" t="s">
        <v>84</v>
      </c>
      <c r="K69" s="13">
        <v>3.0</v>
      </c>
      <c r="L69" s="13" t="s">
        <v>866</v>
      </c>
      <c r="M69" s="13" t="s">
        <v>142</v>
      </c>
      <c r="N69" s="13" t="s">
        <v>126</v>
      </c>
      <c r="O69" s="13">
        <v>8.193183174E9</v>
      </c>
      <c r="P69" s="17"/>
      <c r="Q69" s="16"/>
      <c r="R69" s="13" t="s">
        <v>867</v>
      </c>
      <c r="S69" s="13" t="s">
        <v>868</v>
      </c>
      <c r="T69" s="13" t="s">
        <v>869</v>
      </c>
      <c r="U69" s="13">
        <v>1.00992431E8</v>
      </c>
      <c r="V69" s="13" t="s">
        <v>865</v>
      </c>
      <c r="W69" s="16"/>
      <c r="X69" s="13">
        <v>1.5141294081E10</v>
      </c>
      <c r="Y69" s="13">
        <v>1066151.0</v>
      </c>
      <c r="Z69" s="16"/>
      <c r="AA69" s="16"/>
      <c r="AB69" s="16"/>
      <c r="AC69" s="16"/>
      <c r="AD69" s="13" t="s">
        <v>870</v>
      </c>
      <c r="AE69" s="17"/>
      <c r="AF69" s="14">
        <v>45370.0</v>
      </c>
      <c r="AG69" s="13">
        <v>969507.0</v>
      </c>
      <c r="AH69" s="16"/>
      <c r="AI69" s="16"/>
      <c r="AJ69" s="13" t="s">
        <v>406</v>
      </c>
      <c r="AK69" s="13" t="s">
        <v>91</v>
      </c>
      <c r="AL69" s="13" t="s">
        <v>407</v>
      </c>
      <c r="AM69" s="20">
        <v>0.875</v>
      </c>
      <c r="AN69" s="20">
        <v>0.08333333333333333</v>
      </c>
      <c r="AO69" s="16"/>
      <c r="AP69" s="16"/>
      <c r="AQ69" s="13" t="s">
        <v>871</v>
      </c>
      <c r="AR69" s="13" t="s">
        <v>872</v>
      </c>
      <c r="AS69" s="13" t="s">
        <v>873</v>
      </c>
      <c r="AT69" s="13">
        <v>8.196356447E9</v>
      </c>
      <c r="AU69" s="17"/>
      <c r="AV69" s="16"/>
      <c r="AW69" s="16"/>
      <c r="AX69" s="16"/>
      <c r="AY69" s="13" t="s">
        <v>874</v>
      </c>
      <c r="AZ69" s="16"/>
      <c r="BA69" s="13" t="s">
        <v>96</v>
      </c>
      <c r="BB69" s="13" t="s">
        <v>118</v>
      </c>
      <c r="BC69" s="13" t="s">
        <v>97</v>
      </c>
      <c r="BD69" s="13" t="s">
        <v>97</v>
      </c>
      <c r="BE69" s="13" t="s">
        <v>118</v>
      </c>
      <c r="BF69" s="13" t="s">
        <v>118</v>
      </c>
      <c r="BG69" s="13" t="s">
        <v>118</v>
      </c>
      <c r="BH69" s="13" t="s">
        <v>97</v>
      </c>
      <c r="BI69" s="13" t="s">
        <v>875</v>
      </c>
      <c r="BJ69" s="13" t="s">
        <v>876</v>
      </c>
      <c r="BK69" s="16"/>
      <c r="BL69" s="14">
        <v>44965.0</v>
      </c>
      <c r="BM69" s="14">
        <v>45405.0</v>
      </c>
      <c r="BN69" s="13" t="s">
        <v>120</v>
      </c>
      <c r="BO69" s="14">
        <v>46093.0</v>
      </c>
      <c r="BP69" s="15"/>
      <c r="BQ69" s="17"/>
      <c r="BR69" s="15"/>
      <c r="BS69" s="15"/>
      <c r="BT69" s="17"/>
      <c r="BU69" s="13" t="s">
        <v>99</v>
      </c>
      <c r="BV69" s="13" t="s">
        <v>100</v>
      </c>
      <c r="BW69" s="21">
        <v>18.0</v>
      </c>
      <c r="BX69" s="13" t="s">
        <v>411</v>
      </c>
      <c r="BY69" s="14">
        <v>44841.0</v>
      </c>
      <c r="BZ69" s="13" t="s">
        <v>102</v>
      </c>
      <c r="CA69" s="22" t="s">
        <v>103</v>
      </c>
    </row>
    <row r="70">
      <c r="A70" s="4">
        <v>193.0</v>
      </c>
      <c r="B70" s="5" t="s">
        <v>877</v>
      </c>
      <c r="C70" s="5" t="s">
        <v>878</v>
      </c>
      <c r="D70" s="5">
        <v>956375.0</v>
      </c>
      <c r="E70" s="5" t="s">
        <v>193</v>
      </c>
      <c r="F70" s="6">
        <v>41918.0</v>
      </c>
      <c r="G70" s="7"/>
      <c r="H70" s="5" t="s">
        <v>82</v>
      </c>
      <c r="I70" s="5" t="s">
        <v>107</v>
      </c>
      <c r="J70" s="5" t="s">
        <v>84</v>
      </c>
      <c r="K70" s="5">
        <v>2.0</v>
      </c>
      <c r="L70" s="5" t="s">
        <v>879</v>
      </c>
      <c r="M70" s="5" t="s">
        <v>86</v>
      </c>
      <c r="N70" s="5" t="s">
        <v>87</v>
      </c>
      <c r="O70" s="5" t="s">
        <v>880</v>
      </c>
      <c r="P70" s="8"/>
      <c r="Q70" s="8"/>
      <c r="R70" s="5" t="s">
        <v>881</v>
      </c>
      <c r="S70" s="5" t="s">
        <v>882</v>
      </c>
      <c r="T70" s="5" t="s">
        <v>883</v>
      </c>
      <c r="U70" s="5">
        <v>1.00956375E8</v>
      </c>
      <c r="V70" s="5" t="s">
        <v>884</v>
      </c>
      <c r="W70" s="8"/>
      <c r="X70" s="5">
        <v>1.5141294328E10</v>
      </c>
      <c r="Y70" s="5">
        <v>1066256.0</v>
      </c>
      <c r="Z70" s="8"/>
      <c r="AA70" s="9"/>
      <c r="AB70" s="8"/>
      <c r="AC70" s="8"/>
      <c r="AD70" s="9"/>
      <c r="AE70" s="9"/>
      <c r="AF70" s="6">
        <v>42165.0</v>
      </c>
      <c r="AG70" s="5">
        <v>19204.0</v>
      </c>
      <c r="AH70" s="8"/>
      <c r="AI70" s="8"/>
      <c r="AJ70" s="5" t="s">
        <v>90</v>
      </c>
      <c r="AK70" s="5" t="s">
        <v>91</v>
      </c>
      <c r="AL70" s="24">
        <v>46115.0</v>
      </c>
      <c r="AM70" s="10">
        <v>0.2916666666666667</v>
      </c>
      <c r="AN70" s="10">
        <v>0.6458333333333334</v>
      </c>
      <c r="AO70" s="8"/>
      <c r="AP70" s="8"/>
      <c r="AQ70" s="5" t="s">
        <v>885</v>
      </c>
      <c r="AR70" s="5" t="s">
        <v>886</v>
      </c>
      <c r="AS70" s="9"/>
      <c r="AT70" s="9"/>
      <c r="AU70" s="9"/>
      <c r="AV70" s="8"/>
      <c r="AW70" s="8"/>
      <c r="AX70" s="8"/>
      <c r="AY70" s="5" t="s">
        <v>887</v>
      </c>
      <c r="AZ70" s="8"/>
      <c r="BA70" s="9"/>
      <c r="BB70" s="5" t="s">
        <v>97</v>
      </c>
      <c r="BC70" s="5" t="s">
        <v>97</v>
      </c>
      <c r="BD70" s="5" t="s">
        <v>97</v>
      </c>
      <c r="BE70" s="9"/>
      <c r="BF70" s="5" t="s">
        <v>97</v>
      </c>
      <c r="BG70" s="9"/>
      <c r="BH70" s="9"/>
      <c r="BI70" s="8"/>
      <c r="BJ70" s="5" t="s">
        <v>98</v>
      </c>
      <c r="BK70" s="8"/>
      <c r="BL70" s="7"/>
      <c r="BM70" s="7"/>
      <c r="BN70" s="5" t="s">
        <v>120</v>
      </c>
      <c r="BO70" s="7"/>
      <c r="BP70" s="7"/>
      <c r="BQ70" s="9"/>
      <c r="BR70" s="7"/>
      <c r="BS70" s="7"/>
      <c r="BT70" s="9"/>
      <c r="BU70" s="5" t="s">
        <v>99</v>
      </c>
      <c r="BV70" s="5" t="s">
        <v>121</v>
      </c>
      <c r="BW70" s="23">
        <v>34.0</v>
      </c>
      <c r="BX70" s="5" t="s">
        <v>101</v>
      </c>
      <c r="BY70" s="7"/>
      <c r="BZ70" s="5" t="s">
        <v>102</v>
      </c>
      <c r="CA70" s="11" t="s">
        <v>103</v>
      </c>
    </row>
    <row r="71">
      <c r="A71" s="12">
        <v>194.0</v>
      </c>
      <c r="B71" s="13" t="s">
        <v>888</v>
      </c>
      <c r="C71" s="13" t="s">
        <v>889</v>
      </c>
      <c r="D71" s="13">
        <v>955765.0</v>
      </c>
      <c r="E71" s="13" t="s">
        <v>81</v>
      </c>
      <c r="F71" s="14">
        <v>38798.0</v>
      </c>
      <c r="G71" s="15"/>
      <c r="H71" s="13" t="s">
        <v>106</v>
      </c>
      <c r="I71" s="13" t="s">
        <v>107</v>
      </c>
      <c r="J71" s="13" t="s">
        <v>84</v>
      </c>
      <c r="K71" s="13">
        <v>4.0</v>
      </c>
      <c r="L71" s="13" t="s">
        <v>890</v>
      </c>
      <c r="M71" s="13" t="s">
        <v>250</v>
      </c>
      <c r="N71" s="13" t="s">
        <v>87</v>
      </c>
      <c r="O71" s="13" t="s">
        <v>891</v>
      </c>
      <c r="P71" s="17"/>
      <c r="Q71" s="16"/>
      <c r="R71" s="13" t="s">
        <v>892</v>
      </c>
      <c r="S71" s="13" t="s">
        <v>893</v>
      </c>
      <c r="T71" s="13" t="s">
        <v>894</v>
      </c>
      <c r="U71" s="13">
        <v>1.00955765E8</v>
      </c>
      <c r="V71" s="13" t="s">
        <v>895</v>
      </c>
      <c r="W71" s="16"/>
      <c r="X71" s="13">
        <v>1.514129418E10</v>
      </c>
      <c r="Y71" s="13">
        <v>1066028.0</v>
      </c>
      <c r="Z71" s="16"/>
      <c r="AA71" s="16"/>
      <c r="AB71" s="16"/>
      <c r="AC71" s="17"/>
      <c r="AD71" s="13" t="s">
        <v>896</v>
      </c>
      <c r="AE71" s="17"/>
      <c r="AF71" s="14">
        <v>39956.0</v>
      </c>
      <c r="AG71" s="13">
        <v>4621.0</v>
      </c>
      <c r="AH71" s="16"/>
      <c r="AI71" s="16"/>
      <c r="AJ71" s="13" t="s">
        <v>90</v>
      </c>
      <c r="AK71" s="13" t="s">
        <v>91</v>
      </c>
      <c r="AL71" s="13" t="s">
        <v>92</v>
      </c>
      <c r="AM71" s="20">
        <v>0.2916666666666667</v>
      </c>
      <c r="AN71" s="20">
        <v>0.7083333333333334</v>
      </c>
      <c r="AO71" s="16"/>
      <c r="AP71" s="16"/>
      <c r="AQ71" s="13" t="s">
        <v>897</v>
      </c>
      <c r="AR71" s="13" t="s">
        <v>898</v>
      </c>
      <c r="AS71" s="17"/>
      <c r="AT71" s="17"/>
      <c r="AU71" s="17"/>
      <c r="AV71" s="16"/>
      <c r="AW71" s="16"/>
      <c r="AX71" s="16"/>
      <c r="AY71" s="13" t="s">
        <v>899</v>
      </c>
      <c r="AZ71" s="16"/>
      <c r="BA71" s="13">
        <v>66028.0</v>
      </c>
      <c r="BB71" s="13" t="s">
        <v>97</v>
      </c>
      <c r="BC71" s="13" t="s">
        <v>97</v>
      </c>
      <c r="BD71" s="13" t="s">
        <v>97</v>
      </c>
      <c r="BE71" s="13" t="s">
        <v>97</v>
      </c>
      <c r="BF71" s="13" t="s">
        <v>97</v>
      </c>
      <c r="BG71" s="13" t="s">
        <v>97</v>
      </c>
      <c r="BH71" s="13" t="s">
        <v>97</v>
      </c>
      <c r="BI71" s="16"/>
      <c r="BJ71" s="13" t="s">
        <v>98</v>
      </c>
      <c r="BK71" s="16"/>
      <c r="BL71" s="15"/>
      <c r="BM71" s="15"/>
      <c r="BN71" s="13" t="s">
        <v>120</v>
      </c>
      <c r="BO71" s="15"/>
      <c r="BP71" s="15"/>
      <c r="BQ71" s="13" t="s">
        <v>120</v>
      </c>
      <c r="BR71" s="15"/>
      <c r="BS71" s="15"/>
      <c r="BT71" s="13" t="s">
        <v>120</v>
      </c>
      <c r="BU71" s="13" t="s">
        <v>99</v>
      </c>
      <c r="BV71" s="13" t="s">
        <v>100</v>
      </c>
      <c r="BW71" s="21">
        <v>35.0</v>
      </c>
      <c r="BX71" s="13" t="s">
        <v>101</v>
      </c>
      <c r="BY71" s="15"/>
      <c r="BZ71" s="13" t="s">
        <v>102</v>
      </c>
      <c r="CA71" s="22" t="s">
        <v>103</v>
      </c>
    </row>
    <row r="72">
      <c r="A72" s="4">
        <v>613.0</v>
      </c>
      <c r="B72" s="5" t="s">
        <v>900</v>
      </c>
      <c r="C72" s="5" t="s">
        <v>901</v>
      </c>
      <c r="D72" s="5">
        <v>773651.0</v>
      </c>
      <c r="E72" s="5" t="s">
        <v>81</v>
      </c>
      <c r="F72" s="6">
        <v>45957.0</v>
      </c>
      <c r="G72" s="7"/>
      <c r="H72" s="5" t="s">
        <v>82</v>
      </c>
      <c r="I72" s="5" t="s">
        <v>107</v>
      </c>
      <c r="J72" s="5" t="s">
        <v>84</v>
      </c>
      <c r="K72" s="5">
        <v>2.0</v>
      </c>
      <c r="L72" s="5" t="s">
        <v>902</v>
      </c>
      <c r="M72" s="5" t="s">
        <v>196</v>
      </c>
      <c r="N72" s="5" t="s">
        <v>126</v>
      </c>
      <c r="O72" s="5">
        <v>5.069530272E9</v>
      </c>
      <c r="P72" s="8"/>
      <c r="Q72" s="8"/>
      <c r="R72" s="9"/>
      <c r="S72" s="5" t="s">
        <v>903</v>
      </c>
      <c r="T72" s="5" t="s">
        <v>904</v>
      </c>
      <c r="U72" s="5">
        <v>1.00773651E8</v>
      </c>
      <c r="V72" s="9"/>
      <c r="W72" s="8"/>
      <c r="X72" s="5">
        <v>1.514129404E10</v>
      </c>
      <c r="Y72" s="5">
        <v>1060062.0</v>
      </c>
      <c r="Z72" s="8"/>
      <c r="AA72" s="9"/>
      <c r="AB72" s="9"/>
      <c r="AC72" s="8"/>
      <c r="AD72" s="9"/>
      <c r="AE72" s="9"/>
      <c r="AF72" s="7"/>
      <c r="AG72" s="9"/>
      <c r="AH72" s="8"/>
      <c r="AI72" s="8"/>
      <c r="AJ72" s="5" t="s">
        <v>90</v>
      </c>
      <c r="AK72" s="5" t="s">
        <v>91</v>
      </c>
      <c r="AL72" s="5" t="s">
        <v>92</v>
      </c>
      <c r="AM72" s="10">
        <v>0.8125</v>
      </c>
      <c r="AN72" s="10">
        <v>0.25</v>
      </c>
      <c r="AO72" s="8"/>
      <c r="AP72" s="8"/>
      <c r="AQ72" s="5" t="s">
        <v>905</v>
      </c>
      <c r="AR72" s="5" t="s">
        <v>906</v>
      </c>
      <c r="AS72" s="9"/>
      <c r="AT72" s="9"/>
      <c r="AU72" s="8"/>
      <c r="AV72" s="8"/>
      <c r="AW72" s="8"/>
      <c r="AX72" s="8"/>
      <c r="AY72" s="5" t="s">
        <v>907</v>
      </c>
      <c r="AZ72" s="8"/>
      <c r="BA72" s="5" t="s">
        <v>96</v>
      </c>
      <c r="BB72" s="5" t="s">
        <v>97</v>
      </c>
      <c r="BC72" s="5" t="s">
        <v>97</v>
      </c>
      <c r="BD72" s="5" t="s">
        <v>97</v>
      </c>
      <c r="BE72" s="5" t="s">
        <v>97</v>
      </c>
      <c r="BF72" s="5" t="s">
        <v>97</v>
      </c>
      <c r="BG72" s="5" t="s">
        <v>97</v>
      </c>
      <c r="BH72" s="5" t="s">
        <v>97</v>
      </c>
      <c r="BI72" s="9"/>
      <c r="BJ72" s="5" t="s">
        <v>151</v>
      </c>
      <c r="BK72" s="8"/>
      <c r="BL72" s="6">
        <v>46056.0</v>
      </c>
      <c r="BM72" s="6">
        <v>46105.0</v>
      </c>
      <c r="BN72" s="9"/>
      <c r="BO72" s="7"/>
      <c r="BP72" s="7"/>
      <c r="BQ72" s="9"/>
      <c r="BR72" s="7"/>
      <c r="BS72" s="7"/>
      <c r="BT72" s="9"/>
      <c r="BU72" s="5" t="s">
        <v>99</v>
      </c>
      <c r="BV72" s="5" t="s">
        <v>121</v>
      </c>
      <c r="BW72" s="9"/>
      <c r="BX72" s="5" t="s">
        <v>101</v>
      </c>
      <c r="BY72" s="6">
        <v>46032.0</v>
      </c>
      <c r="BZ72" s="5" t="s">
        <v>102</v>
      </c>
      <c r="CA72" s="11" t="s">
        <v>103</v>
      </c>
    </row>
    <row r="73">
      <c r="A73" s="12">
        <v>635.0</v>
      </c>
      <c r="B73" s="13" t="s">
        <v>908</v>
      </c>
      <c r="C73" s="13" t="s">
        <v>909</v>
      </c>
      <c r="D73" s="13">
        <v>6001434.0</v>
      </c>
      <c r="E73" s="13" t="s">
        <v>81</v>
      </c>
      <c r="F73" s="14">
        <v>46119.0</v>
      </c>
      <c r="G73" s="16"/>
      <c r="H73" s="13" t="s">
        <v>239</v>
      </c>
      <c r="I73" s="13" t="s">
        <v>240</v>
      </c>
      <c r="J73" s="13" t="s">
        <v>155</v>
      </c>
      <c r="K73" s="13">
        <v>1.0</v>
      </c>
      <c r="L73" s="13" t="s">
        <v>910</v>
      </c>
      <c r="M73" s="13" t="s">
        <v>292</v>
      </c>
      <c r="N73" s="13" t="s">
        <v>126</v>
      </c>
      <c r="O73" s="13">
        <v>9.05517445E9</v>
      </c>
      <c r="P73" s="16"/>
      <c r="Q73" s="16"/>
      <c r="R73" s="17"/>
      <c r="S73" s="13" t="s">
        <v>911</v>
      </c>
      <c r="T73" s="13" t="s">
        <v>912</v>
      </c>
      <c r="U73" s="13">
        <v>1.06001434E8</v>
      </c>
      <c r="V73" s="17"/>
      <c r="W73" s="16"/>
      <c r="X73" s="13">
        <v>1.5141294057E10</v>
      </c>
      <c r="Y73" s="13">
        <v>1060042.0</v>
      </c>
      <c r="Z73" s="16"/>
      <c r="AA73" s="16"/>
      <c r="AB73" s="16"/>
      <c r="AC73" s="17"/>
      <c r="AD73" s="17"/>
      <c r="AE73" s="16"/>
      <c r="AF73" s="15"/>
      <c r="AG73" s="17"/>
      <c r="AH73" s="16"/>
      <c r="AI73" s="16"/>
      <c r="AJ73" s="13" t="s">
        <v>90</v>
      </c>
      <c r="AK73" s="13" t="s">
        <v>244</v>
      </c>
      <c r="AL73" s="17"/>
      <c r="AM73" s="26"/>
      <c r="AN73" s="26"/>
      <c r="AO73" s="16"/>
      <c r="AP73" s="16"/>
      <c r="AQ73" s="13" t="s">
        <v>913</v>
      </c>
      <c r="AR73" s="13" t="s">
        <v>914</v>
      </c>
      <c r="AS73" s="17"/>
      <c r="AT73" s="17"/>
      <c r="AU73" s="17"/>
      <c r="AV73" s="16"/>
      <c r="AW73" s="16"/>
      <c r="AX73" s="16"/>
      <c r="AY73" s="13" t="s">
        <v>915</v>
      </c>
      <c r="AZ73" s="16"/>
      <c r="BA73" s="13">
        <v>237929.0</v>
      </c>
      <c r="BB73" s="13" t="s">
        <v>118</v>
      </c>
      <c r="BC73" s="13" t="s">
        <v>118</v>
      </c>
      <c r="BD73" s="13" t="s">
        <v>118</v>
      </c>
      <c r="BE73" s="13" t="s">
        <v>118</v>
      </c>
      <c r="BF73" s="13" t="s">
        <v>118</v>
      </c>
      <c r="BG73" s="17"/>
      <c r="BH73" s="17"/>
      <c r="BI73" s="17"/>
      <c r="BJ73" s="17"/>
      <c r="BK73" s="16"/>
      <c r="BL73" s="15"/>
      <c r="BM73" s="15"/>
      <c r="BN73" s="17"/>
      <c r="BO73" s="15"/>
      <c r="BP73" s="15"/>
      <c r="BQ73" s="17"/>
      <c r="BR73" s="15"/>
      <c r="BS73" s="15"/>
      <c r="BT73" s="16"/>
      <c r="BU73" s="13" t="s">
        <v>120</v>
      </c>
      <c r="BV73" s="13" t="s">
        <v>308</v>
      </c>
      <c r="BW73" s="21">
        <v>35.0</v>
      </c>
      <c r="BX73" s="13" t="s">
        <v>101</v>
      </c>
      <c r="BY73" s="15"/>
      <c r="BZ73" s="13" t="s">
        <v>102</v>
      </c>
      <c r="CA73" s="22" t="s">
        <v>103</v>
      </c>
    </row>
    <row r="74">
      <c r="A74" s="4">
        <v>619.0</v>
      </c>
      <c r="B74" s="5" t="s">
        <v>916</v>
      </c>
      <c r="C74" s="5" t="s">
        <v>917</v>
      </c>
      <c r="D74" s="5">
        <v>773727.0</v>
      </c>
      <c r="E74" s="5" t="s">
        <v>81</v>
      </c>
      <c r="F74" s="6">
        <v>45957.0</v>
      </c>
      <c r="G74" s="8"/>
      <c r="H74" s="5" t="s">
        <v>82</v>
      </c>
      <c r="I74" s="5" t="s">
        <v>107</v>
      </c>
      <c r="J74" s="5" t="s">
        <v>84</v>
      </c>
      <c r="K74" s="5">
        <v>2.0</v>
      </c>
      <c r="L74" s="5" t="s">
        <v>918</v>
      </c>
      <c r="M74" s="5" t="s">
        <v>196</v>
      </c>
      <c r="N74" s="5" t="s">
        <v>126</v>
      </c>
      <c r="O74" s="5">
        <v>5.149126923E9</v>
      </c>
      <c r="P74" s="8"/>
      <c r="Q74" s="8"/>
      <c r="R74" s="9"/>
      <c r="S74" s="5" t="s">
        <v>919</v>
      </c>
      <c r="T74" s="5" t="s">
        <v>920</v>
      </c>
      <c r="U74" s="5">
        <v>1.00773727E8</v>
      </c>
      <c r="V74" s="9"/>
      <c r="W74" s="8"/>
      <c r="X74" s="5">
        <v>1.514129406E10</v>
      </c>
      <c r="Y74" s="5">
        <v>1060065.0</v>
      </c>
      <c r="Z74" s="9"/>
      <c r="AA74" s="9"/>
      <c r="AB74" s="8"/>
      <c r="AC74" s="9"/>
      <c r="AD74" s="9"/>
      <c r="AE74" s="9"/>
      <c r="AF74" s="7"/>
      <c r="AG74" s="9"/>
      <c r="AH74" s="8"/>
      <c r="AI74" s="8"/>
      <c r="AJ74" s="5" t="s">
        <v>90</v>
      </c>
      <c r="AK74" s="5" t="s">
        <v>91</v>
      </c>
      <c r="AL74" s="5" t="s">
        <v>92</v>
      </c>
      <c r="AM74" s="10">
        <v>0.9583333333333334</v>
      </c>
      <c r="AN74" s="10">
        <v>0.3958333333333333</v>
      </c>
      <c r="AO74" s="8"/>
      <c r="AP74" s="8"/>
      <c r="AQ74" s="5" t="s">
        <v>921</v>
      </c>
      <c r="AR74" s="5" t="s">
        <v>922</v>
      </c>
      <c r="AS74" s="9"/>
      <c r="AT74" s="9"/>
      <c r="AU74" s="9"/>
      <c r="AV74" s="8"/>
      <c r="AW74" s="8"/>
      <c r="AX74" s="8"/>
      <c r="AY74" s="5" t="s">
        <v>923</v>
      </c>
      <c r="AZ74" s="8"/>
      <c r="BA74" s="5" t="s">
        <v>96</v>
      </c>
      <c r="BB74" s="5" t="s">
        <v>97</v>
      </c>
      <c r="BC74" s="5" t="s">
        <v>97</v>
      </c>
      <c r="BD74" s="5" t="s">
        <v>97</v>
      </c>
      <c r="BE74" s="5" t="s">
        <v>97</v>
      </c>
      <c r="BF74" s="5" t="s">
        <v>97</v>
      </c>
      <c r="BG74" s="5" t="s">
        <v>97</v>
      </c>
      <c r="BH74" s="5" t="s">
        <v>97</v>
      </c>
      <c r="BI74" s="9"/>
      <c r="BJ74" s="5" t="s">
        <v>151</v>
      </c>
      <c r="BK74" s="8"/>
      <c r="BL74" s="6">
        <v>46049.0</v>
      </c>
      <c r="BM74" s="6">
        <v>46102.0</v>
      </c>
      <c r="BN74" s="9"/>
      <c r="BO74" s="7"/>
      <c r="BP74" s="7"/>
      <c r="BQ74" s="9"/>
      <c r="BR74" s="7"/>
      <c r="BS74" s="7"/>
      <c r="BT74" s="9"/>
      <c r="BU74" s="5" t="s">
        <v>99</v>
      </c>
      <c r="BV74" s="5" t="s">
        <v>100</v>
      </c>
      <c r="BW74" s="9"/>
      <c r="BX74" s="5" t="s">
        <v>101</v>
      </c>
      <c r="BY74" s="6">
        <v>46030.0</v>
      </c>
      <c r="BZ74" s="5" t="s">
        <v>102</v>
      </c>
      <c r="CA74" s="11" t="s">
        <v>103</v>
      </c>
    </row>
    <row r="75">
      <c r="A75" s="12">
        <v>201.0</v>
      </c>
      <c r="B75" s="13" t="s">
        <v>924</v>
      </c>
      <c r="C75" s="13" t="s">
        <v>925</v>
      </c>
      <c r="D75" s="13">
        <v>955719.0</v>
      </c>
      <c r="E75" s="13" t="s">
        <v>81</v>
      </c>
      <c r="F75" s="14">
        <v>42296.0</v>
      </c>
      <c r="G75" s="15"/>
      <c r="H75" s="13" t="s">
        <v>106</v>
      </c>
      <c r="I75" s="13" t="s">
        <v>240</v>
      </c>
      <c r="J75" s="13" t="s">
        <v>155</v>
      </c>
      <c r="K75" s="13">
        <v>3.0</v>
      </c>
      <c r="L75" s="13" t="s">
        <v>926</v>
      </c>
      <c r="M75" s="13" t="s">
        <v>292</v>
      </c>
      <c r="N75" s="13" t="s">
        <v>126</v>
      </c>
      <c r="O75" s="13" t="s">
        <v>927</v>
      </c>
      <c r="P75" s="16"/>
      <c r="Q75" s="16"/>
      <c r="R75" s="13" t="s">
        <v>928</v>
      </c>
      <c r="S75" s="13" t="s">
        <v>929</v>
      </c>
      <c r="T75" s="13" t="s">
        <v>930</v>
      </c>
      <c r="U75" s="13">
        <v>1.00955719E8</v>
      </c>
      <c r="V75" s="13" t="s">
        <v>931</v>
      </c>
      <c r="W75" s="16"/>
      <c r="X75" s="13">
        <v>1.4031292133E10</v>
      </c>
      <c r="Y75" s="13">
        <v>1210691.0</v>
      </c>
      <c r="Z75" s="17"/>
      <c r="AA75" s="17"/>
      <c r="AB75" s="16"/>
      <c r="AC75" s="16"/>
      <c r="AD75" s="13" t="s">
        <v>932</v>
      </c>
      <c r="AE75" s="17"/>
      <c r="AF75" s="14">
        <v>45180.0</v>
      </c>
      <c r="AG75" s="13">
        <v>968582.0</v>
      </c>
      <c r="AH75" s="16"/>
      <c r="AI75" s="16"/>
      <c r="AJ75" s="13" t="s">
        <v>90</v>
      </c>
      <c r="AK75" s="13" t="s">
        <v>91</v>
      </c>
      <c r="AL75" s="19">
        <v>46115.0</v>
      </c>
      <c r="AM75" s="20">
        <v>0.4166666666666667</v>
      </c>
      <c r="AN75" s="20">
        <v>0.7916666666666666</v>
      </c>
      <c r="AO75" s="16"/>
      <c r="AP75" s="16"/>
      <c r="AQ75" s="13" t="s">
        <v>933</v>
      </c>
      <c r="AR75" s="13" t="s">
        <v>934</v>
      </c>
      <c r="AS75" s="17"/>
      <c r="AT75" s="17"/>
      <c r="AU75" s="17"/>
      <c r="AV75" s="16"/>
      <c r="AW75" s="16"/>
      <c r="AX75" s="16"/>
      <c r="AY75" s="13" t="s">
        <v>935</v>
      </c>
      <c r="AZ75" s="16"/>
      <c r="BA75" s="13">
        <v>792289.0</v>
      </c>
      <c r="BB75" s="13" t="s">
        <v>118</v>
      </c>
      <c r="BC75" s="13" t="s">
        <v>97</v>
      </c>
      <c r="BD75" s="13" t="s">
        <v>118</v>
      </c>
      <c r="BE75" s="13" t="s">
        <v>118</v>
      </c>
      <c r="BF75" s="13" t="s">
        <v>97</v>
      </c>
      <c r="BG75" s="13" t="s">
        <v>97</v>
      </c>
      <c r="BH75" s="13" t="s">
        <v>97</v>
      </c>
      <c r="BI75" s="17"/>
      <c r="BJ75" s="13" t="s">
        <v>98</v>
      </c>
      <c r="BK75" s="16"/>
      <c r="BL75" s="14">
        <v>42408.0</v>
      </c>
      <c r="BM75" s="14">
        <v>42472.0</v>
      </c>
      <c r="BN75" s="13" t="s">
        <v>120</v>
      </c>
      <c r="BO75" s="14">
        <v>42779.0</v>
      </c>
      <c r="BP75" s="14">
        <v>42857.0</v>
      </c>
      <c r="BQ75" s="13" t="s">
        <v>120</v>
      </c>
      <c r="BR75" s="15"/>
      <c r="BS75" s="15"/>
      <c r="BT75" s="17"/>
      <c r="BU75" s="13" t="s">
        <v>120</v>
      </c>
      <c r="BV75" s="13" t="s">
        <v>121</v>
      </c>
      <c r="BW75" s="21">
        <v>34.0</v>
      </c>
      <c r="BX75" s="13" t="s">
        <v>101</v>
      </c>
      <c r="BY75" s="14">
        <v>42389.0</v>
      </c>
      <c r="BZ75" s="13" t="s">
        <v>102</v>
      </c>
      <c r="CA75" s="22" t="s">
        <v>103</v>
      </c>
    </row>
    <row r="76">
      <c r="A76" s="4">
        <v>377.0</v>
      </c>
      <c r="B76" s="5" t="s">
        <v>936</v>
      </c>
      <c r="C76" s="5" t="s">
        <v>937</v>
      </c>
      <c r="D76" s="5">
        <v>988378.0</v>
      </c>
      <c r="E76" s="5" t="s">
        <v>81</v>
      </c>
      <c r="F76" s="6">
        <v>38187.0</v>
      </c>
      <c r="G76" s="8"/>
      <c r="H76" s="5" t="s">
        <v>82</v>
      </c>
      <c r="I76" s="5" t="s">
        <v>154</v>
      </c>
      <c r="J76" s="5" t="s">
        <v>155</v>
      </c>
      <c r="K76" s="5">
        <v>2.0</v>
      </c>
      <c r="L76" s="5" t="s">
        <v>938</v>
      </c>
      <c r="M76" s="5" t="s">
        <v>125</v>
      </c>
      <c r="N76" s="5" t="s">
        <v>126</v>
      </c>
      <c r="O76" s="5">
        <v>7.786861031E9</v>
      </c>
      <c r="P76" s="8"/>
      <c r="Q76" s="8"/>
      <c r="R76" s="9"/>
      <c r="S76" s="5" t="s">
        <v>939</v>
      </c>
      <c r="T76" s="5" t="s">
        <v>940</v>
      </c>
      <c r="U76" s="5">
        <v>1.00988378E8</v>
      </c>
      <c r="V76" s="5" t="s">
        <v>937</v>
      </c>
      <c r="W76" s="8"/>
      <c r="X76" s="5">
        <v>1.6041295028E10</v>
      </c>
      <c r="Y76" s="5">
        <v>1030045.0</v>
      </c>
      <c r="Z76" s="8"/>
      <c r="AA76" s="9"/>
      <c r="AB76" s="9"/>
      <c r="AC76" s="5" t="s">
        <v>941</v>
      </c>
      <c r="AD76" s="5" t="s">
        <v>298</v>
      </c>
      <c r="AE76" s="9"/>
      <c r="AF76" s="7"/>
      <c r="AG76" s="9"/>
      <c r="AH76" s="8"/>
      <c r="AI76" s="8"/>
      <c r="AJ76" s="5" t="s">
        <v>90</v>
      </c>
      <c r="AK76" s="5" t="s">
        <v>91</v>
      </c>
      <c r="AL76" s="5" t="s">
        <v>92</v>
      </c>
      <c r="AM76" s="10">
        <v>0.3333333333333333</v>
      </c>
      <c r="AN76" s="10">
        <v>0.7708333333333334</v>
      </c>
      <c r="AO76" s="8"/>
      <c r="AP76" s="8"/>
      <c r="AQ76" s="5" t="s">
        <v>942</v>
      </c>
      <c r="AR76" s="5" t="s">
        <v>943</v>
      </c>
      <c r="AS76" s="8"/>
      <c r="AT76" s="8"/>
      <c r="AU76" s="8"/>
      <c r="AV76" s="8"/>
      <c r="AW76" s="8"/>
      <c r="AX76" s="8"/>
      <c r="AY76" s="5" t="s">
        <v>944</v>
      </c>
      <c r="AZ76" s="8"/>
      <c r="BA76" s="5" t="s">
        <v>96</v>
      </c>
      <c r="BB76" s="5" t="s">
        <v>97</v>
      </c>
      <c r="BC76" s="5" t="s">
        <v>97</v>
      </c>
      <c r="BD76" s="5" t="s">
        <v>97</v>
      </c>
      <c r="BE76" s="5" t="s">
        <v>97</v>
      </c>
      <c r="BF76" s="5" t="s">
        <v>97</v>
      </c>
      <c r="BG76" s="5" t="s">
        <v>97</v>
      </c>
      <c r="BH76" s="5" t="s">
        <v>97</v>
      </c>
      <c r="BI76" s="9"/>
      <c r="BJ76" s="5" t="s">
        <v>98</v>
      </c>
      <c r="BK76" s="8"/>
      <c r="BL76" s="6">
        <v>45677.0</v>
      </c>
      <c r="BM76" s="6">
        <v>45677.0</v>
      </c>
      <c r="BN76" s="5" t="s">
        <v>120</v>
      </c>
      <c r="BO76" s="7"/>
      <c r="BP76" s="7"/>
      <c r="BQ76" s="9"/>
      <c r="BR76" s="7"/>
      <c r="BS76" s="7"/>
      <c r="BT76" s="9"/>
      <c r="BU76" s="5" t="s">
        <v>99</v>
      </c>
      <c r="BV76" s="5" t="s">
        <v>308</v>
      </c>
      <c r="BW76" s="23">
        <v>35.0</v>
      </c>
      <c r="BX76" s="5" t="s">
        <v>101</v>
      </c>
      <c r="BY76" s="6">
        <v>45677.0</v>
      </c>
      <c r="BZ76" s="5" t="s">
        <v>102</v>
      </c>
      <c r="CA76" s="11" t="s">
        <v>103</v>
      </c>
    </row>
    <row r="77">
      <c r="A77" s="12">
        <v>206.0</v>
      </c>
      <c r="B77" s="13" t="s">
        <v>945</v>
      </c>
      <c r="C77" s="13" t="s">
        <v>946</v>
      </c>
      <c r="D77" s="13">
        <v>955929.0</v>
      </c>
      <c r="E77" s="13" t="s">
        <v>193</v>
      </c>
      <c r="F77" s="14">
        <v>43857.0</v>
      </c>
      <c r="G77" s="15"/>
      <c r="H77" s="13" t="s">
        <v>106</v>
      </c>
      <c r="I77" s="13" t="s">
        <v>107</v>
      </c>
      <c r="J77" s="13" t="s">
        <v>84</v>
      </c>
      <c r="K77" s="13">
        <v>4.0</v>
      </c>
      <c r="L77" s="13" t="s">
        <v>947</v>
      </c>
      <c r="M77" s="13" t="s">
        <v>142</v>
      </c>
      <c r="N77" s="13" t="s">
        <v>126</v>
      </c>
      <c r="O77" s="13" t="s">
        <v>948</v>
      </c>
      <c r="P77" s="17"/>
      <c r="Q77" s="16"/>
      <c r="R77" s="13" t="s">
        <v>949</v>
      </c>
      <c r="S77" s="13" t="s">
        <v>950</v>
      </c>
      <c r="T77" s="13" t="s">
        <v>951</v>
      </c>
      <c r="U77" s="13">
        <v>1.00955929E8</v>
      </c>
      <c r="V77" s="13" t="s">
        <v>952</v>
      </c>
      <c r="W77" s="16"/>
      <c r="X77" s="13">
        <v>1.5141294159E10</v>
      </c>
      <c r="Y77" s="13">
        <v>1067222.0</v>
      </c>
      <c r="Z77" s="17"/>
      <c r="AA77" s="13" t="s">
        <v>132</v>
      </c>
      <c r="AB77" s="16"/>
      <c r="AC77" s="16"/>
      <c r="AD77" s="13" t="s">
        <v>896</v>
      </c>
      <c r="AE77" s="17"/>
      <c r="AF77" s="14">
        <v>44161.0</v>
      </c>
      <c r="AG77" s="13">
        <v>31150.0</v>
      </c>
      <c r="AH77" s="16"/>
      <c r="AI77" s="16"/>
      <c r="AJ77" s="13" t="s">
        <v>90</v>
      </c>
      <c r="AK77" s="13" t="s">
        <v>91</v>
      </c>
      <c r="AL77" s="19">
        <v>46115.0</v>
      </c>
      <c r="AM77" s="20">
        <v>0.9791666666666666</v>
      </c>
      <c r="AN77" s="20">
        <v>0.3333333333333333</v>
      </c>
      <c r="AO77" s="16"/>
      <c r="AP77" s="16"/>
      <c r="AQ77" s="13" t="s">
        <v>953</v>
      </c>
      <c r="AR77" s="13" t="s">
        <v>954</v>
      </c>
      <c r="AS77" s="17"/>
      <c r="AT77" s="17"/>
      <c r="AU77" s="17"/>
      <c r="AV77" s="16"/>
      <c r="AW77" s="16"/>
      <c r="AX77" s="16"/>
      <c r="AY77" s="13" t="s">
        <v>955</v>
      </c>
      <c r="AZ77" s="16"/>
      <c r="BA77" s="13">
        <v>66132.0</v>
      </c>
      <c r="BB77" s="13" t="s">
        <v>118</v>
      </c>
      <c r="BC77" s="13" t="s">
        <v>97</v>
      </c>
      <c r="BD77" s="13" t="s">
        <v>118</v>
      </c>
      <c r="BE77" s="13" t="s">
        <v>118</v>
      </c>
      <c r="BF77" s="13" t="s">
        <v>97</v>
      </c>
      <c r="BG77" s="13" t="s">
        <v>97</v>
      </c>
      <c r="BH77" s="13" t="s">
        <v>97</v>
      </c>
      <c r="BI77" s="17"/>
      <c r="BJ77" s="13" t="s">
        <v>151</v>
      </c>
      <c r="BK77" s="16"/>
      <c r="BL77" s="14">
        <v>43983.0</v>
      </c>
      <c r="BM77" s="14">
        <v>44044.0</v>
      </c>
      <c r="BN77" s="13" t="s">
        <v>120</v>
      </c>
      <c r="BO77" s="14">
        <v>44287.0</v>
      </c>
      <c r="BP77" s="14">
        <v>44348.0</v>
      </c>
      <c r="BQ77" s="13" t="s">
        <v>120</v>
      </c>
      <c r="BR77" s="14">
        <v>44593.0</v>
      </c>
      <c r="BS77" s="14">
        <v>44652.0</v>
      </c>
      <c r="BT77" s="13" t="s">
        <v>120</v>
      </c>
      <c r="BU77" s="13" t="s">
        <v>99</v>
      </c>
      <c r="BV77" s="13" t="s">
        <v>100</v>
      </c>
      <c r="BW77" s="21">
        <v>34.0</v>
      </c>
      <c r="BX77" s="13" t="s">
        <v>101</v>
      </c>
      <c r="BY77" s="14">
        <v>43888.0</v>
      </c>
      <c r="BZ77" s="13" t="s">
        <v>102</v>
      </c>
      <c r="CA77" s="22" t="s">
        <v>103</v>
      </c>
    </row>
    <row r="78">
      <c r="A78" s="4">
        <v>427.0</v>
      </c>
      <c r="B78" s="5" t="s">
        <v>956</v>
      </c>
      <c r="C78" s="5" t="s">
        <v>957</v>
      </c>
      <c r="D78" s="5">
        <v>998180.0</v>
      </c>
      <c r="E78" s="5" t="s">
        <v>81</v>
      </c>
      <c r="F78" s="6">
        <v>45082.0</v>
      </c>
      <c r="G78" s="8"/>
      <c r="H78" s="5" t="s">
        <v>106</v>
      </c>
      <c r="I78" s="5" t="s">
        <v>107</v>
      </c>
      <c r="J78" s="5" t="s">
        <v>194</v>
      </c>
      <c r="K78" s="5">
        <v>4.0</v>
      </c>
      <c r="L78" s="5" t="s">
        <v>958</v>
      </c>
      <c r="M78" s="5" t="s">
        <v>181</v>
      </c>
      <c r="N78" s="5" t="s">
        <v>87</v>
      </c>
      <c r="O78" s="5">
        <v>4.389222233E9</v>
      </c>
      <c r="P78" s="9"/>
      <c r="Q78" s="8"/>
      <c r="R78" s="5" t="s">
        <v>959</v>
      </c>
      <c r="S78" s="5" t="s">
        <v>960</v>
      </c>
      <c r="T78" s="5" t="s">
        <v>961</v>
      </c>
      <c r="U78" s="5">
        <v>1.0099818E8</v>
      </c>
      <c r="V78" s="5" t="s">
        <v>957</v>
      </c>
      <c r="W78" s="8"/>
      <c r="X78" s="5">
        <v>1.5141294056E10</v>
      </c>
      <c r="Y78" s="5">
        <v>1060037.0</v>
      </c>
      <c r="Z78" s="8"/>
      <c r="AA78" s="9"/>
      <c r="AB78" s="8"/>
      <c r="AC78" s="9"/>
      <c r="AD78" s="5" t="s">
        <v>962</v>
      </c>
      <c r="AE78" s="18"/>
      <c r="AF78" s="6">
        <v>45401.0</v>
      </c>
      <c r="AG78" s="9"/>
      <c r="AH78" s="8"/>
      <c r="AI78" s="8"/>
      <c r="AJ78" s="5" t="s">
        <v>90</v>
      </c>
      <c r="AK78" s="5" t="s">
        <v>91</v>
      </c>
      <c r="AL78" s="5" t="s">
        <v>92</v>
      </c>
      <c r="AM78" s="10">
        <v>0.75</v>
      </c>
      <c r="AN78" s="10">
        <v>0.16666666666666666</v>
      </c>
      <c r="AO78" s="8"/>
      <c r="AP78" s="8"/>
      <c r="AQ78" s="5" t="s">
        <v>963</v>
      </c>
      <c r="AR78" s="5" t="s">
        <v>964</v>
      </c>
      <c r="AS78" s="9"/>
      <c r="AT78" s="9"/>
      <c r="AU78" s="9"/>
      <c r="AV78" s="8"/>
      <c r="AW78" s="8"/>
      <c r="AX78" s="8"/>
      <c r="AY78" s="5" t="s">
        <v>965</v>
      </c>
      <c r="AZ78" s="8"/>
      <c r="BA78" s="5">
        <v>60057.0</v>
      </c>
      <c r="BB78" s="5" t="s">
        <v>97</v>
      </c>
      <c r="BC78" s="5" t="s">
        <v>97</v>
      </c>
      <c r="BD78" s="5" t="s">
        <v>97</v>
      </c>
      <c r="BE78" s="5" t="s">
        <v>97</v>
      </c>
      <c r="BF78" s="5" t="s">
        <v>97</v>
      </c>
      <c r="BG78" s="5" t="s">
        <v>97</v>
      </c>
      <c r="BH78" s="5" t="s">
        <v>97</v>
      </c>
      <c r="BI78" s="9"/>
      <c r="BJ78" s="5" t="s">
        <v>176</v>
      </c>
      <c r="BK78" s="8"/>
      <c r="BL78" s="6">
        <v>45253.0</v>
      </c>
      <c r="BM78" s="6">
        <v>45405.0</v>
      </c>
      <c r="BN78" s="5" t="s">
        <v>120</v>
      </c>
      <c r="BO78" s="6">
        <v>45440.0</v>
      </c>
      <c r="BP78" s="6">
        <v>45556.0</v>
      </c>
      <c r="BQ78" s="5" t="s">
        <v>120</v>
      </c>
      <c r="BR78" s="6">
        <v>45881.0</v>
      </c>
      <c r="BS78" s="6">
        <v>45941.0</v>
      </c>
      <c r="BT78" s="9"/>
      <c r="BU78" s="5" t="s">
        <v>99</v>
      </c>
      <c r="BV78" s="5" t="s">
        <v>121</v>
      </c>
      <c r="BW78" s="9"/>
      <c r="BX78" s="5" t="s">
        <v>101</v>
      </c>
      <c r="BY78" s="6">
        <v>45203.0</v>
      </c>
      <c r="BZ78" s="5" t="s">
        <v>102</v>
      </c>
      <c r="CA78" s="11" t="s">
        <v>103</v>
      </c>
    </row>
    <row r="79">
      <c r="A79" s="12">
        <v>209.0</v>
      </c>
      <c r="B79" s="13" t="s">
        <v>966</v>
      </c>
      <c r="C79" s="13" t="s">
        <v>967</v>
      </c>
      <c r="D79" s="13">
        <v>955932.0</v>
      </c>
      <c r="E79" s="13" t="s">
        <v>81</v>
      </c>
      <c r="F79" s="14">
        <v>43857.0</v>
      </c>
      <c r="G79" s="16"/>
      <c r="H79" s="13" t="s">
        <v>106</v>
      </c>
      <c r="I79" s="13" t="s">
        <v>107</v>
      </c>
      <c r="J79" s="13" t="s">
        <v>84</v>
      </c>
      <c r="K79" s="13">
        <v>4.0</v>
      </c>
      <c r="L79" s="13" t="s">
        <v>968</v>
      </c>
      <c r="M79" s="13" t="s">
        <v>86</v>
      </c>
      <c r="N79" s="13" t="s">
        <v>87</v>
      </c>
      <c r="O79" s="13" t="s">
        <v>969</v>
      </c>
      <c r="P79" s="17"/>
      <c r="Q79" s="16"/>
      <c r="R79" s="13" t="s">
        <v>970</v>
      </c>
      <c r="S79" s="13" t="s">
        <v>971</v>
      </c>
      <c r="T79" s="13" t="s">
        <v>972</v>
      </c>
      <c r="U79" s="13">
        <v>1.00955932E8</v>
      </c>
      <c r="V79" s="13" t="s">
        <v>973</v>
      </c>
      <c r="W79" s="16"/>
      <c r="X79" s="13">
        <v>1.5141294169E10</v>
      </c>
      <c r="Y79" s="13">
        <v>1067232.0</v>
      </c>
      <c r="Z79" s="17"/>
      <c r="AA79" s="13" t="s">
        <v>132</v>
      </c>
      <c r="AB79" s="16"/>
      <c r="AC79" s="17"/>
      <c r="AD79" s="13" t="s">
        <v>974</v>
      </c>
      <c r="AE79" s="18"/>
      <c r="AF79" s="14">
        <v>44089.0</v>
      </c>
      <c r="AG79" s="13">
        <v>30856.0</v>
      </c>
      <c r="AH79" s="16"/>
      <c r="AI79" s="16"/>
      <c r="AJ79" s="13" t="s">
        <v>90</v>
      </c>
      <c r="AK79" s="13" t="s">
        <v>91</v>
      </c>
      <c r="AL79" s="13" t="s">
        <v>92</v>
      </c>
      <c r="AM79" s="20">
        <v>0.2916666666666667</v>
      </c>
      <c r="AN79" s="20">
        <v>0.7083333333333334</v>
      </c>
      <c r="AO79" s="16"/>
      <c r="AP79" s="16"/>
      <c r="AQ79" s="13" t="s">
        <v>975</v>
      </c>
      <c r="AR79" s="13" t="s">
        <v>976</v>
      </c>
      <c r="AS79" s="17"/>
      <c r="AT79" s="17"/>
      <c r="AU79" s="17"/>
      <c r="AV79" s="16"/>
      <c r="AW79" s="16"/>
      <c r="AX79" s="16"/>
      <c r="AY79" s="13" t="s">
        <v>977</v>
      </c>
      <c r="AZ79" s="16"/>
      <c r="BA79" s="13">
        <v>66144.0</v>
      </c>
      <c r="BB79" s="13" t="s">
        <v>97</v>
      </c>
      <c r="BC79" s="13" t="s">
        <v>97</v>
      </c>
      <c r="BD79" s="13" t="s">
        <v>97</v>
      </c>
      <c r="BE79" s="13" t="s">
        <v>97</v>
      </c>
      <c r="BF79" s="13" t="s">
        <v>97</v>
      </c>
      <c r="BG79" s="13" t="s">
        <v>97</v>
      </c>
      <c r="BH79" s="13" t="s">
        <v>97</v>
      </c>
      <c r="BI79" s="16"/>
      <c r="BJ79" s="13" t="s">
        <v>98</v>
      </c>
      <c r="BK79" s="16"/>
      <c r="BL79" s="15"/>
      <c r="BM79" s="15"/>
      <c r="BN79" s="13" t="s">
        <v>120</v>
      </c>
      <c r="BO79" s="14">
        <v>45244.0</v>
      </c>
      <c r="BP79" s="14">
        <v>45344.0</v>
      </c>
      <c r="BQ79" s="13" t="s">
        <v>120</v>
      </c>
      <c r="BR79" s="14">
        <v>45846.0</v>
      </c>
      <c r="BS79" s="14">
        <v>45932.0</v>
      </c>
      <c r="BT79" s="13" t="s">
        <v>99</v>
      </c>
      <c r="BU79" s="13" t="s">
        <v>120</v>
      </c>
      <c r="BV79" s="13" t="s">
        <v>308</v>
      </c>
      <c r="BW79" s="21">
        <v>35.0</v>
      </c>
      <c r="BX79" s="13" t="s">
        <v>101</v>
      </c>
      <c r="BY79" s="15"/>
      <c r="BZ79" s="13" t="s">
        <v>102</v>
      </c>
      <c r="CA79" s="22" t="s">
        <v>103</v>
      </c>
    </row>
    <row r="80">
      <c r="A80" s="4">
        <v>213.0</v>
      </c>
      <c r="B80" s="5" t="s">
        <v>978</v>
      </c>
      <c r="C80" s="5" t="s">
        <v>979</v>
      </c>
      <c r="D80" s="5">
        <v>956363.0</v>
      </c>
      <c r="E80" s="5" t="s">
        <v>81</v>
      </c>
      <c r="F80" s="6">
        <v>43758.0</v>
      </c>
      <c r="G80" s="6">
        <v>43374.0</v>
      </c>
      <c r="H80" s="5" t="s">
        <v>82</v>
      </c>
      <c r="I80" s="5" t="s">
        <v>240</v>
      </c>
      <c r="J80" s="5" t="s">
        <v>155</v>
      </c>
      <c r="K80" s="5">
        <v>2.0</v>
      </c>
      <c r="L80" s="5" t="s">
        <v>980</v>
      </c>
      <c r="M80" s="5" t="s">
        <v>292</v>
      </c>
      <c r="N80" s="5" t="s">
        <v>126</v>
      </c>
      <c r="O80" s="5" t="s">
        <v>981</v>
      </c>
      <c r="P80" s="9"/>
      <c r="Q80" s="8"/>
      <c r="R80" s="5" t="s">
        <v>982</v>
      </c>
      <c r="S80" s="5" t="s">
        <v>983</v>
      </c>
      <c r="T80" s="5" t="s">
        <v>984</v>
      </c>
      <c r="U80" s="5">
        <v>1.00956363E8</v>
      </c>
      <c r="V80" s="5" t="s">
        <v>979</v>
      </c>
      <c r="W80" s="8"/>
      <c r="X80" s="5">
        <v>1.4031292009E10</v>
      </c>
      <c r="Y80" s="5">
        <v>1020242.0</v>
      </c>
      <c r="Z80" s="9"/>
      <c r="AA80" s="9"/>
      <c r="AB80" s="8"/>
      <c r="AC80" s="9"/>
      <c r="AD80" s="9"/>
      <c r="AE80" s="9"/>
      <c r="AF80" s="6">
        <v>45191.0</v>
      </c>
      <c r="AG80" s="5">
        <v>968611.0</v>
      </c>
      <c r="AH80" s="8"/>
      <c r="AI80" s="8"/>
      <c r="AJ80" s="5" t="s">
        <v>90</v>
      </c>
      <c r="AK80" s="5" t="s">
        <v>91</v>
      </c>
      <c r="AL80" s="24">
        <v>46115.0</v>
      </c>
      <c r="AM80" s="10">
        <v>0.375</v>
      </c>
      <c r="AN80" s="10">
        <v>0.75</v>
      </c>
      <c r="AO80" s="8"/>
      <c r="AP80" s="8"/>
      <c r="AQ80" s="5" t="s">
        <v>985</v>
      </c>
      <c r="AR80" s="5" t="s">
        <v>986</v>
      </c>
      <c r="AS80" s="9"/>
      <c r="AT80" s="9"/>
      <c r="AU80" s="8"/>
      <c r="AV80" s="8"/>
      <c r="AW80" s="8"/>
      <c r="AX80" s="8"/>
      <c r="AY80" s="5" t="s">
        <v>987</v>
      </c>
      <c r="AZ80" s="8"/>
      <c r="BA80" s="5">
        <v>187235.0</v>
      </c>
      <c r="BB80" s="5" t="s">
        <v>118</v>
      </c>
      <c r="BC80" s="5" t="s">
        <v>97</v>
      </c>
      <c r="BD80" s="5" t="s">
        <v>97</v>
      </c>
      <c r="BE80" s="5" t="s">
        <v>118</v>
      </c>
      <c r="BF80" s="5" t="s">
        <v>118</v>
      </c>
      <c r="BG80" s="5" t="s">
        <v>97</v>
      </c>
      <c r="BH80" s="5" t="s">
        <v>97</v>
      </c>
      <c r="BI80" s="9"/>
      <c r="BJ80" s="5" t="s">
        <v>98</v>
      </c>
      <c r="BK80" s="8"/>
      <c r="BL80" s="6">
        <v>43476.0</v>
      </c>
      <c r="BM80" s="6">
        <v>43518.0</v>
      </c>
      <c r="BN80" s="5" t="s">
        <v>120</v>
      </c>
      <c r="BO80" s="7"/>
      <c r="BP80" s="7"/>
      <c r="BQ80" s="9"/>
      <c r="BR80" s="7"/>
      <c r="BS80" s="7"/>
      <c r="BT80" s="9"/>
      <c r="BU80" s="5" t="s">
        <v>120</v>
      </c>
      <c r="BV80" s="5" t="s">
        <v>121</v>
      </c>
      <c r="BW80" s="23">
        <v>34.0</v>
      </c>
      <c r="BX80" s="5" t="s">
        <v>101</v>
      </c>
      <c r="BY80" s="6">
        <v>43447.0</v>
      </c>
      <c r="BZ80" s="5" t="s">
        <v>102</v>
      </c>
      <c r="CA80" s="11" t="s">
        <v>103</v>
      </c>
    </row>
    <row r="81">
      <c r="A81" s="12">
        <v>214.0</v>
      </c>
      <c r="B81" s="13" t="s">
        <v>988</v>
      </c>
      <c r="C81" s="13" t="s">
        <v>989</v>
      </c>
      <c r="D81" s="13">
        <v>956501.0</v>
      </c>
      <c r="E81" s="13" t="s">
        <v>81</v>
      </c>
      <c r="F81" s="14">
        <v>43941.0</v>
      </c>
      <c r="G81" s="15"/>
      <c r="H81" s="13" t="s">
        <v>106</v>
      </c>
      <c r="I81" s="13" t="s">
        <v>107</v>
      </c>
      <c r="J81" s="13" t="s">
        <v>194</v>
      </c>
      <c r="K81" s="13">
        <v>4.0</v>
      </c>
      <c r="L81" s="13" t="s">
        <v>990</v>
      </c>
      <c r="M81" s="13" t="s">
        <v>196</v>
      </c>
      <c r="N81" s="13" t="s">
        <v>126</v>
      </c>
      <c r="O81" s="13">
        <v>8.732003886E9</v>
      </c>
      <c r="P81" s="17"/>
      <c r="Q81" s="16"/>
      <c r="R81" s="13" t="s">
        <v>991</v>
      </c>
      <c r="S81" s="13" t="s">
        <v>992</v>
      </c>
      <c r="T81" s="13" t="s">
        <v>993</v>
      </c>
      <c r="U81" s="13">
        <v>1.00956501E8</v>
      </c>
      <c r="V81" s="13" t="s">
        <v>994</v>
      </c>
      <c r="W81" s="16"/>
      <c r="X81" s="13">
        <v>1.4031292364E10</v>
      </c>
      <c r="Y81" s="13">
        <v>1020683.0</v>
      </c>
      <c r="Z81" s="17"/>
      <c r="AA81" s="17"/>
      <c r="AB81" s="13" t="s">
        <v>989</v>
      </c>
      <c r="AC81" s="17"/>
      <c r="AD81" s="13" t="s">
        <v>995</v>
      </c>
      <c r="AE81" s="17"/>
      <c r="AF81" s="14">
        <v>45613.0</v>
      </c>
      <c r="AG81" s="13">
        <v>33019.0</v>
      </c>
      <c r="AH81" s="16"/>
      <c r="AI81" s="16"/>
      <c r="AJ81" s="13" t="s">
        <v>406</v>
      </c>
      <c r="AK81" s="13" t="s">
        <v>91</v>
      </c>
      <c r="AL81" s="13" t="s">
        <v>407</v>
      </c>
      <c r="AM81" s="26"/>
      <c r="AN81" s="26"/>
      <c r="AO81" s="16"/>
      <c r="AP81" s="16"/>
      <c r="AQ81" s="13" t="s">
        <v>996</v>
      </c>
      <c r="AR81" s="13" t="s">
        <v>997</v>
      </c>
      <c r="AS81" s="17"/>
      <c r="AT81" s="17"/>
      <c r="AU81" s="16"/>
      <c r="AV81" s="16"/>
      <c r="AW81" s="16"/>
      <c r="AX81" s="16"/>
      <c r="AY81" s="13" t="s">
        <v>998</v>
      </c>
      <c r="AZ81" s="16"/>
      <c r="BA81" s="13" t="s">
        <v>96</v>
      </c>
      <c r="BB81" s="13" t="s">
        <v>97</v>
      </c>
      <c r="BC81" s="13" t="s">
        <v>97</v>
      </c>
      <c r="BD81" s="13" t="s">
        <v>118</v>
      </c>
      <c r="BE81" s="13" t="s">
        <v>118</v>
      </c>
      <c r="BF81" s="13" t="s">
        <v>118</v>
      </c>
      <c r="BG81" s="13" t="s">
        <v>97</v>
      </c>
      <c r="BH81" s="13" t="s">
        <v>118</v>
      </c>
      <c r="BI81" s="13" t="s">
        <v>999</v>
      </c>
      <c r="BJ81" s="13" t="s">
        <v>176</v>
      </c>
      <c r="BK81" s="16"/>
      <c r="BL81" s="14">
        <v>44175.0</v>
      </c>
      <c r="BM81" s="14">
        <v>44175.0</v>
      </c>
      <c r="BN81" s="13" t="s">
        <v>120</v>
      </c>
      <c r="BO81" s="14">
        <v>45075.0</v>
      </c>
      <c r="BP81" s="14">
        <v>45316.0</v>
      </c>
      <c r="BQ81" s="13" t="s">
        <v>120</v>
      </c>
      <c r="BR81" s="14">
        <v>45076.0</v>
      </c>
      <c r="BS81" s="14">
        <v>45356.0</v>
      </c>
      <c r="BT81" s="13" t="s">
        <v>120</v>
      </c>
      <c r="BU81" s="13" t="s">
        <v>99</v>
      </c>
      <c r="BV81" s="13" t="s">
        <v>121</v>
      </c>
      <c r="BW81" s="21">
        <v>20.0</v>
      </c>
      <c r="BX81" s="13" t="s">
        <v>411</v>
      </c>
      <c r="BY81" s="14">
        <v>44017.0</v>
      </c>
      <c r="BZ81" s="13" t="s">
        <v>102</v>
      </c>
      <c r="CA81" s="22" t="s">
        <v>103</v>
      </c>
    </row>
    <row r="82">
      <c r="A82" s="4">
        <v>215.0</v>
      </c>
      <c r="B82" s="5" t="s">
        <v>1000</v>
      </c>
      <c r="C82" s="5" t="s">
        <v>1001</v>
      </c>
      <c r="D82" s="5">
        <v>956520.0</v>
      </c>
      <c r="E82" s="5" t="s">
        <v>81</v>
      </c>
      <c r="F82" s="6">
        <v>43304.0</v>
      </c>
      <c r="G82" s="8"/>
      <c r="H82" s="5" t="s">
        <v>106</v>
      </c>
      <c r="I82" s="5" t="s">
        <v>83</v>
      </c>
      <c r="J82" s="5" t="s">
        <v>84</v>
      </c>
      <c r="K82" s="5">
        <v>3.0</v>
      </c>
      <c r="L82" s="5" t="s">
        <v>1002</v>
      </c>
      <c r="M82" s="5" t="s">
        <v>86</v>
      </c>
      <c r="N82" s="5" t="s">
        <v>87</v>
      </c>
      <c r="O82" s="5" t="s">
        <v>1003</v>
      </c>
      <c r="P82" s="8"/>
      <c r="Q82" s="8"/>
      <c r="R82" s="5" t="s">
        <v>1004</v>
      </c>
      <c r="S82" s="5" t="s">
        <v>1005</v>
      </c>
      <c r="T82" s="5" t="s">
        <v>1006</v>
      </c>
      <c r="U82" s="5">
        <v>1.0095652E8</v>
      </c>
      <c r="V82" s="5" t="s">
        <v>1007</v>
      </c>
      <c r="W82" s="8"/>
      <c r="X82" s="5">
        <v>1.6131293005E10</v>
      </c>
      <c r="Y82" s="5">
        <v>1062202.0</v>
      </c>
      <c r="Z82" s="9"/>
      <c r="AA82" s="8"/>
      <c r="AB82" s="8"/>
      <c r="AC82" s="8"/>
      <c r="AD82" s="5" t="s">
        <v>932</v>
      </c>
      <c r="AE82" s="9"/>
      <c r="AF82" s="6">
        <v>43503.0</v>
      </c>
      <c r="AG82" s="5">
        <v>27581.0</v>
      </c>
      <c r="AH82" s="8"/>
      <c r="AI82" s="8"/>
      <c r="AJ82" s="5" t="s">
        <v>406</v>
      </c>
      <c r="AK82" s="5" t="s">
        <v>91</v>
      </c>
      <c r="AL82" s="5" t="s">
        <v>407</v>
      </c>
      <c r="AM82" s="10">
        <v>0.8125</v>
      </c>
      <c r="AN82" s="10">
        <v>0.020833333333333332</v>
      </c>
      <c r="AO82" s="8"/>
      <c r="AP82" s="8"/>
      <c r="AQ82" s="5" t="s">
        <v>1008</v>
      </c>
      <c r="AR82" s="5" t="s">
        <v>1009</v>
      </c>
      <c r="AS82" s="9"/>
      <c r="AT82" s="9"/>
      <c r="AU82" s="8"/>
      <c r="AV82" s="8"/>
      <c r="AW82" s="8"/>
      <c r="AX82" s="8"/>
      <c r="AY82" s="5" t="s">
        <v>1010</v>
      </c>
      <c r="AZ82" s="8"/>
      <c r="BA82" s="9"/>
      <c r="BB82" s="5" t="s">
        <v>118</v>
      </c>
      <c r="BC82" s="5" t="s">
        <v>97</v>
      </c>
      <c r="BD82" s="5" t="s">
        <v>118</v>
      </c>
      <c r="BE82" s="5" t="s">
        <v>97</v>
      </c>
      <c r="BF82" s="5" t="s">
        <v>118</v>
      </c>
      <c r="BG82" s="5" t="s">
        <v>118</v>
      </c>
      <c r="BH82" s="5" t="s">
        <v>97</v>
      </c>
      <c r="BI82" s="5" t="s">
        <v>1011</v>
      </c>
      <c r="BJ82" s="5" t="s">
        <v>176</v>
      </c>
      <c r="BK82" s="8"/>
      <c r="BL82" s="6">
        <v>43379.0</v>
      </c>
      <c r="BM82" s="6">
        <v>43379.0</v>
      </c>
      <c r="BN82" s="5" t="s">
        <v>120</v>
      </c>
      <c r="BO82" s="6">
        <v>45924.0</v>
      </c>
      <c r="BP82" s="6">
        <v>45969.0</v>
      </c>
      <c r="BQ82" s="5" t="s">
        <v>120</v>
      </c>
      <c r="BR82" s="7"/>
      <c r="BS82" s="7"/>
      <c r="BT82" s="9"/>
      <c r="BU82" s="5" t="s">
        <v>99</v>
      </c>
      <c r="BV82" s="5" t="s">
        <v>308</v>
      </c>
      <c r="BW82" s="23">
        <v>20.0</v>
      </c>
      <c r="BX82" s="5" t="s">
        <v>411</v>
      </c>
      <c r="BY82" s="6">
        <v>43379.0</v>
      </c>
      <c r="BZ82" s="5" t="s">
        <v>102</v>
      </c>
      <c r="CA82" s="11" t="s">
        <v>103</v>
      </c>
    </row>
    <row r="83">
      <c r="A83" s="12">
        <v>627.0</v>
      </c>
      <c r="B83" s="13" t="s">
        <v>1012</v>
      </c>
      <c r="C83" s="13" t="s">
        <v>1013</v>
      </c>
      <c r="D83" s="13">
        <v>6001466.0</v>
      </c>
      <c r="E83" s="13" t="s">
        <v>81</v>
      </c>
      <c r="F83" s="14">
        <v>46119.0</v>
      </c>
      <c r="G83" s="15"/>
      <c r="H83" s="13" t="s">
        <v>239</v>
      </c>
      <c r="I83" s="13" t="s">
        <v>107</v>
      </c>
      <c r="J83" s="13" t="s">
        <v>84</v>
      </c>
      <c r="K83" s="13">
        <v>1.0</v>
      </c>
      <c r="L83" s="13" t="s">
        <v>1014</v>
      </c>
      <c r="M83" s="13" t="s">
        <v>167</v>
      </c>
      <c r="N83" s="13" t="s">
        <v>87</v>
      </c>
      <c r="O83" s="13">
        <v>5.149914218E9</v>
      </c>
      <c r="P83" s="16"/>
      <c r="Q83" s="16"/>
      <c r="R83" s="17"/>
      <c r="S83" s="13" t="s">
        <v>1015</v>
      </c>
      <c r="T83" s="13" t="s">
        <v>1016</v>
      </c>
      <c r="U83" s="13">
        <v>1.06001466E8</v>
      </c>
      <c r="V83" s="17"/>
      <c r="W83" s="16"/>
      <c r="X83" s="13">
        <v>1.5141294066E10</v>
      </c>
      <c r="Y83" s="13">
        <v>1060047.0</v>
      </c>
      <c r="Z83" s="17"/>
      <c r="AA83" s="17"/>
      <c r="AB83" s="16"/>
      <c r="AC83" s="17"/>
      <c r="AD83" s="17"/>
      <c r="AE83" s="17"/>
      <c r="AF83" s="15"/>
      <c r="AG83" s="17"/>
      <c r="AH83" s="16"/>
      <c r="AI83" s="16"/>
      <c r="AJ83" s="13" t="s">
        <v>90</v>
      </c>
      <c r="AK83" s="13" t="s">
        <v>244</v>
      </c>
      <c r="AL83" s="25"/>
      <c r="AM83" s="26"/>
      <c r="AN83" s="26"/>
      <c r="AO83" s="16"/>
      <c r="AP83" s="16"/>
      <c r="AQ83" s="13" t="s">
        <v>1017</v>
      </c>
      <c r="AR83" s="13" t="s">
        <v>1018</v>
      </c>
      <c r="AS83" s="17"/>
      <c r="AT83" s="17"/>
      <c r="AU83" s="17"/>
      <c r="AV83" s="16"/>
      <c r="AW83" s="16"/>
      <c r="AX83" s="16"/>
      <c r="AY83" s="13" t="s">
        <v>1019</v>
      </c>
      <c r="AZ83" s="16"/>
      <c r="BA83" s="13">
        <v>409216.0</v>
      </c>
      <c r="BB83" s="13" t="s">
        <v>118</v>
      </c>
      <c r="BC83" s="13" t="s">
        <v>118</v>
      </c>
      <c r="BD83" s="13" t="s">
        <v>118</v>
      </c>
      <c r="BE83" s="13" t="s">
        <v>118</v>
      </c>
      <c r="BF83" s="13" t="s">
        <v>118</v>
      </c>
      <c r="BG83" s="17"/>
      <c r="BH83" s="17"/>
      <c r="BI83" s="17"/>
      <c r="BJ83" s="17"/>
      <c r="BK83" s="16"/>
      <c r="BL83" s="15"/>
      <c r="BM83" s="15"/>
      <c r="BN83" s="17"/>
      <c r="BO83" s="15"/>
      <c r="BP83" s="15"/>
      <c r="BQ83" s="17"/>
      <c r="BR83" s="15"/>
      <c r="BS83" s="15"/>
      <c r="BT83" s="17"/>
      <c r="BU83" s="13" t="s">
        <v>99</v>
      </c>
      <c r="BV83" s="13" t="s">
        <v>308</v>
      </c>
      <c r="BW83" s="21">
        <v>35.0</v>
      </c>
      <c r="BX83" s="13" t="s">
        <v>101</v>
      </c>
      <c r="BY83" s="15"/>
      <c r="BZ83" s="13" t="s">
        <v>102</v>
      </c>
      <c r="CA83" s="22" t="s">
        <v>103</v>
      </c>
    </row>
    <row r="84">
      <c r="A84" s="4">
        <v>642.0</v>
      </c>
      <c r="B84" s="5" t="s">
        <v>1020</v>
      </c>
      <c r="C84" s="5" t="s">
        <v>1021</v>
      </c>
      <c r="D84" s="5">
        <v>6001655.0</v>
      </c>
      <c r="E84" s="5" t="s">
        <v>81</v>
      </c>
      <c r="F84" s="6">
        <v>46146.0</v>
      </c>
      <c r="G84" s="7"/>
      <c r="H84" s="5" t="s">
        <v>239</v>
      </c>
      <c r="I84" s="5" t="s">
        <v>107</v>
      </c>
      <c r="J84" s="5" t="s">
        <v>194</v>
      </c>
      <c r="K84" s="5" t="s">
        <v>241</v>
      </c>
      <c r="L84" s="5" t="s">
        <v>1022</v>
      </c>
      <c r="M84" s="5" t="s">
        <v>167</v>
      </c>
      <c r="N84" s="5" t="s">
        <v>87</v>
      </c>
      <c r="O84" s="5">
        <v>5.144300424E9</v>
      </c>
      <c r="P84" s="9"/>
      <c r="Q84" s="8"/>
      <c r="R84" s="9"/>
      <c r="S84" s="9"/>
      <c r="T84" s="5" t="s">
        <v>1023</v>
      </c>
      <c r="U84" s="9"/>
      <c r="V84" s="9"/>
      <c r="W84" s="8"/>
      <c r="X84" s="5">
        <v>1.5141294025E10</v>
      </c>
      <c r="Y84" s="5">
        <v>1060070.0</v>
      </c>
      <c r="Z84" s="8"/>
      <c r="AA84" s="9"/>
      <c r="AB84" s="8"/>
      <c r="AC84" s="8"/>
      <c r="AD84" s="9"/>
      <c r="AE84" s="9"/>
      <c r="AF84" s="7"/>
      <c r="AG84" s="9"/>
      <c r="AH84" s="8"/>
      <c r="AI84" s="8"/>
      <c r="AJ84" s="5" t="s">
        <v>90</v>
      </c>
      <c r="AK84" s="5" t="s">
        <v>244</v>
      </c>
      <c r="AL84" s="28"/>
      <c r="AM84" s="27"/>
      <c r="AN84" s="27"/>
      <c r="AO84" s="8"/>
      <c r="AP84" s="8"/>
      <c r="AQ84" s="5" t="s">
        <v>1024</v>
      </c>
      <c r="AR84" s="5" t="s">
        <v>1025</v>
      </c>
      <c r="AS84" s="9"/>
      <c r="AT84" s="9"/>
      <c r="AU84" s="9"/>
      <c r="AV84" s="8"/>
      <c r="AW84" s="8"/>
      <c r="AX84" s="8"/>
      <c r="AY84" s="5" t="s">
        <v>1020</v>
      </c>
      <c r="AZ84" s="8"/>
      <c r="BA84" s="5" t="s">
        <v>96</v>
      </c>
      <c r="BB84" s="5" t="s">
        <v>118</v>
      </c>
      <c r="BC84" s="5" t="s">
        <v>118</v>
      </c>
      <c r="BD84" s="5" t="s">
        <v>118</v>
      </c>
      <c r="BE84" s="5" t="s">
        <v>118</v>
      </c>
      <c r="BF84" s="5" t="s">
        <v>118</v>
      </c>
      <c r="BG84" s="9"/>
      <c r="BH84" s="9"/>
      <c r="BI84" s="8"/>
      <c r="BJ84" s="9"/>
      <c r="BK84" s="8"/>
      <c r="BL84" s="7"/>
      <c r="BM84" s="7"/>
      <c r="BN84" s="9"/>
      <c r="BO84" s="7"/>
      <c r="BP84" s="7"/>
      <c r="BQ84" s="9"/>
      <c r="BR84" s="7"/>
      <c r="BS84" s="7"/>
      <c r="BT84" s="9"/>
      <c r="BU84" s="5" t="s">
        <v>99</v>
      </c>
      <c r="BV84" s="5" t="s">
        <v>308</v>
      </c>
      <c r="BW84" s="23">
        <v>35.0</v>
      </c>
      <c r="BX84" s="5" t="s">
        <v>101</v>
      </c>
      <c r="BY84" s="7"/>
      <c r="BZ84" s="5" t="s">
        <v>102</v>
      </c>
      <c r="CA84" s="11" t="s">
        <v>103</v>
      </c>
    </row>
    <row r="85">
      <c r="A85" s="12">
        <v>597.0</v>
      </c>
      <c r="B85" s="13" t="s">
        <v>1026</v>
      </c>
      <c r="C85" s="13" t="s">
        <v>1027</v>
      </c>
      <c r="D85" s="13">
        <v>769717.0</v>
      </c>
      <c r="E85" s="13" t="s">
        <v>81</v>
      </c>
      <c r="F85" s="14">
        <v>45797.0</v>
      </c>
      <c r="G85" s="16"/>
      <c r="H85" s="13" t="s">
        <v>82</v>
      </c>
      <c r="I85" s="13" t="s">
        <v>83</v>
      </c>
      <c r="J85" s="13" t="s">
        <v>84</v>
      </c>
      <c r="K85" s="13">
        <v>2.0</v>
      </c>
      <c r="L85" s="17"/>
      <c r="M85" s="13" t="s">
        <v>181</v>
      </c>
      <c r="N85" s="13" t="s">
        <v>87</v>
      </c>
      <c r="O85" s="13">
        <v>6.138164482E9</v>
      </c>
      <c r="P85" s="16"/>
      <c r="Q85" s="16"/>
      <c r="R85" s="17"/>
      <c r="S85" s="13" t="s">
        <v>1028</v>
      </c>
      <c r="T85" s="13" t="s">
        <v>1029</v>
      </c>
      <c r="U85" s="13">
        <v>1.00769717E8</v>
      </c>
      <c r="V85" s="17"/>
      <c r="W85" s="16"/>
      <c r="X85" s="13">
        <v>1.5141294029E10</v>
      </c>
      <c r="Y85" s="13">
        <v>1060016.0</v>
      </c>
      <c r="Z85" s="16"/>
      <c r="AA85" s="16"/>
      <c r="AB85" s="16"/>
      <c r="AC85" s="16"/>
      <c r="AD85" s="17"/>
      <c r="AE85" s="16"/>
      <c r="AF85" s="14">
        <v>46052.0</v>
      </c>
      <c r="AG85" s="17"/>
      <c r="AH85" s="15"/>
      <c r="AI85" s="17"/>
      <c r="AJ85" s="13" t="s">
        <v>90</v>
      </c>
      <c r="AK85" s="13" t="s">
        <v>91</v>
      </c>
      <c r="AL85" s="19">
        <v>46115.0</v>
      </c>
      <c r="AM85" s="20">
        <v>0.625</v>
      </c>
      <c r="AN85" s="20">
        <v>0.0</v>
      </c>
      <c r="AO85" s="16"/>
      <c r="AP85" s="16"/>
      <c r="AQ85" s="13" t="s">
        <v>1030</v>
      </c>
      <c r="AR85" s="13" t="s">
        <v>1031</v>
      </c>
      <c r="AS85" s="13" t="s">
        <v>1032</v>
      </c>
      <c r="AT85" s="13" t="s">
        <v>1033</v>
      </c>
      <c r="AU85" s="13" t="s">
        <v>1034</v>
      </c>
      <c r="AV85" s="16"/>
      <c r="AW85" s="16"/>
      <c r="AX85" s="16"/>
      <c r="AY85" s="13" t="s">
        <v>1035</v>
      </c>
      <c r="AZ85" s="16"/>
      <c r="BA85" s="13" t="s">
        <v>96</v>
      </c>
      <c r="BB85" s="13" t="s">
        <v>118</v>
      </c>
      <c r="BC85" s="13" t="s">
        <v>118</v>
      </c>
      <c r="BD85" s="13" t="s">
        <v>97</v>
      </c>
      <c r="BE85" s="13" t="s">
        <v>118</v>
      </c>
      <c r="BF85" s="13" t="s">
        <v>97</v>
      </c>
      <c r="BG85" s="13" t="s">
        <v>97</v>
      </c>
      <c r="BH85" s="13" t="s">
        <v>97</v>
      </c>
      <c r="BI85" s="17"/>
      <c r="BJ85" s="13" t="s">
        <v>176</v>
      </c>
      <c r="BK85" s="16"/>
      <c r="BL85" s="14">
        <v>45912.0</v>
      </c>
      <c r="BM85" s="14">
        <v>45968.0</v>
      </c>
      <c r="BN85" s="13" t="s">
        <v>120</v>
      </c>
      <c r="BO85" s="15"/>
      <c r="BP85" s="15"/>
      <c r="BQ85" s="17"/>
      <c r="BR85" s="15"/>
      <c r="BS85" s="15"/>
      <c r="BT85" s="17"/>
      <c r="BU85" s="13" t="s">
        <v>99</v>
      </c>
      <c r="BV85" s="13" t="s">
        <v>100</v>
      </c>
      <c r="BW85" s="21">
        <v>34.0</v>
      </c>
      <c r="BX85" s="13" t="s">
        <v>101</v>
      </c>
      <c r="BY85" s="14">
        <v>45885.0</v>
      </c>
      <c r="BZ85" s="13" t="s">
        <v>102</v>
      </c>
      <c r="CA85" s="22" t="s">
        <v>103</v>
      </c>
    </row>
    <row r="86">
      <c r="A86" s="4">
        <v>227.0</v>
      </c>
      <c r="B86" s="5" t="s">
        <v>1036</v>
      </c>
      <c r="C86" s="5" t="s">
        <v>1037</v>
      </c>
      <c r="D86" s="5">
        <v>956393.0</v>
      </c>
      <c r="E86" s="5" t="s">
        <v>81</v>
      </c>
      <c r="F86" s="6">
        <v>43654.0</v>
      </c>
      <c r="G86" s="7"/>
      <c r="H86" s="5" t="s">
        <v>106</v>
      </c>
      <c r="I86" s="5" t="s">
        <v>107</v>
      </c>
      <c r="J86" s="5" t="s">
        <v>84</v>
      </c>
      <c r="K86" s="5">
        <v>4.0</v>
      </c>
      <c r="L86" s="5" t="s">
        <v>1038</v>
      </c>
      <c r="M86" s="5" t="s">
        <v>142</v>
      </c>
      <c r="N86" s="5" t="s">
        <v>126</v>
      </c>
      <c r="O86" s="5" t="s">
        <v>1039</v>
      </c>
      <c r="P86" s="8"/>
      <c r="Q86" s="8"/>
      <c r="R86" s="5" t="s">
        <v>1040</v>
      </c>
      <c r="S86" s="5" t="s">
        <v>1041</v>
      </c>
      <c r="T86" s="5" t="s">
        <v>1042</v>
      </c>
      <c r="U86" s="5">
        <v>1.00956393E8</v>
      </c>
      <c r="V86" s="5" t="s">
        <v>1043</v>
      </c>
      <c r="W86" s="8"/>
      <c r="X86" s="5">
        <v>1.5141294166E10</v>
      </c>
      <c r="Y86" s="5">
        <v>1067172.0</v>
      </c>
      <c r="Z86" s="5" t="s">
        <v>1044</v>
      </c>
      <c r="AA86" s="5" t="s">
        <v>132</v>
      </c>
      <c r="AB86" s="8"/>
      <c r="AC86" s="9"/>
      <c r="AD86" s="5" t="s">
        <v>1045</v>
      </c>
      <c r="AE86" s="18"/>
      <c r="AF86" s="6">
        <v>45254.0</v>
      </c>
      <c r="AG86" s="5">
        <v>968672.0</v>
      </c>
      <c r="AH86" s="8"/>
      <c r="AI86" s="8"/>
      <c r="AJ86" s="5" t="s">
        <v>90</v>
      </c>
      <c r="AK86" s="5" t="s">
        <v>91</v>
      </c>
      <c r="AL86" s="24">
        <v>46115.0</v>
      </c>
      <c r="AM86" s="10">
        <v>0.9166666666666666</v>
      </c>
      <c r="AN86" s="10">
        <v>0.2708333333333333</v>
      </c>
      <c r="AO86" s="8"/>
      <c r="AP86" s="8"/>
      <c r="AQ86" s="5" t="s">
        <v>1046</v>
      </c>
      <c r="AR86" s="5" t="s">
        <v>1047</v>
      </c>
      <c r="AS86" s="9"/>
      <c r="AT86" s="9"/>
      <c r="AU86" s="9"/>
      <c r="AV86" s="8"/>
      <c r="AW86" s="8"/>
      <c r="AX86" s="8"/>
      <c r="AY86" s="5" t="s">
        <v>1048</v>
      </c>
      <c r="AZ86" s="8"/>
      <c r="BA86" s="5">
        <v>66707.0</v>
      </c>
      <c r="BB86" s="5" t="s">
        <v>118</v>
      </c>
      <c r="BC86" s="5" t="s">
        <v>118</v>
      </c>
      <c r="BD86" s="5" t="s">
        <v>97</v>
      </c>
      <c r="BE86" s="5" t="s">
        <v>97</v>
      </c>
      <c r="BF86" s="5" t="s">
        <v>118</v>
      </c>
      <c r="BG86" s="5" t="s">
        <v>97</v>
      </c>
      <c r="BH86" s="5" t="s">
        <v>97</v>
      </c>
      <c r="BI86" s="9"/>
      <c r="BJ86" s="5" t="s">
        <v>151</v>
      </c>
      <c r="BK86" s="8"/>
      <c r="BL86" s="6">
        <v>43831.0</v>
      </c>
      <c r="BM86" s="6">
        <v>43891.0</v>
      </c>
      <c r="BN86" s="5" t="s">
        <v>120</v>
      </c>
      <c r="BO86" s="6">
        <v>44044.0</v>
      </c>
      <c r="BP86" s="6">
        <v>44105.0</v>
      </c>
      <c r="BQ86" s="5" t="s">
        <v>120</v>
      </c>
      <c r="BR86" s="6">
        <v>44317.0</v>
      </c>
      <c r="BS86" s="6">
        <v>44378.0</v>
      </c>
      <c r="BT86" s="5" t="s">
        <v>120</v>
      </c>
      <c r="BU86" s="5" t="s">
        <v>99</v>
      </c>
      <c r="BV86" s="5" t="s">
        <v>100</v>
      </c>
      <c r="BW86" s="23">
        <v>34.0</v>
      </c>
      <c r="BX86" s="5" t="s">
        <v>101</v>
      </c>
      <c r="BY86" s="6">
        <v>43716.0</v>
      </c>
      <c r="BZ86" s="5" t="s">
        <v>102</v>
      </c>
      <c r="CA86" s="11" t="s">
        <v>103</v>
      </c>
    </row>
    <row r="87">
      <c r="A87" s="12">
        <v>640.0</v>
      </c>
      <c r="B87" s="13" t="s">
        <v>1049</v>
      </c>
      <c r="C87" s="13" t="s">
        <v>1050</v>
      </c>
      <c r="D87" s="13">
        <v>6001657.0</v>
      </c>
      <c r="E87" s="13" t="s">
        <v>81</v>
      </c>
      <c r="F87" s="14">
        <v>46146.0</v>
      </c>
      <c r="G87" s="16"/>
      <c r="H87" s="13" t="s">
        <v>239</v>
      </c>
      <c r="I87" s="13" t="s">
        <v>107</v>
      </c>
      <c r="J87" s="13" t="s">
        <v>84</v>
      </c>
      <c r="K87" s="13" t="s">
        <v>241</v>
      </c>
      <c r="L87" s="13" t="s">
        <v>1051</v>
      </c>
      <c r="M87" s="13" t="s">
        <v>167</v>
      </c>
      <c r="N87" s="13" t="s">
        <v>87</v>
      </c>
      <c r="O87" s="13">
        <v>5.149155735E9</v>
      </c>
      <c r="P87" s="17"/>
      <c r="Q87" s="16"/>
      <c r="R87" s="17"/>
      <c r="S87" s="17"/>
      <c r="T87" s="13" t="s">
        <v>1052</v>
      </c>
      <c r="U87" s="17"/>
      <c r="V87" s="17"/>
      <c r="W87" s="16"/>
      <c r="X87" s="13">
        <v>1.5141294028E10</v>
      </c>
      <c r="Y87" s="13">
        <v>1060072.0</v>
      </c>
      <c r="Z87" s="17"/>
      <c r="AA87" s="17"/>
      <c r="AB87" s="16"/>
      <c r="AC87" s="16"/>
      <c r="AD87" s="17"/>
      <c r="AE87" s="17"/>
      <c r="AF87" s="15"/>
      <c r="AG87" s="17"/>
      <c r="AH87" s="15"/>
      <c r="AI87" s="17"/>
      <c r="AJ87" s="13" t="s">
        <v>90</v>
      </c>
      <c r="AK87" s="13" t="s">
        <v>244</v>
      </c>
      <c r="AL87" s="17"/>
      <c r="AM87" s="26"/>
      <c r="AN87" s="26"/>
      <c r="AO87" s="16"/>
      <c r="AP87" s="16"/>
      <c r="AQ87" s="13" t="s">
        <v>1053</v>
      </c>
      <c r="AR87" s="13" t="s">
        <v>1054</v>
      </c>
      <c r="AS87" s="17"/>
      <c r="AT87" s="17"/>
      <c r="AU87" s="16"/>
      <c r="AV87" s="16"/>
      <c r="AW87" s="16"/>
      <c r="AX87" s="16"/>
      <c r="AY87" s="13" t="s">
        <v>1049</v>
      </c>
      <c r="AZ87" s="16"/>
      <c r="BA87" s="13" t="s">
        <v>96</v>
      </c>
      <c r="BB87" s="13" t="s">
        <v>118</v>
      </c>
      <c r="BC87" s="13" t="s">
        <v>118</v>
      </c>
      <c r="BD87" s="13" t="s">
        <v>118</v>
      </c>
      <c r="BE87" s="13" t="s">
        <v>118</v>
      </c>
      <c r="BF87" s="13" t="s">
        <v>118</v>
      </c>
      <c r="BG87" s="17"/>
      <c r="BH87" s="17"/>
      <c r="BI87" s="16"/>
      <c r="BJ87" s="17"/>
      <c r="BK87" s="16"/>
      <c r="BL87" s="15"/>
      <c r="BM87" s="15"/>
      <c r="BN87" s="17"/>
      <c r="BO87" s="15"/>
      <c r="BP87" s="15"/>
      <c r="BQ87" s="17"/>
      <c r="BR87" s="15"/>
      <c r="BS87" s="15"/>
      <c r="BT87" s="17"/>
      <c r="BU87" s="13" t="s">
        <v>99</v>
      </c>
      <c r="BV87" s="13" t="s">
        <v>308</v>
      </c>
      <c r="BW87" s="21">
        <v>35.0</v>
      </c>
      <c r="BX87" s="13" t="s">
        <v>101</v>
      </c>
      <c r="BY87" s="15"/>
      <c r="BZ87" s="13" t="s">
        <v>102</v>
      </c>
      <c r="CA87" s="22" t="s">
        <v>103</v>
      </c>
    </row>
    <row r="88">
      <c r="A88" s="4">
        <v>229.0</v>
      </c>
      <c r="B88" s="5" t="s">
        <v>1055</v>
      </c>
      <c r="C88" s="5" t="s">
        <v>1056</v>
      </c>
      <c r="D88" s="5">
        <v>956359.0</v>
      </c>
      <c r="E88" s="5" t="s">
        <v>81</v>
      </c>
      <c r="F88" s="6">
        <v>43045.0</v>
      </c>
      <c r="G88" s="8"/>
      <c r="H88" s="5" t="s">
        <v>82</v>
      </c>
      <c r="I88" s="5" t="s">
        <v>240</v>
      </c>
      <c r="J88" s="5" t="s">
        <v>155</v>
      </c>
      <c r="K88" s="5">
        <v>2.0</v>
      </c>
      <c r="L88" s="5" t="s">
        <v>1057</v>
      </c>
      <c r="M88" s="5" t="s">
        <v>292</v>
      </c>
      <c r="N88" s="5" t="s">
        <v>126</v>
      </c>
      <c r="O88" s="5" t="s">
        <v>1058</v>
      </c>
      <c r="P88" s="8"/>
      <c r="Q88" s="8"/>
      <c r="R88" s="5" t="s">
        <v>1059</v>
      </c>
      <c r="S88" s="5" t="s">
        <v>1060</v>
      </c>
      <c r="T88" s="5" t="s">
        <v>1061</v>
      </c>
      <c r="U88" s="5">
        <v>1.00956359E8</v>
      </c>
      <c r="V88" s="5" t="s">
        <v>1056</v>
      </c>
      <c r="W88" s="8"/>
      <c r="X88" s="5">
        <v>1.4031292132E10</v>
      </c>
      <c r="Y88" s="5">
        <v>1066539.0</v>
      </c>
      <c r="Z88" s="8"/>
      <c r="AA88" s="9"/>
      <c r="AB88" s="8"/>
      <c r="AC88" s="9"/>
      <c r="AD88" s="9"/>
      <c r="AE88" s="9"/>
      <c r="AF88" s="6">
        <v>45182.0</v>
      </c>
      <c r="AG88" s="5">
        <v>956359.0</v>
      </c>
      <c r="AH88" s="8"/>
      <c r="AI88" s="8"/>
      <c r="AJ88" s="5" t="s">
        <v>90</v>
      </c>
      <c r="AK88" s="5" t="s">
        <v>91</v>
      </c>
      <c r="AL88" s="24">
        <v>46115.0</v>
      </c>
      <c r="AM88" s="10">
        <v>0.4166666666666667</v>
      </c>
      <c r="AN88" s="10">
        <v>0.7916666666666666</v>
      </c>
      <c r="AO88" s="8"/>
      <c r="AP88" s="8"/>
      <c r="AQ88" s="5" t="s">
        <v>1062</v>
      </c>
      <c r="AR88" s="5" t="s">
        <v>1063</v>
      </c>
      <c r="AS88" s="8"/>
      <c r="AT88" s="8"/>
      <c r="AU88" s="8"/>
      <c r="AV88" s="8"/>
      <c r="AW88" s="8"/>
      <c r="AX88" s="8"/>
      <c r="AY88" s="5" t="s">
        <v>1064</v>
      </c>
      <c r="AZ88" s="8"/>
      <c r="BA88" s="5">
        <v>699640.0</v>
      </c>
      <c r="BB88" s="5" t="s">
        <v>118</v>
      </c>
      <c r="BC88" s="5" t="s">
        <v>97</v>
      </c>
      <c r="BD88" s="5" t="s">
        <v>118</v>
      </c>
      <c r="BE88" s="5" t="s">
        <v>97</v>
      </c>
      <c r="BF88" s="5" t="s">
        <v>118</v>
      </c>
      <c r="BG88" s="5" t="s">
        <v>97</v>
      </c>
      <c r="BH88" s="5" t="s">
        <v>97</v>
      </c>
      <c r="BI88" s="8"/>
      <c r="BJ88" s="5" t="s">
        <v>98</v>
      </c>
      <c r="BK88" s="8"/>
      <c r="BL88" s="6">
        <v>43880.0</v>
      </c>
      <c r="BM88" s="6">
        <v>43946.0</v>
      </c>
      <c r="BN88" s="5" t="s">
        <v>120</v>
      </c>
      <c r="BO88" s="7"/>
      <c r="BP88" s="7"/>
      <c r="BQ88" s="9"/>
      <c r="BR88" s="7"/>
      <c r="BS88" s="7"/>
      <c r="BT88" s="9"/>
      <c r="BU88" s="5" t="s">
        <v>120</v>
      </c>
      <c r="BV88" s="5" t="s">
        <v>121</v>
      </c>
      <c r="BW88" s="23">
        <v>34.0</v>
      </c>
      <c r="BX88" s="5" t="s">
        <v>101</v>
      </c>
      <c r="BY88" s="6">
        <v>43144.0</v>
      </c>
      <c r="BZ88" s="5" t="s">
        <v>102</v>
      </c>
      <c r="CA88" s="11" t="s">
        <v>103</v>
      </c>
    </row>
    <row r="89">
      <c r="A89" s="12">
        <v>230.0</v>
      </c>
      <c r="B89" s="13" t="s">
        <v>1065</v>
      </c>
      <c r="C89" s="13" t="s">
        <v>1066</v>
      </c>
      <c r="D89" s="13">
        <v>955844.0</v>
      </c>
      <c r="E89" s="13" t="s">
        <v>81</v>
      </c>
      <c r="F89" s="14">
        <v>42824.0</v>
      </c>
      <c r="G89" s="16"/>
      <c r="H89" s="13" t="s">
        <v>106</v>
      </c>
      <c r="I89" s="13" t="s">
        <v>107</v>
      </c>
      <c r="J89" s="13" t="s">
        <v>84</v>
      </c>
      <c r="K89" s="13">
        <v>4.0</v>
      </c>
      <c r="L89" s="13" t="s">
        <v>1067</v>
      </c>
      <c r="M89" s="13" t="s">
        <v>250</v>
      </c>
      <c r="N89" s="13" t="s">
        <v>87</v>
      </c>
      <c r="O89" s="13" t="s">
        <v>1068</v>
      </c>
      <c r="P89" s="16"/>
      <c r="Q89" s="16"/>
      <c r="R89" s="13" t="s">
        <v>1069</v>
      </c>
      <c r="S89" s="13" t="s">
        <v>1070</v>
      </c>
      <c r="T89" s="13" t="s">
        <v>1071</v>
      </c>
      <c r="U89" s="13">
        <v>1.00955844E8</v>
      </c>
      <c r="V89" s="13" t="s">
        <v>1072</v>
      </c>
      <c r="W89" s="16"/>
      <c r="X89" s="13">
        <v>1.514129433E10</v>
      </c>
      <c r="Y89" s="13">
        <v>1066707.0</v>
      </c>
      <c r="Z89" s="13" t="s">
        <v>1073</v>
      </c>
      <c r="AA89" s="17"/>
      <c r="AB89" s="17"/>
      <c r="AC89" s="16"/>
      <c r="AD89" s="13" t="s">
        <v>1074</v>
      </c>
      <c r="AE89" s="18"/>
      <c r="AF89" s="14">
        <v>43125.0</v>
      </c>
      <c r="AG89" s="13">
        <v>25185.0</v>
      </c>
      <c r="AH89" s="16"/>
      <c r="AI89" s="16"/>
      <c r="AJ89" s="13" t="s">
        <v>90</v>
      </c>
      <c r="AK89" s="13" t="s">
        <v>91</v>
      </c>
      <c r="AL89" s="13" t="s">
        <v>188</v>
      </c>
      <c r="AM89" s="20">
        <v>0.5833333333333334</v>
      </c>
      <c r="AN89" s="20">
        <v>0.0</v>
      </c>
      <c r="AO89" s="16"/>
      <c r="AP89" s="16"/>
      <c r="AQ89" s="13" t="s">
        <v>1075</v>
      </c>
      <c r="AR89" s="13" t="s">
        <v>1076</v>
      </c>
      <c r="AS89" s="17"/>
      <c r="AT89" s="17"/>
      <c r="AU89" s="17"/>
      <c r="AV89" s="16"/>
      <c r="AW89" s="16"/>
      <c r="AX89" s="16"/>
      <c r="AY89" s="13" t="s">
        <v>1077</v>
      </c>
      <c r="AZ89" s="16"/>
      <c r="BA89" s="13">
        <v>66015.0</v>
      </c>
      <c r="BB89" s="13" t="s">
        <v>97</v>
      </c>
      <c r="BC89" s="13" t="s">
        <v>97</v>
      </c>
      <c r="BD89" s="13" t="s">
        <v>97</v>
      </c>
      <c r="BE89" s="13" t="s">
        <v>97</v>
      </c>
      <c r="BF89" s="13" t="s">
        <v>97</v>
      </c>
      <c r="BG89" s="13" t="s">
        <v>97</v>
      </c>
      <c r="BH89" s="13" t="s">
        <v>97</v>
      </c>
      <c r="BI89" s="17"/>
      <c r="BJ89" s="13" t="s">
        <v>176</v>
      </c>
      <c r="BK89" s="16"/>
      <c r="BL89" s="15"/>
      <c r="BM89" s="15"/>
      <c r="BN89" s="13" t="s">
        <v>120</v>
      </c>
      <c r="BO89" s="14">
        <v>45075.0</v>
      </c>
      <c r="BP89" s="14">
        <v>45198.0</v>
      </c>
      <c r="BQ89" s="13" t="s">
        <v>120</v>
      </c>
      <c r="BR89" s="14">
        <v>44873.0</v>
      </c>
      <c r="BS89" s="14">
        <v>45041.0</v>
      </c>
      <c r="BT89" s="13" t="s">
        <v>120</v>
      </c>
      <c r="BU89" s="13" t="s">
        <v>99</v>
      </c>
      <c r="BV89" s="13" t="s">
        <v>100</v>
      </c>
      <c r="BW89" s="21">
        <v>35.0</v>
      </c>
      <c r="BX89" s="13" t="s">
        <v>101</v>
      </c>
      <c r="BY89" s="15"/>
      <c r="BZ89" s="13" t="s">
        <v>102</v>
      </c>
      <c r="CA89" s="22" t="s">
        <v>103</v>
      </c>
    </row>
    <row r="90">
      <c r="A90" s="4">
        <v>647.0</v>
      </c>
      <c r="B90" s="5" t="s">
        <v>1078</v>
      </c>
      <c r="C90" s="5" t="s">
        <v>1079</v>
      </c>
      <c r="D90" s="5">
        <v>6001714.0</v>
      </c>
      <c r="E90" s="5" t="s">
        <v>81</v>
      </c>
      <c r="F90" s="6">
        <v>46146.0</v>
      </c>
      <c r="G90" s="8"/>
      <c r="H90" s="5" t="s">
        <v>239</v>
      </c>
      <c r="I90" s="5" t="s">
        <v>240</v>
      </c>
      <c r="J90" s="5" t="s">
        <v>155</v>
      </c>
      <c r="K90" s="5" t="s">
        <v>241</v>
      </c>
      <c r="L90" s="5" t="s">
        <v>1080</v>
      </c>
      <c r="M90" s="5" t="s">
        <v>167</v>
      </c>
      <c r="N90" s="5" t="s">
        <v>87</v>
      </c>
      <c r="O90" s="5">
        <v>4.039038584E9</v>
      </c>
      <c r="P90" s="9"/>
      <c r="Q90" s="8"/>
      <c r="R90" s="9"/>
      <c r="S90" s="9"/>
      <c r="T90" s="5" t="s">
        <v>1081</v>
      </c>
      <c r="U90" s="9"/>
      <c r="V90" s="9"/>
      <c r="W90" s="8"/>
      <c r="X90" s="5">
        <v>1.5141294055E10</v>
      </c>
      <c r="Y90" s="5">
        <v>1060075.0</v>
      </c>
      <c r="Z90" s="9"/>
      <c r="AA90" s="9"/>
      <c r="AB90" s="8"/>
      <c r="AC90" s="8"/>
      <c r="AD90" s="9"/>
      <c r="AE90" s="9"/>
      <c r="AF90" s="7"/>
      <c r="AG90" s="9"/>
      <c r="AH90" s="8"/>
      <c r="AI90" s="8"/>
      <c r="AJ90" s="5" t="s">
        <v>90</v>
      </c>
      <c r="AK90" s="9"/>
      <c r="AL90" s="28"/>
      <c r="AM90" s="27"/>
      <c r="AN90" s="27"/>
      <c r="AO90" s="8"/>
      <c r="AP90" s="8"/>
      <c r="AQ90" s="5" t="s">
        <v>1082</v>
      </c>
      <c r="AR90" s="5" t="s">
        <v>1083</v>
      </c>
      <c r="AS90" s="9"/>
      <c r="AT90" s="9"/>
      <c r="AU90" s="9"/>
      <c r="AV90" s="8"/>
      <c r="AW90" s="8"/>
      <c r="AX90" s="8"/>
      <c r="AY90" s="5" t="s">
        <v>1078</v>
      </c>
      <c r="AZ90" s="8"/>
      <c r="BA90" s="5" t="s">
        <v>96</v>
      </c>
      <c r="BB90" s="5" t="s">
        <v>118</v>
      </c>
      <c r="BC90" s="5" t="s">
        <v>118</v>
      </c>
      <c r="BD90" s="5" t="s">
        <v>118</v>
      </c>
      <c r="BE90" s="5" t="s">
        <v>118</v>
      </c>
      <c r="BF90" s="5" t="s">
        <v>118</v>
      </c>
      <c r="BG90" s="9"/>
      <c r="BH90" s="9"/>
      <c r="BI90" s="8"/>
      <c r="BJ90" s="9"/>
      <c r="BK90" s="8"/>
      <c r="BL90" s="7"/>
      <c r="BM90" s="7"/>
      <c r="BN90" s="9"/>
      <c r="BO90" s="7"/>
      <c r="BP90" s="7"/>
      <c r="BQ90" s="9"/>
      <c r="BR90" s="7"/>
      <c r="BS90" s="7"/>
      <c r="BT90" s="9"/>
      <c r="BU90" s="5" t="s">
        <v>120</v>
      </c>
      <c r="BV90" s="5" t="s">
        <v>308</v>
      </c>
      <c r="BW90" s="23">
        <v>35.0</v>
      </c>
      <c r="BX90" s="5" t="s">
        <v>101</v>
      </c>
      <c r="BY90" s="7"/>
      <c r="BZ90" s="5" t="s">
        <v>102</v>
      </c>
      <c r="CA90" s="11" t="s">
        <v>103</v>
      </c>
    </row>
    <row r="91">
      <c r="A91" s="12">
        <v>236.0</v>
      </c>
      <c r="B91" s="13" t="s">
        <v>1084</v>
      </c>
      <c r="C91" s="13" t="s">
        <v>1085</v>
      </c>
      <c r="D91" s="13">
        <v>956351.0</v>
      </c>
      <c r="E91" s="13" t="s">
        <v>81</v>
      </c>
      <c r="F91" s="14">
        <v>40679.0</v>
      </c>
      <c r="G91" s="16"/>
      <c r="H91" s="13" t="s">
        <v>82</v>
      </c>
      <c r="I91" s="13" t="s">
        <v>240</v>
      </c>
      <c r="J91" s="13" t="s">
        <v>155</v>
      </c>
      <c r="K91" s="13">
        <v>2.0</v>
      </c>
      <c r="L91" s="13" t="s">
        <v>1086</v>
      </c>
      <c r="M91" s="13" t="s">
        <v>292</v>
      </c>
      <c r="N91" s="13" t="s">
        <v>126</v>
      </c>
      <c r="O91" s="13" t="s">
        <v>1087</v>
      </c>
      <c r="P91" s="17"/>
      <c r="Q91" s="16"/>
      <c r="R91" s="13" t="s">
        <v>1088</v>
      </c>
      <c r="S91" s="13" t="s">
        <v>1089</v>
      </c>
      <c r="T91" s="13" t="s">
        <v>1090</v>
      </c>
      <c r="U91" s="13">
        <v>1.00956351E8</v>
      </c>
      <c r="V91" s="13" t="s">
        <v>1091</v>
      </c>
      <c r="W91" s="16"/>
      <c r="X91" s="13">
        <v>1.4031292094E10</v>
      </c>
      <c r="Y91" s="13">
        <v>1210806.0</v>
      </c>
      <c r="Z91" s="17"/>
      <c r="AA91" s="17"/>
      <c r="AB91" s="16"/>
      <c r="AC91" s="17"/>
      <c r="AD91" s="13" t="s">
        <v>1092</v>
      </c>
      <c r="AE91" s="17"/>
      <c r="AF91" s="14">
        <v>45194.0</v>
      </c>
      <c r="AG91" s="13">
        <v>968640.0</v>
      </c>
      <c r="AH91" s="16"/>
      <c r="AI91" s="16"/>
      <c r="AJ91" s="13" t="s">
        <v>90</v>
      </c>
      <c r="AK91" s="13" t="s">
        <v>91</v>
      </c>
      <c r="AL91" s="19">
        <v>46144.0</v>
      </c>
      <c r="AM91" s="20">
        <v>0.375</v>
      </c>
      <c r="AN91" s="20">
        <v>0.7083333333333334</v>
      </c>
      <c r="AO91" s="16"/>
      <c r="AP91" s="16"/>
      <c r="AQ91" s="13" t="s">
        <v>1093</v>
      </c>
      <c r="AR91" s="13" t="s">
        <v>1094</v>
      </c>
      <c r="AS91" s="16"/>
      <c r="AT91" s="16"/>
      <c r="AU91" s="16"/>
      <c r="AV91" s="16"/>
      <c r="AW91" s="16"/>
      <c r="AX91" s="16"/>
      <c r="AY91" s="13" t="s">
        <v>1095</v>
      </c>
      <c r="AZ91" s="16"/>
      <c r="BA91" s="13">
        <v>860467.0</v>
      </c>
      <c r="BB91" s="13" t="s">
        <v>118</v>
      </c>
      <c r="BC91" s="13" t="s">
        <v>97</v>
      </c>
      <c r="BD91" s="13" t="s">
        <v>97</v>
      </c>
      <c r="BE91" s="13" t="s">
        <v>97</v>
      </c>
      <c r="BF91" s="13" t="s">
        <v>97</v>
      </c>
      <c r="BG91" s="13" t="s">
        <v>97</v>
      </c>
      <c r="BH91" s="13" t="s">
        <v>118</v>
      </c>
      <c r="BI91" s="16"/>
      <c r="BJ91" s="13" t="s">
        <v>98</v>
      </c>
      <c r="BK91" s="16"/>
      <c r="BL91" s="14">
        <v>40861.0</v>
      </c>
      <c r="BM91" s="14">
        <v>40935.0</v>
      </c>
      <c r="BN91" s="13" t="s">
        <v>120</v>
      </c>
      <c r="BO91" s="15"/>
      <c r="BP91" s="15"/>
      <c r="BQ91" s="17"/>
      <c r="BR91" s="15"/>
      <c r="BS91" s="16"/>
      <c r="BT91" s="17"/>
      <c r="BU91" s="13" t="s">
        <v>120</v>
      </c>
      <c r="BV91" s="13" t="s">
        <v>121</v>
      </c>
      <c r="BW91" s="21">
        <v>37.5</v>
      </c>
      <c r="BX91" s="13" t="s">
        <v>101</v>
      </c>
      <c r="BY91" s="14">
        <v>40778.0</v>
      </c>
      <c r="BZ91" s="13" t="s">
        <v>102</v>
      </c>
      <c r="CA91" s="22" t="s">
        <v>103</v>
      </c>
    </row>
    <row r="92">
      <c r="A92" s="4">
        <v>621.0</v>
      </c>
      <c r="B92" s="5" t="s">
        <v>1096</v>
      </c>
      <c r="C92" s="5" t="s">
        <v>1097</v>
      </c>
      <c r="D92" s="5">
        <v>6001435.0</v>
      </c>
      <c r="E92" s="5" t="s">
        <v>81</v>
      </c>
      <c r="F92" s="6">
        <v>46119.0</v>
      </c>
      <c r="G92" s="7"/>
      <c r="H92" s="5" t="s">
        <v>239</v>
      </c>
      <c r="I92" s="5" t="s">
        <v>107</v>
      </c>
      <c r="J92" s="5" t="s">
        <v>84</v>
      </c>
      <c r="K92" s="5">
        <v>1.0</v>
      </c>
      <c r="L92" s="5" t="s">
        <v>1098</v>
      </c>
      <c r="M92" s="5" t="s">
        <v>142</v>
      </c>
      <c r="N92" s="5" t="s">
        <v>126</v>
      </c>
      <c r="O92" s="5">
        <v>5.144737067E9</v>
      </c>
      <c r="P92" s="8"/>
      <c r="Q92" s="8"/>
      <c r="R92" s="9"/>
      <c r="S92" s="5" t="s">
        <v>1099</v>
      </c>
      <c r="T92" s="5" t="s">
        <v>1100</v>
      </c>
      <c r="U92" s="5">
        <v>1.06001435E8</v>
      </c>
      <c r="V92" s="9"/>
      <c r="W92" s="8"/>
      <c r="X92" s="5">
        <v>1.5141294007E10</v>
      </c>
      <c r="Y92" s="5">
        <v>1060005.0</v>
      </c>
      <c r="Z92" s="8"/>
      <c r="AA92" s="9"/>
      <c r="AB92" s="8"/>
      <c r="AC92" s="8"/>
      <c r="AD92" s="9"/>
      <c r="AE92" s="9"/>
      <c r="AF92" s="7"/>
      <c r="AG92" s="9"/>
      <c r="AH92" s="7"/>
      <c r="AI92" s="9"/>
      <c r="AJ92" s="5" t="s">
        <v>90</v>
      </c>
      <c r="AK92" s="5" t="s">
        <v>244</v>
      </c>
      <c r="AL92" s="9"/>
      <c r="AM92" s="27"/>
      <c r="AN92" s="27"/>
      <c r="AO92" s="8"/>
      <c r="AP92" s="8"/>
      <c r="AQ92" s="5" t="s">
        <v>1101</v>
      </c>
      <c r="AR92" s="5" t="s">
        <v>1102</v>
      </c>
      <c r="AS92" s="9"/>
      <c r="AT92" s="9"/>
      <c r="AU92" s="9"/>
      <c r="AV92" s="8"/>
      <c r="AW92" s="8"/>
      <c r="AX92" s="8"/>
      <c r="AY92" s="5" t="s">
        <v>1103</v>
      </c>
      <c r="AZ92" s="8"/>
      <c r="BA92" s="5">
        <v>847563.0</v>
      </c>
      <c r="BB92" s="5" t="s">
        <v>118</v>
      </c>
      <c r="BC92" s="5" t="s">
        <v>118</v>
      </c>
      <c r="BD92" s="5" t="s">
        <v>118</v>
      </c>
      <c r="BE92" s="5" t="s">
        <v>118</v>
      </c>
      <c r="BF92" s="5" t="s">
        <v>118</v>
      </c>
      <c r="BG92" s="5" t="s">
        <v>118</v>
      </c>
      <c r="BH92" s="5" t="s">
        <v>118</v>
      </c>
      <c r="BI92" s="8"/>
      <c r="BJ92" s="9"/>
      <c r="BK92" s="8"/>
      <c r="BL92" s="7"/>
      <c r="BM92" s="7"/>
      <c r="BN92" s="9"/>
      <c r="BO92" s="7"/>
      <c r="BP92" s="7"/>
      <c r="BQ92" s="9"/>
      <c r="BR92" s="7"/>
      <c r="BS92" s="7"/>
      <c r="BT92" s="9"/>
      <c r="BU92" s="5" t="s">
        <v>99</v>
      </c>
      <c r="BV92" s="5" t="s">
        <v>121</v>
      </c>
      <c r="BW92" s="23">
        <v>35.0</v>
      </c>
      <c r="BX92" s="5" t="s">
        <v>101</v>
      </c>
      <c r="BY92" s="7"/>
      <c r="BZ92" s="5" t="s">
        <v>102</v>
      </c>
      <c r="CA92" s="11" t="s">
        <v>103</v>
      </c>
    </row>
    <row r="93">
      <c r="A93" s="12">
        <v>239.0</v>
      </c>
      <c r="B93" s="13" t="s">
        <v>1104</v>
      </c>
      <c r="C93" s="13" t="s">
        <v>1105</v>
      </c>
      <c r="D93" s="13">
        <v>955923.0</v>
      </c>
      <c r="E93" s="13" t="s">
        <v>81</v>
      </c>
      <c r="F93" s="14">
        <v>43654.0</v>
      </c>
      <c r="G93" s="15"/>
      <c r="H93" s="13" t="s">
        <v>106</v>
      </c>
      <c r="I93" s="13" t="s">
        <v>107</v>
      </c>
      <c r="J93" s="13" t="s">
        <v>194</v>
      </c>
      <c r="K93" s="13">
        <v>4.0</v>
      </c>
      <c r="L93" s="13" t="s">
        <v>1106</v>
      </c>
      <c r="M93" s="13" t="s">
        <v>250</v>
      </c>
      <c r="N93" s="13" t="s">
        <v>87</v>
      </c>
      <c r="O93" s="13">
        <v>5.14686136E9</v>
      </c>
      <c r="P93" s="17"/>
      <c r="Q93" s="16"/>
      <c r="R93" s="13" t="s">
        <v>1107</v>
      </c>
      <c r="S93" s="13" t="s">
        <v>1108</v>
      </c>
      <c r="T93" s="13" t="s">
        <v>1109</v>
      </c>
      <c r="U93" s="13">
        <v>1.00955923E8</v>
      </c>
      <c r="V93" s="13" t="s">
        <v>1110</v>
      </c>
      <c r="W93" s="16"/>
      <c r="X93" s="13">
        <v>1.5141294145E10</v>
      </c>
      <c r="Y93" s="13">
        <v>1067168.0</v>
      </c>
      <c r="Z93" s="16"/>
      <c r="AA93" s="17"/>
      <c r="AB93" s="16"/>
      <c r="AC93" s="16"/>
      <c r="AD93" s="13" t="s">
        <v>1111</v>
      </c>
      <c r="AE93" s="17"/>
      <c r="AF93" s="14">
        <v>43959.0</v>
      </c>
      <c r="AG93" s="13">
        <v>30258.0</v>
      </c>
      <c r="AH93" s="16"/>
      <c r="AI93" s="16"/>
      <c r="AJ93" s="13" t="s">
        <v>90</v>
      </c>
      <c r="AK93" s="13" t="s">
        <v>91</v>
      </c>
      <c r="AL93" s="13" t="s">
        <v>92</v>
      </c>
      <c r="AM93" s="20">
        <v>0.625</v>
      </c>
      <c r="AN93" s="20">
        <v>0.041666666666666664</v>
      </c>
      <c r="AO93" s="16"/>
      <c r="AP93" s="16"/>
      <c r="AQ93" s="13" t="s">
        <v>1112</v>
      </c>
      <c r="AR93" s="13" t="s">
        <v>307</v>
      </c>
      <c r="AS93" s="13" t="s">
        <v>1113</v>
      </c>
      <c r="AT93" s="13">
        <v>5.146866908E9</v>
      </c>
      <c r="AU93" s="13" t="s">
        <v>1114</v>
      </c>
      <c r="AV93" s="17"/>
      <c r="AW93" s="17"/>
      <c r="AX93" s="17"/>
      <c r="AY93" s="13" t="s">
        <v>1115</v>
      </c>
      <c r="AZ93" s="16"/>
      <c r="BA93" s="13">
        <v>66258.0</v>
      </c>
      <c r="BB93" s="13" t="s">
        <v>97</v>
      </c>
      <c r="BC93" s="13" t="s">
        <v>97</v>
      </c>
      <c r="BD93" s="13" t="s">
        <v>97</v>
      </c>
      <c r="BE93" s="13" t="s">
        <v>97</v>
      </c>
      <c r="BF93" s="13" t="s">
        <v>97</v>
      </c>
      <c r="BG93" s="13" t="s">
        <v>97</v>
      </c>
      <c r="BH93" s="13" t="s">
        <v>97</v>
      </c>
      <c r="BI93" s="16"/>
      <c r="BJ93" s="13" t="s">
        <v>176</v>
      </c>
      <c r="BK93" s="16"/>
      <c r="BL93" s="14">
        <v>43851.0</v>
      </c>
      <c r="BM93" s="15"/>
      <c r="BN93" s="13" t="s">
        <v>120</v>
      </c>
      <c r="BO93" s="15"/>
      <c r="BP93" s="15"/>
      <c r="BQ93" s="13" t="s">
        <v>120</v>
      </c>
      <c r="BR93" s="16"/>
      <c r="BS93" s="16"/>
      <c r="BT93" s="13" t="s">
        <v>120</v>
      </c>
      <c r="BU93" s="13" t="s">
        <v>99</v>
      </c>
      <c r="BV93" s="13" t="s">
        <v>100</v>
      </c>
      <c r="BW93" s="21">
        <v>35.0</v>
      </c>
      <c r="BX93" s="13" t="s">
        <v>101</v>
      </c>
      <c r="BY93" s="15"/>
      <c r="BZ93" s="13" t="s">
        <v>102</v>
      </c>
      <c r="CA93" s="22" t="s">
        <v>103</v>
      </c>
    </row>
    <row r="94">
      <c r="A94" s="4">
        <v>242.0</v>
      </c>
      <c r="B94" s="5" t="s">
        <v>1116</v>
      </c>
      <c r="C94" s="5" t="s">
        <v>1117</v>
      </c>
      <c r="D94" s="5">
        <v>980139.0</v>
      </c>
      <c r="E94" s="5" t="s">
        <v>262</v>
      </c>
      <c r="F94" s="6">
        <v>44578.0</v>
      </c>
      <c r="G94" s="7"/>
      <c r="H94" s="5" t="s">
        <v>239</v>
      </c>
      <c r="I94" s="5" t="s">
        <v>83</v>
      </c>
      <c r="J94" s="5" t="s">
        <v>194</v>
      </c>
      <c r="K94" s="5">
        <v>2.0</v>
      </c>
      <c r="L94" s="5" t="s">
        <v>1118</v>
      </c>
      <c r="M94" s="5" t="s">
        <v>181</v>
      </c>
      <c r="N94" s="5" t="s">
        <v>87</v>
      </c>
      <c r="O94" s="5">
        <v>6.133309241E9</v>
      </c>
      <c r="P94" s="8"/>
      <c r="Q94" s="8"/>
      <c r="R94" s="5" t="s">
        <v>1119</v>
      </c>
      <c r="S94" s="5" t="s">
        <v>1120</v>
      </c>
      <c r="T94" s="5" t="s">
        <v>1121</v>
      </c>
      <c r="U94" s="5">
        <v>1.00980139E8</v>
      </c>
      <c r="V94" s="5" t="s">
        <v>1122</v>
      </c>
      <c r="W94" s="8"/>
      <c r="X94" s="5">
        <v>1.6131293014E10</v>
      </c>
      <c r="Y94" s="5">
        <v>1062016.0</v>
      </c>
      <c r="Z94" s="8"/>
      <c r="AA94" s="9"/>
      <c r="AB94" s="9"/>
      <c r="AC94" s="8"/>
      <c r="AD94" s="9"/>
      <c r="AE94" s="9"/>
      <c r="AF94" s="7"/>
      <c r="AG94" s="9"/>
      <c r="AH94" s="8"/>
      <c r="AI94" s="8"/>
      <c r="AJ94" s="5" t="s">
        <v>90</v>
      </c>
      <c r="AK94" s="5" t="s">
        <v>91</v>
      </c>
      <c r="AL94" s="24">
        <v>46115.0</v>
      </c>
      <c r="AM94" s="10">
        <v>0.625</v>
      </c>
      <c r="AN94" s="10">
        <v>0.9791666666666666</v>
      </c>
      <c r="AO94" s="8"/>
      <c r="AP94" s="8"/>
      <c r="AQ94" s="5" t="s">
        <v>1123</v>
      </c>
      <c r="AR94" s="5" t="s">
        <v>1124</v>
      </c>
      <c r="AS94" s="9"/>
      <c r="AT94" s="9"/>
      <c r="AU94" s="9"/>
      <c r="AV94" s="8"/>
      <c r="AW94" s="8"/>
      <c r="AX94" s="8"/>
      <c r="AY94" s="5" t="s">
        <v>1125</v>
      </c>
      <c r="AZ94" s="8"/>
      <c r="BA94" s="9"/>
      <c r="BB94" s="5" t="s">
        <v>118</v>
      </c>
      <c r="BC94" s="5" t="s">
        <v>97</v>
      </c>
      <c r="BD94" s="5" t="s">
        <v>97</v>
      </c>
      <c r="BE94" s="5" t="s">
        <v>118</v>
      </c>
      <c r="BF94" s="5" t="s">
        <v>118</v>
      </c>
      <c r="BG94" s="5" t="s">
        <v>97</v>
      </c>
      <c r="BH94" s="5" t="s">
        <v>97</v>
      </c>
      <c r="BI94" s="9"/>
      <c r="BJ94" s="5" t="s">
        <v>176</v>
      </c>
      <c r="BK94" s="8"/>
      <c r="BL94" s="6">
        <v>44718.0</v>
      </c>
      <c r="BM94" s="7"/>
      <c r="BN94" s="9"/>
      <c r="BO94" s="7"/>
      <c r="BP94" s="7"/>
      <c r="BQ94" s="9"/>
      <c r="BR94" s="7"/>
      <c r="BS94" s="7"/>
      <c r="BT94" s="9"/>
      <c r="BU94" s="5" t="s">
        <v>99</v>
      </c>
      <c r="BV94" s="5" t="s">
        <v>121</v>
      </c>
      <c r="BW94" s="23">
        <v>34.0</v>
      </c>
      <c r="BX94" s="5" t="s">
        <v>101</v>
      </c>
      <c r="BY94" s="6">
        <v>44634.0</v>
      </c>
      <c r="BZ94" s="5" t="s">
        <v>102</v>
      </c>
      <c r="CA94" s="11" t="s">
        <v>103</v>
      </c>
    </row>
    <row r="95">
      <c r="A95" s="12">
        <v>431.0</v>
      </c>
      <c r="B95" s="13" t="s">
        <v>1126</v>
      </c>
      <c r="C95" s="13" t="s">
        <v>1127</v>
      </c>
      <c r="D95" s="13">
        <v>998426.0</v>
      </c>
      <c r="E95" s="13" t="s">
        <v>81</v>
      </c>
      <c r="F95" s="14">
        <v>45082.0</v>
      </c>
      <c r="G95" s="15"/>
      <c r="H95" s="13" t="s">
        <v>106</v>
      </c>
      <c r="I95" s="13" t="s">
        <v>107</v>
      </c>
      <c r="J95" s="13" t="s">
        <v>194</v>
      </c>
      <c r="K95" s="13">
        <v>4.0</v>
      </c>
      <c r="L95" s="13" t="s">
        <v>1128</v>
      </c>
      <c r="M95" s="13" t="s">
        <v>142</v>
      </c>
      <c r="N95" s="13" t="s">
        <v>126</v>
      </c>
      <c r="O95" s="13">
        <v>5.146909961E9</v>
      </c>
      <c r="P95" s="17"/>
      <c r="Q95" s="16"/>
      <c r="R95" s="17"/>
      <c r="S95" s="13" t="s">
        <v>1129</v>
      </c>
      <c r="T95" s="13" t="s">
        <v>1130</v>
      </c>
      <c r="U95" s="13">
        <v>1.00998426E8</v>
      </c>
      <c r="V95" s="13" t="s">
        <v>1127</v>
      </c>
      <c r="W95" s="16"/>
      <c r="X95" s="13">
        <v>1.5141294001E10</v>
      </c>
      <c r="Y95" s="13">
        <v>1060036.0</v>
      </c>
      <c r="Z95" s="13" t="s">
        <v>1131</v>
      </c>
      <c r="AA95" s="17"/>
      <c r="AB95" s="16"/>
      <c r="AC95" s="17"/>
      <c r="AD95" s="13" t="s">
        <v>1132</v>
      </c>
      <c r="AE95" s="18"/>
      <c r="AF95" s="14">
        <v>45349.0</v>
      </c>
      <c r="AG95" s="13">
        <v>969430.0</v>
      </c>
      <c r="AH95" s="16"/>
      <c r="AI95" s="16"/>
      <c r="AJ95" s="13" t="s">
        <v>90</v>
      </c>
      <c r="AK95" s="13" t="s">
        <v>91</v>
      </c>
      <c r="AL95" s="13" t="s">
        <v>92</v>
      </c>
      <c r="AM95" s="20">
        <v>0.9166666666666666</v>
      </c>
      <c r="AN95" s="20">
        <v>0.3333333333333333</v>
      </c>
      <c r="AO95" s="16"/>
      <c r="AP95" s="16"/>
      <c r="AQ95" s="13" t="s">
        <v>1133</v>
      </c>
      <c r="AR95" s="13" t="s">
        <v>1134</v>
      </c>
      <c r="AS95" s="17"/>
      <c r="AT95" s="17"/>
      <c r="AU95" s="17"/>
      <c r="AV95" s="16"/>
      <c r="AW95" s="16"/>
      <c r="AX95" s="16"/>
      <c r="AY95" s="13" t="s">
        <v>1135</v>
      </c>
      <c r="AZ95" s="16"/>
      <c r="BA95" s="13">
        <v>60056.0</v>
      </c>
      <c r="BB95" s="13" t="s">
        <v>97</v>
      </c>
      <c r="BC95" s="13" t="s">
        <v>97</v>
      </c>
      <c r="BD95" s="13" t="s">
        <v>97</v>
      </c>
      <c r="BE95" s="13" t="s">
        <v>97</v>
      </c>
      <c r="BF95" s="13" t="s">
        <v>97</v>
      </c>
      <c r="BG95" s="13" t="s">
        <v>97</v>
      </c>
      <c r="BH95" s="13" t="s">
        <v>97</v>
      </c>
      <c r="BI95" s="16"/>
      <c r="BJ95" s="13" t="s">
        <v>151</v>
      </c>
      <c r="BK95" s="16"/>
      <c r="BL95" s="14">
        <v>45201.0</v>
      </c>
      <c r="BM95" s="14">
        <v>45456.0</v>
      </c>
      <c r="BN95" s="13" t="s">
        <v>120</v>
      </c>
      <c r="BO95" s="14">
        <v>45720.0</v>
      </c>
      <c r="BP95" s="14">
        <v>45775.0</v>
      </c>
      <c r="BQ95" s="13" t="s">
        <v>120</v>
      </c>
      <c r="BR95" s="14">
        <v>45846.0</v>
      </c>
      <c r="BS95" s="14">
        <v>45921.0</v>
      </c>
      <c r="BT95" s="13" t="s">
        <v>120</v>
      </c>
      <c r="BU95" s="13" t="s">
        <v>99</v>
      </c>
      <c r="BV95" s="13" t="s">
        <v>100</v>
      </c>
      <c r="BW95" s="21">
        <v>35.0</v>
      </c>
      <c r="BX95" s="13" t="s">
        <v>101</v>
      </c>
      <c r="BY95" s="14">
        <v>45119.0</v>
      </c>
      <c r="BZ95" s="13" t="s">
        <v>102</v>
      </c>
      <c r="CA95" s="22" t="s">
        <v>103</v>
      </c>
    </row>
    <row r="96">
      <c r="A96" s="4">
        <v>244.0</v>
      </c>
      <c r="B96" s="5" t="s">
        <v>1136</v>
      </c>
      <c r="C96" s="5" t="s">
        <v>1137</v>
      </c>
      <c r="D96" s="5">
        <v>955717.0</v>
      </c>
      <c r="E96" s="5" t="s">
        <v>81</v>
      </c>
      <c r="F96" s="6">
        <v>39735.0</v>
      </c>
      <c r="G96" s="7"/>
      <c r="H96" s="5" t="s">
        <v>106</v>
      </c>
      <c r="I96" s="5" t="s">
        <v>240</v>
      </c>
      <c r="J96" s="5" t="s">
        <v>155</v>
      </c>
      <c r="K96" s="5">
        <v>3.0</v>
      </c>
      <c r="L96" s="5" t="s">
        <v>1138</v>
      </c>
      <c r="M96" s="5" t="s">
        <v>292</v>
      </c>
      <c r="N96" s="5" t="s">
        <v>126</v>
      </c>
      <c r="O96" s="5" t="s">
        <v>1139</v>
      </c>
      <c r="P96" s="9"/>
      <c r="Q96" s="8"/>
      <c r="R96" s="5" t="s">
        <v>1140</v>
      </c>
      <c r="S96" s="5" t="s">
        <v>1141</v>
      </c>
      <c r="T96" s="5" t="s">
        <v>1142</v>
      </c>
      <c r="U96" s="5">
        <v>1.00955717E8</v>
      </c>
      <c r="V96" s="5" t="s">
        <v>1137</v>
      </c>
      <c r="W96" s="8"/>
      <c r="X96" s="5">
        <v>1.4031292131E10</v>
      </c>
      <c r="Y96" s="5">
        <v>1210391.0</v>
      </c>
      <c r="Z96" s="8"/>
      <c r="AA96" s="8"/>
      <c r="AB96" s="8"/>
      <c r="AC96" s="9"/>
      <c r="AD96" s="5" t="s">
        <v>1143</v>
      </c>
      <c r="AE96" s="7"/>
      <c r="AF96" s="6">
        <v>45176.0</v>
      </c>
      <c r="AG96" s="5">
        <v>968525.0</v>
      </c>
      <c r="AH96" s="7"/>
      <c r="AI96" s="9"/>
      <c r="AJ96" s="5" t="s">
        <v>90</v>
      </c>
      <c r="AK96" s="5" t="s">
        <v>91</v>
      </c>
      <c r="AL96" s="24">
        <v>46144.0</v>
      </c>
      <c r="AM96" s="10">
        <v>0.4583333333333333</v>
      </c>
      <c r="AN96" s="10">
        <v>0.7916666666666666</v>
      </c>
      <c r="AO96" s="8"/>
      <c r="AP96" s="8"/>
      <c r="AQ96" s="5" t="s">
        <v>913</v>
      </c>
      <c r="AR96" s="5" t="s">
        <v>1144</v>
      </c>
      <c r="AS96" s="9"/>
      <c r="AT96" s="9"/>
      <c r="AU96" s="8"/>
      <c r="AV96" s="8"/>
      <c r="AW96" s="8"/>
      <c r="AX96" s="8"/>
      <c r="AY96" s="5" t="s">
        <v>1145</v>
      </c>
      <c r="AZ96" s="8"/>
      <c r="BA96" s="5">
        <v>144691.0</v>
      </c>
      <c r="BB96" s="5" t="s">
        <v>118</v>
      </c>
      <c r="BC96" s="5" t="s">
        <v>97</v>
      </c>
      <c r="BD96" s="5" t="s">
        <v>97</v>
      </c>
      <c r="BE96" s="5" t="s">
        <v>97</v>
      </c>
      <c r="BF96" s="5" t="s">
        <v>97</v>
      </c>
      <c r="BG96" s="5" t="s">
        <v>97</v>
      </c>
      <c r="BH96" s="5" t="s">
        <v>118</v>
      </c>
      <c r="BI96" s="8"/>
      <c r="BJ96" s="5" t="s">
        <v>176</v>
      </c>
      <c r="BK96" s="8"/>
      <c r="BL96" s="6">
        <v>39881.0</v>
      </c>
      <c r="BM96" s="6">
        <v>39944.0</v>
      </c>
      <c r="BN96" s="5" t="s">
        <v>120</v>
      </c>
      <c r="BO96" s="6">
        <v>40294.0</v>
      </c>
      <c r="BP96" s="6">
        <v>40360.0</v>
      </c>
      <c r="BQ96" s="5" t="s">
        <v>120</v>
      </c>
      <c r="BR96" s="7"/>
      <c r="BS96" s="7"/>
      <c r="BT96" s="9"/>
      <c r="BU96" s="5" t="s">
        <v>120</v>
      </c>
      <c r="BV96" s="5" t="s">
        <v>121</v>
      </c>
      <c r="BW96" s="23">
        <v>37.5</v>
      </c>
      <c r="BX96" s="5" t="s">
        <v>101</v>
      </c>
      <c r="BY96" s="6">
        <v>39833.0</v>
      </c>
      <c r="BZ96" s="5" t="s">
        <v>102</v>
      </c>
      <c r="CA96" s="11" t="s">
        <v>103</v>
      </c>
    </row>
    <row r="97">
      <c r="A97" s="12">
        <v>247.0</v>
      </c>
      <c r="B97" s="13" t="s">
        <v>1146</v>
      </c>
      <c r="C97" s="13" t="s">
        <v>1147</v>
      </c>
      <c r="D97" s="13">
        <v>952567.0</v>
      </c>
      <c r="E97" s="13" t="s">
        <v>81</v>
      </c>
      <c r="F97" s="14">
        <v>43871.0</v>
      </c>
      <c r="G97" s="15"/>
      <c r="H97" s="13" t="s">
        <v>106</v>
      </c>
      <c r="I97" s="13" t="s">
        <v>624</v>
      </c>
      <c r="J97" s="13" t="s">
        <v>155</v>
      </c>
      <c r="K97" s="13">
        <v>4.0</v>
      </c>
      <c r="L97" s="13" t="s">
        <v>1148</v>
      </c>
      <c r="M97" s="13" t="s">
        <v>167</v>
      </c>
      <c r="N97" s="13" t="s">
        <v>87</v>
      </c>
      <c r="O97" s="13">
        <v>2.50617384E9</v>
      </c>
      <c r="P97" s="17"/>
      <c r="Q97" s="16"/>
      <c r="R97" s="13" t="s">
        <v>1149</v>
      </c>
      <c r="S97" s="13" t="s">
        <v>1150</v>
      </c>
      <c r="T97" s="13" t="s">
        <v>1151</v>
      </c>
      <c r="U97" s="13">
        <v>1.00952567E8</v>
      </c>
      <c r="V97" s="13" t="s">
        <v>1152</v>
      </c>
      <c r="W97" s="16"/>
      <c r="X97" s="13">
        <v>1.6041295018E10</v>
      </c>
      <c r="Y97" s="13">
        <v>1067367.0</v>
      </c>
      <c r="Z97" s="16"/>
      <c r="AA97" s="17"/>
      <c r="AB97" s="16"/>
      <c r="AC97" s="16"/>
      <c r="AD97" s="13" t="s">
        <v>1153</v>
      </c>
      <c r="AE97" s="18"/>
      <c r="AF97" s="15"/>
      <c r="AG97" s="17"/>
      <c r="AH97" s="16"/>
      <c r="AI97" s="16"/>
      <c r="AJ97" s="13" t="s">
        <v>812</v>
      </c>
      <c r="AK97" s="13" t="s">
        <v>91</v>
      </c>
      <c r="AL97" s="19">
        <v>46115.0</v>
      </c>
      <c r="AM97" s="20">
        <v>0.041666666666666664</v>
      </c>
      <c r="AN97" s="20">
        <v>0.375</v>
      </c>
      <c r="AO97" s="16"/>
      <c r="AP97" s="16"/>
      <c r="AQ97" s="13" t="s">
        <v>617</v>
      </c>
      <c r="AR97" s="13" t="s">
        <v>1154</v>
      </c>
      <c r="AS97" s="13" t="s">
        <v>1155</v>
      </c>
      <c r="AT97" s="13">
        <v>2.509811943E9</v>
      </c>
      <c r="AU97" s="13" t="s">
        <v>1156</v>
      </c>
      <c r="AV97" s="16"/>
      <c r="AW97" s="16"/>
      <c r="AX97" s="16"/>
      <c r="AY97" s="13" t="s">
        <v>1157</v>
      </c>
      <c r="AZ97" s="16"/>
      <c r="BA97" s="13" t="s">
        <v>150</v>
      </c>
      <c r="BB97" s="13" t="s">
        <v>97</v>
      </c>
      <c r="BC97" s="13" t="s">
        <v>118</v>
      </c>
      <c r="BD97" s="13" t="s">
        <v>118</v>
      </c>
      <c r="BE97" s="13" t="s">
        <v>97</v>
      </c>
      <c r="BF97" s="13" t="s">
        <v>97</v>
      </c>
      <c r="BG97" s="13" t="s">
        <v>97</v>
      </c>
      <c r="BH97" s="13" t="s">
        <v>118</v>
      </c>
      <c r="BI97" s="16"/>
      <c r="BJ97" s="13" t="s">
        <v>151</v>
      </c>
      <c r="BK97" s="16"/>
      <c r="BL97" s="14">
        <v>44472.0</v>
      </c>
      <c r="BM97" s="14">
        <v>44472.0</v>
      </c>
      <c r="BN97" s="13" t="s">
        <v>99</v>
      </c>
      <c r="BO97" s="14">
        <v>45720.0</v>
      </c>
      <c r="BP97" s="14">
        <v>45771.0</v>
      </c>
      <c r="BQ97" s="13" t="s">
        <v>120</v>
      </c>
      <c r="BR97" s="14">
        <v>45881.0</v>
      </c>
      <c r="BS97" s="14">
        <v>45947.0</v>
      </c>
      <c r="BT97" s="13" t="s">
        <v>120</v>
      </c>
      <c r="BU97" s="13" t="s">
        <v>99</v>
      </c>
      <c r="BV97" s="13" t="s">
        <v>121</v>
      </c>
      <c r="BW97" s="21">
        <v>30.0</v>
      </c>
      <c r="BX97" s="13" t="s">
        <v>101</v>
      </c>
      <c r="BY97" s="14">
        <v>44472.0</v>
      </c>
      <c r="BZ97" s="13" t="s">
        <v>102</v>
      </c>
      <c r="CA97" s="22" t="s">
        <v>103</v>
      </c>
    </row>
    <row r="98">
      <c r="A98" s="4">
        <v>250.0</v>
      </c>
      <c r="B98" s="5" t="s">
        <v>1158</v>
      </c>
      <c r="C98" s="5" t="s">
        <v>1159</v>
      </c>
      <c r="D98" s="5">
        <v>937529.0</v>
      </c>
      <c r="E98" s="5" t="s">
        <v>81</v>
      </c>
      <c r="F98" s="6">
        <v>43276.0</v>
      </c>
      <c r="G98" s="8"/>
      <c r="H98" s="5" t="s">
        <v>106</v>
      </c>
      <c r="I98" s="5" t="s">
        <v>624</v>
      </c>
      <c r="J98" s="5" t="s">
        <v>155</v>
      </c>
      <c r="K98" s="5">
        <v>4.0</v>
      </c>
      <c r="L98" s="5" t="s">
        <v>1160</v>
      </c>
      <c r="M98" s="5" t="s">
        <v>125</v>
      </c>
      <c r="N98" s="5" t="s">
        <v>126</v>
      </c>
      <c r="O98" s="5">
        <v>2.506175836E9</v>
      </c>
      <c r="P98" s="5">
        <v>2.505629232E9</v>
      </c>
      <c r="Q98" s="8"/>
      <c r="R98" s="5" t="s">
        <v>1161</v>
      </c>
      <c r="S98" s="5" t="s">
        <v>1162</v>
      </c>
      <c r="T98" s="5" t="s">
        <v>1163</v>
      </c>
      <c r="U98" s="5">
        <v>1.00937529E8</v>
      </c>
      <c r="V98" s="5" t="s">
        <v>1164</v>
      </c>
      <c r="W98" s="8"/>
      <c r="X98" s="5">
        <v>1.6041295019E10</v>
      </c>
      <c r="Y98" s="5">
        <v>1067368.0</v>
      </c>
      <c r="Z98" s="9"/>
      <c r="AA98" s="9"/>
      <c r="AB98" s="8"/>
      <c r="AC98" s="9"/>
      <c r="AD98" s="5" t="s">
        <v>1165</v>
      </c>
      <c r="AE98" s="18"/>
      <c r="AF98" s="6">
        <v>44971.0</v>
      </c>
      <c r="AG98" s="5">
        <v>35981.0</v>
      </c>
      <c r="AH98" s="8"/>
      <c r="AI98" s="8"/>
      <c r="AJ98" s="5" t="s">
        <v>90</v>
      </c>
      <c r="AK98" s="5" t="s">
        <v>91</v>
      </c>
      <c r="AL98" s="24">
        <v>46115.0</v>
      </c>
      <c r="AM98" s="10">
        <v>0.5833333333333334</v>
      </c>
      <c r="AN98" s="10">
        <v>0.9583333333333334</v>
      </c>
      <c r="AO98" s="8"/>
      <c r="AP98" s="8"/>
      <c r="AQ98" s="5" t="s">
        <v>1166</v>
      </c>
      <c r="AR98" s="5" t="s">
        <v>1167</v>
      </c>
      <c r="AS98" s="9"/>
      <c r="AT98" s="9"/>
      <c r="AU98" s="9"/>
      <c r="AV98" s="8"/>
      <c r="AW98" s="8"/>
      <c r="AX98" s="8"/>
      <c r="AY98" s="5" t="s">
        <v>1168</v>
      </c>
      <c r="AZ98" s="8"/>
      <c r="BA98" s="5" t="s">
        <v>150</v>
      </c>
      <c r="BB98" s="5" t="s">
        <v>118</v>
      </c>
      <c r="BC98" s="5" t="s">
        <v>97</v>
      </c>
      <c r="BD98" s="5" t="s">
        <v>97</v>
      </c>
      <c r="BE98" s="5" t="s">
        <v>118</v>
      </c>
      <c r="BF98" s="5" t="s">
        <v>118</v>
      </c>
      <c r="BG98" s="5" t="s">
        <v>97</v>
      </c>
      <c r="BH98" s="5" t="s">
        <v>97</v>
      </c>
      <c r="BI98" s="8"/>
      <c r="BJ98" s="5" t="s">
        <v>176</v>
      </c>
      <c r="BK98" s="8"/>
      <c r="BL98" s="6">
        <v>44472.0</v>
      </c>
      <c r="BM98" s="6">
        <v>44472.0</v>
      </c>
      <c r="BN98" s="5" t="s">
        <v>120</v>
      </c>
      <c r="BO98" s="6">
        <v>44986.0</v>
      </c>
      <c r="BP98" s="6">
        <v>45243.0</v>
      </c>
      <c r="BQ98" s="5" t="s">
        <v>120</v>
      </c>
      <c r="BR98" s="6">
        <v>44986.0</v>
      </c>
      <c r="BS98" s="6">
        <v>45271.0</v>
      </c>
      <c r="BT98" s="5" t="s">
        <v>120</v>
      </c>
      <c r="BU98" s="5" t="s">
        <v>99</v>
      </c>
      <c r="BV98" s="5" t="s">
        <v>121</v>
      </c>
      <c r="BW98" s="23">
        <v>34.0</v>
      </c>
      <c r="BX98" s="5" t="s">
        <v>101</v>
      </c>
      <c r="BY98" s="6">
        <v>44472.0</v>
      </c>
      <c r="BZ98" s="5" t="s">
        <v>102</v>
      </c>
      <c r="CA98" s="11" t="s">
        <v>103</v>
      </c>
    </row>
    <row r="99">
      <c r="A99" s="12">
        <v>392.0</v>
      </c>
      <c r="B99" s="13" t="s">
        <v>1169</v>
      </c>
      <c r="C99" s="13" t="s">
        <v>1170</v>
      </c>
      <c r="D99" s="13">
        <v>996383.0</v>
      </c>
      <c r="E99" s="13" t="s">
        <v>81</v>
      </c>
      <c r="F99" s="14">
        <v>44942.0</v>
      </c>
      <c r="G99" s="16"/>
      <c r="H99" s="13" t="s">
        <v>82</v>
      </c>
      <c r="I99" s="13" t="s">
        <v>107</v>
      </c>
      <c r="J99" s="13" t="s">
        <v>84</v>
      </c>
      <c r="K99" s="13">
        <v>2.0</v>
      </c>
      <c r="L99" s="13" t="s">
        <v>1171</v>
      </c>
      <c r="M99" s="13" t="s">
        <v>181</v>
      </c>
      <c r="N99" s="13" t="s">
        <v>87</v>
      </c>
      <c r="O99" s="13">
        <v>5.142922997E9</v>
      </c>
      <c r="P99" s="16"/>
      <c r="Q99" s="16"/>
      <c r="R99" s="13" t="s">
        <v>1172</v>
      </c>
      <c r="S99" s="13" t="s">
        <v>1173</v>
      </c>
      <c r="T99" s="13" t="s">
        <v>1174</v>
      </c>
      <c r="U99" s="13">
        <v>1.00996383E8</v>
      </c>
      <c r="V99" s="13" t="s">
        <v>1170</v>
      </c>
      <c r="W99" s="16"/>
      <c r="X99" s="13">
        <v>1.5141294046E10</v>
      </c>
      <c r="Y99" s="13">
        <v>1060017.0</v>
      </c>
      <c r="Z99" s="16"/>
      <c r="AA99" s="16"/>
      <c r="AB99" s="16"/>
      <c r="AC99" s="16"/>
      <c r="AD99" s="17"/>
      <c r="AE99" s="17"/>
      <c r="AF99" s="15"/>
      <c r="AG99" s="17"/>
      <c r="AH99" s="16"/>
      <c r="AI99" s="16"/>
      <c r="AJ99" s="13" t="s">
        <v>90</v>
      </c>
      <c r="AK99" s="13" t="s">
        <v>91</v>
      </c>
      <c r="AL99" s="19">
        <v>46115.0</v>
      </c>
      <c r="AM99" s="20">
        <v>0.7291666666666666</v>
      </c>
      <c r="AN99" s="20">
        <v>0.08333333333333333</v>
      </c>
      <c r="AO99" s="16"/>
      <c r="AP99" s="16"/>
      <c r="AQ99" s="13" t="s">
        <v>1175</v>
      </c>
      <c r="AR99" s="13" t="s">
        <v>1176</v>
      </c>
      <c r="AS99" s="17"/>
      <c r="AT99" s="17"/>
      <c r="AU99" s="17"/>
      <c r="AV99" s="17"/>
      <c r="AW99" s="17"/>
      <c r="AX99" s="17"/>
      <c r="AY99" s="13" t="s">
        <v>1177</v>
      </c>
      <c r="AZ99" s="16"/>
      <c r="BA99" s="13">
        <v>56217.0</v>
      </c>
      <c r="BB99" s="13" t="s">
        <v>118</v>
      </c>
      <c r="BC99" s="13" t="s">
        <v>118</v>
      </c>
      <c r="BD99" s="13" t="s">
        <v>97</v>
      </c>
      <c r="BE99" s="13" t="s">
        <v>97</v>
      </c>
      <c r="BF99" s="13" t="s">
        <v>97</v>
      </c>
      <c r="BG99" s="13" t="s">
        <v>118</v>
      </c>
      <c r="BH99" s="13" t="s">
        <v>97</v>
      </c>
      <c r="BI99" s="17"/>
      <c r="BJ99" s="13" t="s">
        <v>176</v>
      </c>
      <c r="BK99" s="16"/>
      <c r="BL99" s="14">
        <v>45072.0</v>
      </c>
      <c r="BM99" s="15"/>
      <c r="BN99" s="17"/>
      <c r="BO99" s="15"/>
      <c r="BP99" s="15"/>
      <c r="BQ99" s="17"/>
      <c r="BR99" s="15"/>
      <c r="BS99" s="15"/>
      <c r="BT99" s="17"/>
      <c r="BU99" s="13" t="s">
        <v>99</v>
      </c>
      <c r="BV99" s="13" t="s">
        <v>121</v>
      </c>
      <c r="BW99" s="21">
        <v>34.0</v>
      </c>
      <c r="BX99" s="13" t="s">
        <v>101</v>
      </c>
      <c r="BY99" s="14">
        <v>45036.0</v>
      </c>
      <c r="BZ99" s="13" t="s">
        <v>102</v>
      </c>
      <c r="CA99" s="22" t="s">
        <v>103</v>
      </c>
    </row>
    <row r="100">
      <c r="A100" s="4">
        <v>253.0</v>
      </c>
      <c r="B100" s="5" t="s">
        <v>1178</v>
      </c>
      <c r="C100" s="5" t="s">
        <v>1179</v>
      </c>
      <c r="D100" s="5">
        <v>937531.0</v>
      </c>
      <c r="E100" s="5" t="s">
        <v>81</v>
      </c>
      <c r="F100" s="6">
        <v>40085.0</v>
      </c>
      <c r="G100" s="7"/>
      <c r="H100" s="5" t="s">
        <v>106</v>
      </c>
      <c r="I100" s="5" t="s">
        <v>624</v>
      </c>
      <c r="J100" s="5" t="s">
        <v>155</v>
      </c>
      <c r="K100" s="5">
        <v>4.0</v>
      </c>
      <c r="L100" s="5" t="s">
        <v>1180</v>
      </c>
      <c r="M100" s="5" t="s">
        <v>250</v>
      </c>
      <c r="N100" s="5" t="s">
        <v>87</v>
      </c>
      <c r="O100" s="5">
        <v>2.506128453E9</v>
      </c>
      <c r="P100" s="8"/>
      <c r="Q100" s="8"/>
      <c r="R100" s="5" t="s">
        <v>1181</v>
      </c>
      <c r="S100" s="5" t="s">
        <v>1182</v>
      </c>
      <c r="T100" s="5" t="s">
        <v>1183</v>
      </c>
      <c r="U100" s="5">
        <v>1.00937531E8</v>
      </c>
      <c r="V100" s="5" t="s">
        <v>1184</v>
      </c>
      <c r="W100" s="8"/>
      <c r="X100" s="5">
        <v>1.604129502E10</v>
      </c>
      <c r="Y100" s="5">
        <v>1067369.0</v>
      </c>
      <c r="Z100" s="9"/>
      <c r="AA100" s="9"/>
      <c r="AB100" s="8"/>
      <c r="AC100" s="9"/>
      <c r="AD100" s="5" t="s">
        <v>1185</v>
      </c>
      <c r="AE100" s="18"/>
      <c r="AF100" s="18"/>
      <c r="AG100" s="18"/>
      <c r="AH100" s="8"/>
      <c r="AI100" s="8"/>
      <c r="AJ100" s="5" t="s">
        <v>90</v>
      </c>
      <c r="AK100" s="5" t="s">
        <v>91</v>
      </c>
      <c r="AL100" s="5" t="s">
        <v>92</v>
      </c>
      <c r="AM100" s="10">
        <v>0.0</v>
      </c>
      <c r="AN100" s="10">
        <v>0.4375</v>
      </c>
      <c r="AO100" s="8"/>
      <c r="AP100" s="8"/>
      <c r="AQ100" s="5" t="s">
        <v>1186</v>
      </c>
      <c r="AR100" s="5" t="s">
        <v>1187</v>
      </c>
      <c r="AS100" s="5" t="s">
        <v>1188</v>
      </c>
      <c r="AT100" s="5">
        <v>2.505655469E9</v>
      </c>
      <c r="AU100" s="5" t="s">
        <v>1189</v>
      </c>
      <c r="AV100" s="8"/>
      <c r="AW100" s="8"/>
      <c r="AX100" s="8"/>
      <c r="AY100" s="5" t="s">
        <v>1190</v>
      </c>
      <c r="AZ100" s="8"/>
      <c r="BA100" s="5" t="s">
        <v>150</v>
      </c>
      <c r="BB100" s="5" t="s">
        <v>97</v>
      </c>
      <c r="BC100" s="5" t="s">
        <v>97</v>
      </c>
      <c r="BD100" s="5" t="s">
        <v>97</v>
      </c>
      <c r="BE100" s="5" t="s">
        <v>97</v>
      </c>
      <c r="BF100" s="5" t="s">
        <v>97</v>
      </c>
      <c r="BG100" s="5" t="s">
        <v>97</v>
      </c>
      <c r="BH100" s="5" t="s">
        <v>97</v>
      </c>
      <c r="BI100" s="9"/>
      <c r="BJ100" s="5" t="s">
        <v>151</v>
      </c>
      <c r="BK100" s="8"/>
      <c r="BL100" s="6">
        <v>44472.0</v>
      </c>
      <c r="BM100" s="6">
        <v>44472.0</v>
      </c>
      <c r="BN100" s="5" t="s">
        <v>120</v>
      </c>
      <c r="BO100" s="6">
        <v>44472.0</v>
      </c>
      <c r="BP100" s="6">
        <v>44472.0</v>
      </c>
      <c r="BQ100" s="5" t="s">
        <v>120</v>
      </c>
      <c r="BR100" s="6">
        <v>44472.0</v>
      </c>
      <c r="BS100" s="6">
        <v>44472.0</v>
      </c>
      <c r="BT100" s="5" t="s">
        <v>120</v>
      </c>
      <c r="BU100" s="5" t="s">
        <v>99</v>
      </c>
      <c r="BV100" s="5" t="s">
        <v>121</v>
      </c>
      <c r="BW100" s="23">
        <v>70.0</v>
      </c>
      <c r="BX100" s="5" t="s">
        <v>101</v>
      </c>
      <c r="BY100" s="6">
        <v>44472.0</v>
      </c>
      <c r="BZ100" s="5" t="s">
        <v>102</v>
      </c>
      <c r="CA100" s="11" t="s">
        <v>103</v>
      </c>
    </row>
    <row r="101">
      <c r="A101" s="12">
        <v>625.0</v>
      </c>
      <c r="B101" s="13" t="s">
        <v>1191</v>
      </c>
      <c r="C101" s="13" t="s">
        <v>1192</v>
      </c>
      <c r="D101" s="13">
        <v>6001490.0</v>
      </c>
      <c r="E101" s="13" t="s">
        <v>81</v>
      </c>
      <c r="F101" s="14">
        <v>46119.0</v>
      </c>
      <c r="G101" s="15"/>
      <c r="H101" s="13" t="s">
        <v>239</v>
      </c>
      <c r="I101" s="13" t="s">
        <v>107</v>
      </c>
      <c r="J101" s="13" t="s">
        <v>84</v>
      </c>
      <c r="K101" s="13">
        <v>1.0</v>
      </c>
      <c r="L101" s="13" t="s">
        <v>1193</v>
      </c>
      <c r="M101" s="13" t="s">
        <v>125</v>
      </c>
      <c r="N101" s="13" t="s">
        <v>126</v>
      </c>
      <c r="O101" s="13">
        <v>5.145865264E9</v>
      </c>
      <c r="P101" s="16"/>
      <c r="Q101" s="16"/>
      <c r="R101" s="17"/>
      <c r="S101" s="13" t="s">
        <v>1194</v>
      </c>
      <c r="T101" s="13" t="s">
        <v>1195</v>
      </c>
      <c r="U101" s="13">
        <v>1.0600149E8</v>
      </c>
      <c r="V101" s="17"/>
      <c r="W101" s="16"/>
      <c r="X101" s="13">
        <v>1.5141294007E10</v>
      </c>
      <c r="Y101" s="13">
        <v>1060014.0</v>
      </c>
      <c r="Z101" s="17"/>
      <c r="AA101" s="17"/>
      <c r="AB101" s="16"/>
      <c r="AC101" s="17"/>
      <c r="AD101" s="17"/>
      <c r="AE101" s="17"/>
      <c r="AF101" s="15"/>
      <c r="AG101" s="17"/>
      <c r="AH101" s="16"/>
      <c r="AI101" s="16"/>
      <c r="AJ101" s="13" t="s">
        <v>90</v>
      </c>
      <c r="AK101" s="13" t="s">
        <v>244</v>
      </c>
      <c r="AL101" s="17"/>
      <c r="AM101" s="26"/>
      <c r="AN101" s="26"/>
      <c r="AO101" s="16"/>
      <c r="AP101" s="16"/>
      <c r="AQ101" s="13" t="s">
        <v>1196</v>
      </c>
      <c r="AR101" s="13" t="s">
        <v>1197</v>
      </c>
      <c r="AS101" s="17"/>
      <c r="AT101" s="17"/>
      <c r="AU101" s="17"/>
      <c r="AV101" s="16"/>
      <c r="AW101" s="16"/>
      <c r="AX101" s="16"/>
      <c r="AY101" s="13" t="s">
        <v>1198</v>
      </c>
      <c r="AZ101" s="16"/>
      <c r="BA101" s="13">
        <v>463484.0</v>
      </c>
      <c r="BB101" s="13" t="s">
        <v>118</v>
      </c>
      <c r="BC101" s="13" t="s">
        <v>118</v>
      </c>
      <c r="BD101" s="13" t="s">
        <v>118</v>
      </c>
      <c r="BE101" s="13" t="s">
        <v>118</v>
      </c>
      <c r="BF101" s="13" t="s">
        <v>118</v>
      </c>
      <c r="BG101" s="17"/>
      <c r="BH101" s="17"/>
      <c r="BI101" s="16"/>
      <c r="BJ101" s="17"/>
      <c r="BK101" s="16"/>
      <c r="BL101" s="15"/>
      <c r="BM101" s="15"/>
      <c r="BN101" s="17"/>
      <c r="BO101" s="15"/>
      <c r="BP101" s="15"/>
      <c r="BQ101" s="17"/>
      <c r="BR101" s="15"/>
      <c r="BS101" s="15"/>
      <c r="BT101" s="17"/>
      <c r="BU101" s="13" t="s">
        <v>99</v>
      </c>
      <c r="BV101" s="13" t="s">
        <v>308</v>
      </c>
      <c r="BW101" s="21">
        <v>35.0</v>
      </c>
      <c r="BX101" s="13" t="s">
        <v>101</v>
      </c>
      <c r="BY101" s="15"/>
      <c r="BZ101" s="13" t="s">
        <v>102</v>
      </c>
      <c r="CA101" s="22" t="s">
        <v>103</v>
      </c>
    </row>
    <row r="102">
      <c r="A102" s="4">
        <v>265.0</v>
      </c>
      <c r="B102" s="5" t="s">
        <v>1199</v>
      </c>
      <c r="C102" s="5" t="s">
        <v>1200</v>
      </c>
      <c r="D102" s="5">
        <v>956395.0</v>
      </c>
      <c r="E102" s="5" t="s">
        <v>81</v>
      </c>
      <c r="F102" s="6">
        <v>43654.0</v>
      </c>
      <c r="G102" s="7"/>
      <c r="H102" s="5" t="s">
        <v>106</v>
      </c>
      <c r="I102" s="5" t="s">
        <v>107</v>
      </c>
      <c r="J102" s="5" t="s">
        <v>84</v>
      </c>
      <c r="K102" s="5">
        <v>4.0</v>
      </c>
      <c r="L102" s="5" t="s">
        <v>1201</v>
      </c>
      <c r="M102" s="5" t="s">
        <v>250</v>
      </c>
      <c r="N102" s="5" t="s">
        <v>87</v>
      </c>
      <c r="O102" s="5">
        <v>4.502689694E9</v>
      </c>
      <c r="P102" s="9"/>
      <c r="Q102" s="8"/>
      <c r="R102" s="5" t="s">
        <v>1202</v>
      </c>
      <c r="S102" s="5" t="s">
        <v>1203</v>
      </c>
      <c r="T102" s="5" t="s">
        <v>1204</v>
      </c>
      <c r="U102" s="5">
        <v>1.00956395E8</v>
      </c>
      <c r="V102" s="5" t="s">
        <v>1205</v>
      </c>
      <c r="W102" s="8"/>
      <c r="X102" s="5">
        <v>1.5141294155E10</v>
      </c>
      <c r="Y102" s="5">
        <v>1067177.0</v>
      </c>
      <c r="Z102" s="8"/>
      <c r="AA102" s="8"/>
      <c r="AB102" s="8"/>
      <c r="AC102" s="9"/>
      <c r="AD102" s="5" t="s">
        <v>456</v>
      </c>
      <c r="AE102" s="9"/>
      <c r="AF102" s="6">
        <v>43861.0</v>
      </c>
      <c r="AG102" s="5">
        <v>29692.0</v>
      </c>
      <c r="AH102" s="8"/>
      <c r="AI102" s="8"/>
      <c r="AJ102" s="5" t="s">
        <v>90</v>
      </c>
      <c r="AK102" s="5" t="s">
        <v>91</v>
      </c>
      <c r="AL102" s="24">
        <v>46144.0</v>
      </c>
      <c r="AM102" s="10">
        <v>0.3541666666666667</v>
      </c>
      <c r="AN102" s="10">
        <v>0.6458333333333334</v>
      </c>
      <c r="AO102" s="8"/>
      <c r="AP102" s="8"/>
      <c r="AQ102" s="5" t="s">
        <v>1206</v>
      </c>
      <c r="AR102" s="5" t="s">
        <v>1207</v>
      </c>
      <c r="AS102" s="9"/>
      <c r="AT102" s="9"/>
      <c r="AU102" s="8"/>
      <c r="AV102" s="8"/>
      <c r="AW102" s="8"/>
      <c r="AX102" s="8"/>
      <c r="AY102" s="5" t="s">
        <v>1208</v>
      </c>
      <c r="AZ102" s="8"/>
      <c r="BA102" s="5">
        <v>66120.0</v>
      </c>
      <c r="BB102" s="5" t="s">
        <v>118</v>
      </c>
      <c r="BC102" s="5" t="s">
        <v>97</v>
      </c>
      <c r="BD102" s="5" t="s">
        <v>97</v>
      </c>
      <c r="BE102" s="5" t="s">
        <v>97</v>
      </c>
      <c r="BF102" s="5" t="s">
        <v>97</v>
      </c>
      <c r="BG102" s="5" t="s">
        <v>97</v>
      </c>
      <c r="BH102" s="5" t="s">
        <v>118</v>
      </c>
      <c r="BI102" s="9"/>
      <c r="BJ102" s="5" t="s">
        <v>98</v>
      </c>
      <c r="BK102" s="8"/>
      <c r="BL102" s="7"/>
      <c r="BM102" s="7"/>
      <c r="BN102" s="5" t="s">
        <v>120</v>
      </c>
      <c r="BO102" s="6">
        <v>44980.0</v>
      </c>
      <c r="BP102" s="6">
        <v>45071.0</v>
      </c>
      <c r="BQ102" s="5" t="s">
        <v>120</v>
      </c>
      <c r="BR102" s="6">
        <v>45104.0</v>
      </c>
      <c r="BS102" s="6">
        <v>45686.0</v>
      </c>
      <c r="BT102" s="9"/>
      <c r="BU102" s="5" t="s">
        <v>99</v>
      </c>
      <c r="BV102" s="5" t="s">
        <v>100</v>
      </c>
      <c r="BW102" s="23">
        <v>27.5</v>
      </c>
      <c r="BX102" s="5" t="s">
        <v>101</v>
      </c>
      <c r="BY102" s="7"/>
      <c r="BZ102" s="5" t="s">
        <v>102</v>
      </c>
      <c r="CA102" s="11" t="s">
        <v>103</v>
      </c>
    </row>
    <row r="103">
      <c r="A103" s="12">
        <v>267.0</v>
      </c>
      <c r="B103" s="13" t="s">
        <v>1209</v>
      </c>
      <c r="C103" s="13" t="s">
        <v>1210</v>
      </c>
      <c r="D103" s="13">
        <v>980929.0</v>
      </c>
      <c r="E103" s="13" t="s">
        <v>81</v>
      </c>
      <c r="F103" s="14">
        <v>44578.0</v>
      </c>
      <c r="G103" s="16"/>
      <c r="H103" s="13" t="s">
        <v>106</v>
      </c>
      <c r="I103" s="13" t="s">
        <v>624</v>
      </c>
      <c r="J103" s="13" t="s">
        <v>155</v>
      </c>
      <c r="K103" s="13">
        <v>4.0</v>
      </c>
      <c r="L103" s="13" t="s">
        <v>1211</v>
      </c>
      <c r="M103" s="13" t="s">
        <v>125</v>
      </c>
      <c r="N103" s="13" t="s">
        <v>126</v>
      </c>
      <c r="O103" s="13">
        <v>7.789830434E9</v>
      </c>
      <c r="P103" s="17"/>
      <c r="Q103" s="16"/>
      <c r="R103" s="13" t="s">
        <v>1212</v>
      </c>
      <c r="S103" s="13" t="s">
        <v>1213</v>
      </c>
      <c r="T103" s="13" t="s">
        <v>1214</v>
      </c>
      <c r="U103" s="13">
        <v>1.00980929E8</v>
      </c>
      <c r="V103" s="13" t="s">
        <v>1215</v>
      </c>
      <c r="W103" s="16"/>
      <c r="X103" s="13">
        <v>1.6041295009E10</v>
      </c>
      <c r="Y103" s="13">
        <v>1067382.0</v>
      </c>
      <c r="Z103" s="16"/>
      <c r="AA103" s="16"/>
      <c r="AB103" s="16"/>
      <c r="AC103" s="17"/>
      <c r="AD103" s="13" t="s">
        <v>1216</v>
      </c>
      <c r="AE103" s="18"/>
      <c r="AF103" s="15"/>
      <c r="AG103" s="17"/>
      <c r="AH103" s="16"/>
      <c r="AI103" s="16"/>
      <c r="AJ103" s="13" t="s">
        <v>90</v>
      </c>
      <c r="AK103" s="13" t="s">
        <v>91</v>
      </c>
      <c r="AL103" s="13" t="s">
        <v>407</v>
      </c>
      <c r="AM103" s="20">
        <v>0.75</v>
      </c>
      <c r="AN103" s="20">
        <v>0.125</v>
      </c>
      <c r="AO103" s="16"/>
      <c r="AP103" s="16"/>
      <c r="AQ103" s="13" t="s">
        <v>1217</v>
      </c>
      <c r="AR103" s="13" t="s">
        <v>1218</v>
      </c>
      <c r="AS103" s="17"/>
      <c r="AT103" s="17"/>
      <c r="AU103" s="17"/>
      <c r="AV103" s="16"/>
      <c r="AW103" s="16"/>
      <c r="AX103" s="16"/>
      <c r="AY103" s="13" t="s">
        <v>1219</v>
      </c>
      <c r="AZ103" s="16"/>
      <c r="BA103" s="13" t="s">
        <v>150</v>
      </c>
      <c r="BB103" s="13" t="s">
        <v>118</v>
      </c>
      <c r="BC103" s="13" t="s">
        <v>118</v>
      </c>
      <c r="BD103" s="13" t="s">
        <v>118</v>
      </c>
      <c r="BE103" s="13" t="s">
        <v>118</v>
      </c>
      <c r="BF103" s="13" t="s">
        <v>118</v>
      </c>
      <c r="BG103" s="13" t="s">
        <v>97</v>
      </c>
      <c r="BH103" s="13" t="s">
        <v>97</v>
      </c>
      <c r="BI103" s="16"/>
      <c r="BJ103" s="13" t="s">
        <v>151</v>
      </c>
      <c r="BK103" s="16"/>
      <c r="BL103" s="14">
        <v>44676.0</v>
      </c>
      <c r="BM103" s="14">
        <v>44734.0</v>
      </c>
      <c r="BN103" s="13" t="s">
        <v>120</v>
      </c>
      <c r="BO103" s="14">
        <v>44979.0</v>
      </c>
      <c r="BP103" s="14">
        <v>45383.0</v>
      </c>
      <c r="BQ103" s="13" t="s">
        <v>120</v>
      </c>
      <c r="BR103" s="14">
        <v>44980.0</v>
      </c>
      <c r="BS103" s="14">
        <v>45271.0</v>
      </c>
      <c r="BT103" s="13" t="s">
        <v>120</v>
      </c>
      <c r="BU103" s="13" t="s">
        <v>99</v>
      </c>
      <c r="BV103" s="13" t="s">
        <v>121</v>
      </c>
      <c r="BW103" s="21">
        <v>34.0</v>
      </c>
      <c r="BX103" s="13" t="s">
        <v>101</v>
      </c>
      <c r="BY103" s="14">
        <v>44594.0</v>
      </c>
      <c r="BZ103" s="13" t="s">
        <v>102</v>
      </c>
      <c r="CA103" s="22" t="s">
        <v>103</v>
      </c>
    </row>
    <row r="104">
      <c r="A104" s="4">
        <v>269.0</v>
      </c>
      <c r="B104" s="5" t="s">
        <v>1220</v>
      </c>
      <c r="C104" s="5" t="s">
        <v>1221</v>
      </c>
      <c r="D104" s="5">
        <v>956377.0</v>
      </c>
      <c r="E104" s="5" t="s">
        <v>81</v>
      </c>
      <c r="F104" s="6">
        <v>40042.0</v>
      </c>
      <c r="G104" s="7"/>
      <c r="H104" s="5" t="s">
        <v>106</v>
      </c>
      <c r="I104" s="5" t="s">
        <v>107</v>
      </c>
      <c r="J104" s="5" t="s">
        <v>140</v>
      </c>
      <c r="K104" s="5">
        <v>3.0</v>
      </c>
      <c r="L104" s="5" t="s">
        <v>1222</v>
      </c>
      <c r="M104" s="5" t="s">
        <v>86</v>
      </c>
      <c r="N104" s="5" t="s">
        <v>87</v>
      </c>
      <c r="O104" s="5" t="s">
        <v>1223</v>
      </c>
      <c r="P104" s="9"/>
      <c r="Q104" s="8"/>
      <c r="R104" s="5" t="s">
        <v>1224</v>
      </c>
      <c r="S104" s="5" t="s">
        <v>1225</v>
      </c>
      <c r="T104" s="5" t="s">
        <v>1226</v>
      </c>
      <c r="U104" s="5">
        <v>1.00956377E8</v>
      </c>
      <c r="V104" s="5" t="s">
        <v>1227</v>
      </c>
      <c r="W104" s="8"/>
      <c r="X104" s="5">
        <v>1.5141294138E10</v>
      </c>
      <c r="Y104" s="5">
        <v>1066132.0</v>
      </c>
      <c r="Z104" s="9"/>
      <c r="AA104" s="8"/>
      <c r="AB104" s="8"/>
      <c r="AC104" s="8"/>
      <c r="AD104" s="5" t="s">
        <v>1228</v>
      </c>
      <c r="AE104" s="7"/>
      <c r="AF104" s="6">
        <v>41752.0</v>
      </c>
      <c r="AG104" s="5">
        <v>15416.0</v>
      </c>
      <c r="AH104" s="8"/>
      <c r="AI104" s="8"/>
      <c r="AJ104" s="5" t="s">
        <v>90</v>
      </c>
      <c r="AK104" s="5" t="s">
        <v>91</v>
      </c>
      <c r="AL104" s="5" t="s">
        <v>92</v>
      </c>
      <c r="AM104" s="10">
        <v>0.20833333333333334</v>
      </c>
      <c r="AN104" s="10">
        <v>0.625</v>
      </c>
      <c r="AO104" s="8"/>
      <c r="AP104" s="8"/>
      <c r="AQ104" s="5" t="s">
        <v>1229</v>
      </c>
      <c r="AR104" s="5" t="s">
        <v>1230</v>
      </c>
      <c r="AS104" s="9"/>
      <c r="AT104" s="9"/>
      <c r="AU104" s="9"/>
      <c r="AV104" s="8"/>
      <c r="AW104" s="8"/>
      <c r="AX104" s="8"/>
      <c r="AY104" s="5" t="s">
        <v>1231</v>
      </c>
      <c r="AZ104" s="8"/>
      <c r="BA104" s="5">
        <v>67172.0</v>
      </c>
      <c r="BB104" s="5" t="s">
        <v>97</v>
      </c>
      <c r="BC104" s="5" t="s">
        <v>97</v>
      </c>
      <c r="BD104" s="5" t="s">
        <v>97</v>
      </c>
      <c r="BE104" s="5" t="s">
        <v>97</v>
      </c>
      <c r="BF104" s="5" t="s">
        <v>97</v>
      </c>
      <c r="BG104" s="5" t="s">
        <v>97</v>
      </c>
      <c r="BH104" s="5" t="s">
        <v>97</v>
      </c>
      <c r="BI104" s="8"/>
      <c r="BJ104" s="5" t="s">
        <v>98</v>
      </c>
      <c r="BK104" s="8"/>
      <c r="BL104" s="7"/>
      <c r="BM104" s="7"/>
      <c r="BN104" s="5" t="s">
        <v>120</v>
      </c>
      <c r="BO104" s="6">
        <v>46077.0</v>
      </c>
      <c r="BP104" s="6">
        <v>46128.0</v>
      </c>
      <c r="BQ104" s="5" t="s">
        <v>120</v>
      </c>
      <c r="BR104" s="7"/>
      <c r="BS104" s="7"/>
      <c r="BT104" s="9"/>
      <c r="BU104" s="5" t="s">
        <v>99</v>
      </c>
      <c r="BV104" s="5" t="s">
        <v>121</v>
      </c>
      <c r="BW104" s="23">
        <v>35.0</v>
      </c>
      <c r="BX104" s="5" t="s">
        <v>101</v>
      </c>
      <c r="BY104" s="7"/>
      <c r="BZ104" s="5" t="s">
        <v>102</v>
      </c>
      <c r="CA104" s="11" t="s">
        <v>103</v>
      </c>
    </row>
    <row r="105">
      <c r="A105" s="12">
        <v>270.0</v>
      </c>
      <c r="B105" s="13" t="s">
        <v>1232</v>
      </c>
      <c r="C105" s="13" t="s">
        <v>1233</v>
      </c>
      <c r="D105" s="13">
        <v>956350.0</v>
      </c>
      <c r="E105" s="13" t="s">
        <v>193</v>
      </c>
      <c r="F105" s="14">
        <v>39000.0</v>
      </c>
      <c r="G105" s="16"/>
      <c r="H105" s="13" t="s">
        <v>82</v>
      </c>
      <c r="I105" s="13" t="s">
        <v>240</v>
      </c>
      <c r="J105" s="13" t="s">
        <v>155</v>
      </c>
      <c r="K105" s="13">
        <v>2.0</v>
      </c>
      <c r="L105" s="13" t="s">
        <v>1234</v>
      </c>
      <c r="M105" s="13" t="s">
        <v>292</v>
      </c>
      <c r="N105" s="13" t="s">
        <v>126</v>
      </c>
      <c r="O105" s="13" t="s">
        <v>1235</v>
      </c>
      <c r="P105" s="13" t="s">
        <v>1236</v>
      </c>
      <c r="Q105" s="16"/>
      <c r="R105" s="13" t="s">
        <v>1237</v>
      </c>
      <c r="S105" s="13" t="s">
        <v>1238</v>
      </c>
      <c r="T105" s="13" t="s">
        <v>1239</v>
      </c>
      <c r="U105" s="13">
        <v>1.0095635E8</v>
      </c>
      <c r="V105" s="13" t="s">
        <v>1240</v>
      </c>
      <c r="W105" s="16"/>
      <c r="X105" s="13">
        <v>1.403129201E10</v>
      </c>
      <c r="Y105" s="13">
        <v>1210366.0</v>
      </c>
      <c r="Z105" s="16"/>
      <c r="AA105" s="17"/>
      <c r="AB105" s="16"/>
      <c r="AC105" s="17"/>
      <c r="AD105" s="17"/>
      <c r="AE105" s="17"/>
      <c r="AF105" s="14">
        <v>45211.0</v>
      </c>
      <c r="AG105" s="13">
        <v>968679.0</v>
      </c>
      <c r="AH105" s="16"/>
      <c r="AI105" s="16"/>
      <c r="AJ105" s="13" t="s">
        <v>90</v>
      </c>
      <c r="AK105" s="13" t="s">
        <v>91</v>
      </c>
      <c r="AL105" s="19">
        <v>46144.0</v>
      </c>
      <c r="AM105" s="20">
        <v>0.2916666666666667</v>
      </c>
      <c r="AN105" s="20">
        <v>0.625</v>
      </c>
      <c r="AO105" s="16"/>
      <c r="AP105" s="16"/>
      <c r="AQ105" s="13" t="s">
        <v>1241</v>
      </c>
      <c r="AR105" s="13" t="s">
        <v>1242</v>
      </c>
      <c r="AS105" s="17"/>
      <c r="AT105" s="17"/>
      <c r="AU105" s="17"/>
      <c r="AV105" s="16"/>
      <c r="AW105" s="16"/>
      <c r="AX105" s="16"/>
      <c r="AY105" s="13" t="s">
        <v>1243</v>
      </c>
      <c r="AZ105" s="16"/>
      <c r="BA105" s="13">
        <v>141141.0</v>
      </c>
      <c r="BB105" s="13" t="s">
        <v>118</v>
      </c>
      <c r="BC105" s="13" t="s">
        <v>97</v>
      </c>
      <c r="BD105" s="13" t="s">
        <v>97</v>
      </c>
      <c r="BE105" s="13" t="s">
        <v>97</v>
      </c>
      <c r="BF105" s="13" t="s">
        <v>97</v>
      </c>
      <c r="BG105" s="13" t="s">
        <v>97</v>
      </c>
      <c r="BH105" s="13" t="s">
        <v>118</v>
      </c>
      <c r="BI105" s="16"/>
      <c r="BJ105" s="13" t="s">
        <v>98</v>
      </c>
      <c r="BK105" s="16"/>
      <c r="BL105" s="14">
        <v>39125.0</v>
      </c>
      <c r="BM105" s="14">
        <v>39204.0</v>
      </c>
      <c r="BN105" s="13" t="s">
        <v>120</v>
      </c>
      <c r="BO105" s="15"/>
      <c r="BP105" s="15"/>
      <c r="BQ105" s="17"/>
      <c r="BR105" s="15"/>
      <c r="BS105" s="15"/>
      <c r="BT105" s="17"/>
      <c r="BU105" s="13" t="s">
        <v>120</v>
      </c>
      <c r="BV105" s="13" t="s">
        <v>121</v>
      </c>
      <c r="BW105" s="21">
        <v>37.5</v>
      </c>
      <c r="BX105" s="13" t="s">
        <v>101</v>
      </c>
      <c r="BY105" s="14">
        <v>39105.0</v>
      </c>
      <c r="BZ105" s="13" t="s">
        <v>102</v>
      </c>
      <c r="CA105" s="22" t="s">
        <v>103</v>
      </c>
    </row>
    <row r="106">
      <c r="A106" s="4">
        <v>638.0</v>
      </c>
      <c r="B106" s="5" t="s">
        <v>1244</v>
      </c>
      <c r="C106" s="5" t="s">
        <v>1245</v>
      </c>
      <c r="D106" s="5">
        <v>6001671.0</v>
      </c>
      <c r="E106" s="5" t="s">
        <v>81</v>
      </c>
      <c r="F106" s="6">
        <v>46146.0</v>
      </c>
      <c r="G106" s="8"/>
      <c r="H106" s="5" t="s">
        <v>239</v>
      </c>
      <c r="I106" s="5" t="s">
        <v>107</v>
      </c>
      <c r="J106" s="5" t="s">
        <v>84</v>
      </c>
      <c r="K106" s="5" t="s">
        <v>241</v>
      </c>
      <c r="L106" s="5" t="s">
        <v>1246</v>
      </c>
      <c r="M106" s="5" t="s">
        <v>167</v>
      </c>
      <c r="N106" s="5" t="s">
        <v>87</v>
      </c>
      <c r="O106" s="5">
        <v>3.439967155E9</v>
      </c>
      <c r="P106" s="8"/>
      <c r="Q106" s="8"/>
      <c r="R106" s="9"/>
      <c r="S106" s="9"/>
      <c r="T106" s="5" t="s">
        <v>1247</v>
      </c>
      <c r="U106" s="9"/>
      <c r="V106" s="9"/>
      <c r="W106" s="8"/>
      <c r="X106" s="5">
        <v>1.5141294062E10</v>
      </c>
      <c r="Y106" s="5">
        <v>1060076.0</v>
      </c>
      <c r="Z106" s="8"/>
      <c r="AA106" s="8"/>
      <c r="AB106" s="8"/>
      <c r="AC106" s="9"/>
      <c r="AD106" s="9"/>
      <c r="AE106" s="8"/>
      <c r="AF106" s="7"/>
      <c r="AG106" s="9"/>
      <c r="AH106" s="8"/>
      <c r="AI106" s="8"/>
      <c r="AJ106" s="5" t="s">
        <v>90</v>
      </c>
      <c r="AK106" s="5" t="s">
        <v>244</v>
      </c>
      <c r="AL106" s="28"/>
      <c r="AM106" s="27"/>
      <c r="AN106" s="27"/>
      <c r="AO106" s="8"/>
      <c r="AP106" s="8"/>
      <c r="AQ106" s="5" t="s">
        <v>1248</v>
      </c>
      <c r="AR106" s="5" t="s">
        <v>1249</v>
      </c>
      <c r="AS106" s="8"/>
      <c r="AT106" s="8"/>
      <c r="AU106" s="8"/>
      <c r="AV106" s="8"/>
      <c r="AW106" s="8"/>
      <c r="AX106" s="8"/>
      <c r="AY106" s="5" t="s">
        <v>1244</v>
      </c>
      <c r="AZ106" s="8"/>
      <c r="BA106" s="5" t="s">
        <v>96</v>
      </c>
      <c r="BB106" s="5" t="s">
        <v>118</v>
      </c>
      <c r="BC106" s="5" t="s">
        <v>118</v>
      </c>
      <c r="BD106" s="5" t="s">
        <v>118</v>
      </c>
      <c r="BE106" s="5" t="s">
        <v>118</v>
      </c>
      <c r="BF106" s="5" t="s">
        <v>118</v>
      </c>
      <c r="BG106" s="9"/>
      <c r="BH106" s="9"/>
      <c r="BI106" s="8"/>
      <c r="BJ106" s="9"/>
      <c r="BK106" s="8"/>
      <c r="BL106" s="7"/>
      <c r="BM106" s="7"/>
      <c r="BN106" s="9"/>
      <c r="BO106" s="7"/>
      <c r="BP106" s="8"/>
      <c r="BQ106" s="8"/>
      <c r="BR106" s="7"/>
      <c r="BS106" s="8"/>
      <c r="BT106" s="8"/>
      <c r="BU106" s="5" t="s">
        <v>99</v>
      </c>
      <c r="BV106" s="5" t="s">
        <v>308</v>
      </c>
      <c r="BW106" s="23">
        <v>35.0</v>
      </c>
      <c r="BX106" s="5" t="s">
        <v>101</v>
      </c>
      <c r="BY106" s="8"/>
      <c r="BZ106" s="5" t="s">
        <v>102</v>
      </c>
      <c r="CA106" s="11" t="s">
        <v>103</v>
      </c>
    </row>
    <row r="107">
      <c r="A107" s="12">
        <v>646.0</v>
      </c>
      <c r="B107" s="13" t="s">
        <v>1250</v>
      </c>
      <c r="C107" s="13" t="s">
        <v>1251</v>
      </c>
      <c r="D107" s="13">
        <v>6001716.0</v>
      </c>
      <c r="E107" s="13" t="s">
        <v>81</v>
      </c>
      <c r="F107" s="14">
        <v>46146.0</v>
      </c>
      <c r="G107" s="16"/>
      <c r="H107" s="13" t="s">
        <v>239</v>
      </c>
      <c r="I107" s="13" t="s">
        <v>240</v>
      </c>
      <c r="J107" s="13" t="s">
        <v>155</v>
      </c>
      <c r="K107" s="13" t="s">
        <v>241</v>
      </c>
      <c r="L107" s="13" t="s">
        <v>1252</v>
      </c>
      <c r="M107" s="13" t="s">
        <v>167</v>
      </c>
      <c r="N107" s="13" t="s">
        <v>87</v>
      </c>
      <c r="O107" s="13">
        <v>5.877177575E9</v>
      </c>
      <c r="P107" s="16"/>
      <c r="Q107" s="16"/>
      <c r="R107" s="17"/>
      <c r="S107" s="17"/>
      <c r="T107" s="13" t="s">
        <v>1253</v>
      </c>
      <c r="U107" s="17"/>
      <c r="V107" s="17"/>
      <c r="W107" s="16"/>
      <c r="X107" s="17"/>
      <c r="Y107" s="17"/>
      <c r="Z107" s="16"/>
      <c r="AA107" s="16"/>
      <c r="AB107" s="16"/>
      <c r="AC107" s="16"/>
      <c r="AD107" s="17"/>
      <c r="AE107" s="16"/>
      <c r="AF107" s="15"/>
      <c r="AG107" s="17"/>
      <c r="AH107" s="16"/>
      <c r="AI107" s="16"/>
      <c r="AJ107" s="13" t="s">
        <v>90</v>
      </c>
      <c r="AK107" s="13" t="s">
        <v>244</v>
      </c>
      <c r="AL107" s="25"/>
      <c r="AM107" s="26"/>
      <c r="AN107" s="26"/>
      <c r="AO107" s="16"/>
      <c r="AP107" s="16"/>
      <c r="AQ107" s="13" t="s">
        <v>1254</v>
      </c>
      <c r="AR107" s="13" t="s">
        <v>1255</v>
      </c>
      <c r="AS107" s="16"/>
      <c r="AT107" s="16"/>
      <c r="AU107" s="16"/>
      <c r="AV107" s="16"/>
      <c r="AW107" s="16"/>
      <c r="AX107" s="16"/>
      <c r="AY107" s="13" t="s">
        <v>1250</v>
      </c>
      <c r="AZ107" s="16"/>
      <c r="BA107" s="13" t="s">
        <v>96</v>
      </c>
      <c r="BB107" s="13" t="s">
        <v>118</v>
      </c>
      <c r="BC107" s="13" t="s">
        <v>118</v>
      </c>
      <c r="BD107" s="13" t="s">
        <v>118</v>
      </c>
      <c r="BE107" s="13" t="s">
        <v>118</v>
      </c>
      <c r="BF107" s="13" t="s">
        <v>118</v>
      </c>
      <c r="BG107" s="17"/>
      <c r="BH107" s="17"/>
      <c r="BI107" s="17"/>
      <c r="BJ107" s="17"/>
      <c r="BK107" s="16"/>
      <c r="BL107" s="15"/>
      <c r="BM107" s="15"/>
      <c r="BN107" s="17"/>
      <c r="BO107" s="15"/>
      <c r="BP107" s="15"/>
      <c r="BQ107" s="17"/>
      <c r="BR107" s="15"/>
      <c r="BS107" s="15"/>
      <c r="BT107" s="17"/>
      <c r="BU107" s="13" t="s">
        <v>120</v>
      </c>
      <c r="BV107" s="13" t="s">
        <v>121</v>
      </c>
      <c r="BW107" s="21">
        <v>35.0</v>
      </c>
      <c r="BX107" s="13" t="s">
        <v>101</v>
      </c>
      <c r="BY107" s="15"/>
      <c r="BZ107" s="13" t="s">
        <v>102</v>
      </c>
      <c r="CA107" s="22" t="s">
        <v>103</v>
      </c>
    </row>
    <row r="108">
      <c r="A108" s="4">
        <v>277.0</v>
      </c>
      <c r="B108" s="5" t="s">
        <v>1256</v>
      </c>
      <c r="C108" s="5" t="s">
        <v>1257</v>
      </c>
      <c r="D108" s="5">
        <v>955826.0</v>
      </c>
      <c r="E108" s="5" t="s">
        <v>81</v>
      </c>
      <c r="F108" s="6">
        <v>39209.0</v>
      </c>
      <c r="G108" s="8"/>
      <c r="H108" s="5" t="s">
        <v>106</v>
      </c>
      <c r="I108" s="5" t="s">
        <v>107</v>
      </c>
      <c r="J108" s="5" t="s">
        <v>84</v>
      </c>
      <c r="K108" s="5">
        <v>4.0</v>
      </c>
      <c r="L108" s="5" t="s">
        <v>1258</v>
      </c>
      <c r="M108" s="5" t="s">
        <v>250</v>
      </c>
      <c r="N108" s="5" t="s">
        <v>87</v>
      </c>
      <c r="O108" s="5" t="s">
        <v>1259</v>
      </c>
      <c r="P108" s="8"/>
      <c r="Q108" s="8"/>
      <c r="R108" s="5" t="s">
        <v>1260</v>
      </c>
      <c r="S108" s="5" t="s">
        <v>1261</v>
      </c>
      <c r="T108" s="5" t="s">
        <v>1262</v>
      </c>
      <c r="U108" s="5">
        <v>1.00955826E8</v>
      </c>
      <c r="V108" s="5" t="s">
        <v>1263</v>
      </c>
      <c r="W108" s="8"/>
      <c r="X108" s="5">
        <v>1.5141294096E10</v>
      </c>
      <c r="Y108" s="5">
        <v>1066111.0</v>
      </c>
      <c r="Z108" s="5" t="s">
        <v>1264</v>
      </c>
      <c r="AA108" s="5" t="s">
        <v>12</v>
      </c>
      <c r="AB108" s="8"/>
      <c r="AC108" s="5" t="s">
        <v>1265</v>
      </c>
      <c r="AD108" s="5" t="s">
        <v>1266</v>
      </c>
      <c r="AE108" s="18"/>
      <c r="AF108" s="6">
        <v>39950.0</v>
      </c>
      <c r="AG108" s="5">
        <v>4304.0</v>
      </c>
      <c r="AH108" s="8"/>
      <c r="AI108" s="8"/>
      <c r="AJ108" s="5" t="s">
        <v>90</v>
      </c>
      <c r="AK108" s="5" t="s">
        <v>91</v>
      </c>
      <c r="AL108" s="24">
        <v>46115.0</v>
      </c>
      <c r="AM108" s="10">
        <v>0.4375</v>
      </c>
      <c r="AN108" s="10">
        <v>0.7916666666666666</v>
      </c>
      <c r="AO108" s="8"/>
      <c r="AP108" s="8"/>
      <c r="AQ108" s="5" t="s">
        <v>1267</v>
      </c>
      <c r="AR108" s="5" t="s">
        <v>1268</v>
      </c>
      <c r="AS108" s="9"/>
      <c r="AT108" s="9"/>
      <c r="AU108" s="8"/>
      <c r="AV108" s="8"/>
      <c r="AW108" s="8"/>
      <c r="AX108" s="8"/>
      <c r="AY108" s="5" t="s">
        <v>1269</v>
      </c>
      <c r="AZ108" s="8"/>
      <c r="BA108" s="5">
        <v>66111.0</v>
      </c>
      <c r="BB108" s="5" t="s">
        <v>118</v>
      </c>
      <c r="BC108" s="5" t="s">
        <v>118</v>
      </c>
      <c r="BD108" s="5" t="s">
        <v>97</v>
      </c>
      <c r="BE108" s="5" t="s">
        <v>97</v>
      </c>
      <c r="BF108" s="5" t="s">
        <v>118</v>
      </c>
      <c r="BG108" s="5" t="s">
        <v>97</v>
      </c>
      <c r="BH108" s="5" t="s">
        <v>97</v>
      </c>
      <c r="BI108" s="8"/>
      <c r="BJ108" s="5" t="s">
        <v>176</v>
      </c>
      <c r="BK108" s="8"/>
      <c r="BL108" s="7"/>
      <c r="BM108" s="7"/>
      <c r="BN108" s="5" t="s">
        <v>120</v>
      </c>
      <c r="BO108" s="7"/>
      <c r="BP108" s="7"/>
      <c r="BQ108" s="5" t="s">
        <v>120</v>
      </c>
      <c r="BR108" s="7"/>
      <c r="BS108" s="8"/>
      <c r="BT108" s="5" t="s">
        <v>120</v>
      </c>
      <c r="BU108" s="5" t="s">
        <v>99</v>
      </c>
      <c r="BV108" s="5" t="s">
        <v>100</v>
      </c>
      <c r="BW108" s="23">
        <v>34.0</v>
      </c>
      <c r="BX108" s="5" t="s">
        <v>101</v>
      </c>
      <c r="BY108" s="7"/>
      <c r="BZ108" s="5" t="s">
        <v>102</v>
      </c>
      <c r="CA108" s="11" t="s">
        <v>103</v>
      </c>
    </row>
    <row r="109">
      <c r="A109" s="12">
        <v>407.0</v>
      </c>
      <c r="B109" s="13" t="s">
        <v>1270</v>
      </c>
      <c r="C109" s="13" t="s">
        <v>1271</v>
      </c>
      <c r="D109" s="13">
        <v>996777.0</v>
      </c>
      <c r="E109" s="13" t="s">
        <v>81</v>
      </c>
      <c r="F109" s="14">
        <v>44970.0</v>
      </c>
      <c r="G109" s="16"/>
      <c r="H109" s="13" t="s">
        <v>82</v>
      </c>
      <c r="I109" s="13" t="s">
        <v>139</v>
      </c>
      <c r="J109" s="13" t="s">
        <v>194</v>
      </c>
      <c r="K109" s="13">
        <v>2.0</v>
      </c>
      <c r="L109" s="13" t="s">
        <v>1272</v>
      </c>
      <c r="M109" s="13" t="s">
        <v>292</v>
      </c>
      <c r="N109" s="13" t="s">
        <v>126</v>
      </c>
      <c r="O109" s="13">
        <v>5.147615322E9</v>
      </c>
      <c r="P109" s="16"/>
      <c r="Q109" s="16"/>
      <c r="R109" s="13" t="s">
        <v>1273</v>
      </c>
      <c r="S109" s="13" t="s">
        <v>1274</v>
      </c>
      <c r="T109" s="13" t="s">
        <v>1275</v>
      </c>
      <c r="U109" s="13">
        <v>1.00996777E8</v>
      </c>
      <c r="V109" s="13" t="s">
        <v>1271</v>
      </c>
      <c r="W109" s="16"/>
      <c r="X109" s="13">
        <v>1.5141294017E10</v>
      </c>
      <c r="Y109" s="13">
        <v>1060020.0</v>
      </c>
      <c r="Z109" s="16"/>
      <c r="AA109" s="16"/>
      <c r="AB109" s="16"/>
      <c r="AC109" s="16"/>
      <c r="AD109" s="13" t="s">
        <v>329</v>
      </c>
      <c r="AE109" s="16"/>
      <c r="AF109" s="14">
        <v>45346.0</v>
      </c>
      <c r="AG109" s="13">
        <v>969403.0</v>
      </c>
      <c r="AH109" s="16"/>
      <c r="AI109" s="16"/>
      <c r="AJ109" s="13" t="s">
        <v>90</v>
      </c>
      <c r="AK109" s="13" t="s">
        <v>91</v>
      </c>
      <c r="AL109" s="19">
        <v>46115.0</v>
      </c>
      <c r="AM109" s="20">
        <v>0.16666666666666666</v>
      </c>
      <c r="AN109" s="20">
        <v>0.5208333333333334</v>
      </c>
      <c r="AO109" s="16"/>
      <c r="AP109" s="16"/>
      <c r="AQ109" s="13" t="s">
        <v>1276</v>
      </c>
      <c r="AR109" s="13" t="s">
        <v>1277</v>
      </c>
      <c r="AS109" s="16"/>
      <c r="AT109" s="16"/>
      <c r="AU109" s="16"/>
      <c r="AV109" s="16"/>
      <c r="AW109" s="16"/>
      <c r="AX109" s="16"/>
      <c r="AY109" s="13" t="s">
        <v>1278</v>
      </c>
      <c r="AZ109" s="16"/>
      <c r="BA109" s="13" t="s">
        <v>96</v>
      </c>
      <c r="BB109" s="13" t="s">
        <v>118</v>
      </c>
      <c r="BC109" s="13" t="s">
        <v>118</v>
      </c>
      <c r="BD109" s="13" t="s">
        <v>97</v>
      </c>
      <c r="BE109" s="13" t="s">
        <v>97</v>
      </c>
      <c r="BF109" s="13" t="s">
        <v>118</v>
      </c>
      <c r="BG109" s="13" t="s">
        <v>97</v>
      </c>
      <c r="BH109" s="13" t="s">
        <v>97</v>
      </c>
      <c r="BI109" s="16"/>
      <c r="BJ109" s="13" t="s">
        <v>98</v>
      </c>
      <c r="BK109" s="16"/>
      <c r="BL109" s="14">
        <v>45112.0</v>
      </c>
      <c r="BM109" s="14">
        <v>45335.0</v>
      </c>
      <c r="BN109" s="16"/>
      <c r="BO109" s="16"/>
      <c r="BP109" s="16"/>
      <c r="BQ109" s="16"/>
      <c r="BR109" s="16"/>
      <c r="BS109" s="16"/>
      <c r="BT109" s="16"/>
      <c r="BU109" s="13" t="s">
        <v>99</v>
      </c>
      <c r="BV109" s="13" t="s">
        <v>121</v>
      </c>
      <c r="BW109" s="21">
        <v>34.0</v>
      </c>
      <c r="BX109" s="13" t="s">
        <v>101</v>
      </c>
      <c r="BY109" s="16"/>
      <c r="BZ109" s="13" t="s">
        <v>102</v>
      </c>
      <c r="CA109" s="22" t="s">
        <v>103</v>
      </c>
    </row>
    <row r="110">
      <c r="A110" s="4">
        <v>283.0</v>
      </c>
      <c r="B110" s="5" t="s">
        <v>1279</v>
      </c>
      <c r="C110" s="5" t="s">
        <v>1280</v>
      </c>
      <c r="D110" s="5">
        <v>955842.0</v>
      </c>
      <c r="E110" s="5" t="s">
        <v>81</v>
      </c>
      <c r="F110" s="6">
        <v>37144.0</v>
      </c>
      <c r="G110" s="8"/>
      <c r="H110" s="5" t="s">
        <v>82</v>
      </c>
      <c r="I110" s="5" t="s">
        <v>107</v>
      </c>
      <c r="J110" s="5" t="s">
        <v>84</v>
      </c>
      <c r="K110" s="5">
        <v>2.0</v>
      </c>
      <c r="L110" s="5" t="s">
        <v>1281</v>
      </c>
      <c r="M110" s="5" t="s">
        <v>250</v>
      </c>
      <c r="N110" s="5" t="s">
        <v>87</v>
      </c>
      <c r="O110" s="5" t="s">
        <v>1282</v>
      </c>
      <c r="P110" s="8"/>
      <c r="Q110" s="8"/>
      <c r="R110" s="5" t="s">
        <v>1283</v>
      </c>
      <c r="S110" s="5" t="s">
        <v>1284</v>
      </c>
      <c r="T110" s="5" t="s">
        <v>1285</v>
      </c>
      <c r="U110" s="5">
        <v>1.00955842E8</v>
      </c>
      <c r="V110" s="5" t="s">
        <v>1286</v>
      </c>
      <c r="W110" s="8"/>
      <c r="X110" s="5">
        <v>1.5141294079E10</v>
      </c>
      <c r="Y110" s="5">
        <v>1066075.0</v>
      </c>
      <c r="Z110" s="8"/>
      <c r="AA110" s="8"/>
      <c r="AB110" s="8"/>
      <c r="AC110" s="8"/>
      <c r="AD110" s="8"/>
      <c r="AE110" s="8"/>
      <c r="AF110" s="6">
        <v>39916.0</v>
      </c>
      <c r="AG110" s="5">
        <v>4256.0</v>
      </c>
      <c r="AH110" s="8"/>
      <c r="AI110" s="8"/>
      <c r="AJ110" s="5" t="s">
        <v>406</v>
      </c>
      <c r="AK110" s="5" t="s">
        <v>91</v>
      </c>
      <c r="AL110" s="5" t="s">
        <v>407</v>
      </c>
      <c r="AM110" s="10">
        <v>0.25</v>
      </c>
      <c r="AN110" s="10">
        <v>0.5625</v>
      </c>
      <c r="AO110" s="8"/>
      <c r="AP110" s="8"/>
      <c r="AQ110" s="5" t="s">
        <v>1287</v>
      </c>
      <c r="AR110" s="5" t="s">
        <v>1288</v>
      </c>
      <c r="AS110" s="9"/>
      <c r="AT110" s="9"/>
      <c r="AU110" s="8"/>
      <c r="AV110" s="8"/>
      <c r="AW110" s="8"/>
      <c r="AX110" s="8"/>
      <c r="AY110" s="5" t="s">
        <v>1289</v>
      </c>
      <c r="AZ110" s="8"/>
      <c r="BA110" s="5">
        <v>62266.0</v>
      </c>
      <c r="BB110" s="5" t="s">
        <v>118</v>
      </c>
      <c r="BC110" s="5" t="s">
        <v>118</v>
      </c>
      <c r="BD110" s="5" t="s">
        <v>118</v>
      </c>
      <c r="BE110" s="5" t="s">
        <v>118</v>
      </c>
      <c r="BF110" s="5" t="s">
        <v>118</v>
      </c>
      <c r="BG110" s="5" t="s">
        <v>97</v>
      </c>
      <c r="BH110" s="5" t="s">
        <v>97</v>
      </c>
      <c r="BI110" s="8"/>
      <c r="BJ110" s="5" t="s">
        <v>98</v>
      </c>
      <c r="BK110" s="8"/>
      <c r="BL110" s="7"/>
      <c r="BM110" s="7"/>
      <c r="BN110" s="5" t="s">
        <v>120</v>
      </c>
      <c r="BO110" s="8"/>
      <c r="BP110" s="8"/>
      <c r="BQ110" s="8"/>
      <c r="BR110" s="8"/>
      <c r="BS110" s="8"/>
      <c r="BT110" s="8"/>
      <c r="BU110" s="5" t="s">
        <v>99</v>
      </c>
      <c r="BV110" s="5" t="s">
        <v>100</v>
      </c>
      <c r="BW110" s="23">
        <v>15.0</v>
      </c>
      <c r="BX110" s="5" t="s">
        <v>411</v>
      </c>
      <c r="BY110" s="7"/>
      <c r="BZ110" s="5" t="s">
        <v>102</v>
      </c>
      <c r="CA110" s="11" t="s">
        <v>103</v>
      </c>
    </row>
    <row r="111">
      <c r="A111" s="12">
        <v>633.0</v>
      </c>
      <c r="B111" s="13" t="s">
        <v>1290</v>
      </c>
      <c r="C111" s="13" t="s">
        <v>1291</v>
      </c>
      <c r="D111" s="13">
        <v>6001433.0</v>
      </c>
      <c r="E111" s="13" t="s">
        <v>81</v>
      </c>
      <c r="F111" s="14">
        <v>46119.0</v>
      </c>
      <c r="G111" s="16"/>
      <c r="H111" s="13" t="s">
        <v>239</v>
      </c>
      <c r="I111" s="13" t="s">
        <v>107</v>
      </c>
      <c r="J111" s="13" t="s">
        <v>84</v>
      </c>
      <c r="K111" s="13">
        <v>1.0</v>
      </c>
      <c r="L111" s="13" t="s">
        <v>1292</v>
      </c>
      <c r="M111" s="13" t="s">
        <v>250</v>
      </c>
      <c r="N111" s="13" t="s">
        <v>87</v>
      </c>
      <c r="O111" s="13">
        <v>4.389394049E9</v>
      </c>
      <c r="P111" s="16"/>
      <c r="Q111" s="16"/>
      <c r="R111" s="17"/>
      <c r="S111" s="13" t="s">
        <v>1293</v>
      </c>
      <c r="T111" s="13" t="s">
        <v>1294</v>
      </c>
      <c r="U111" s="13">
        <v>1.06001433E8</v>
      </c>
      <c r="V111" s="17"/>
      <c r="W111" s="16"/>
      <c r="X111" s="13">
        <v>1.5141294054E10</v>
      </c>
      <c r="Y111" s="13">
        <v>1060031.0</v>
      </c>
      <c r="Z111" s="16"/>
      <c r="AA111" s="16"/>
      <c r="AB111" s="16"/>
      <c r="AC111" s="16"/>
      <c r="AD111" s="17"/>
      <c r="AE111" s="16"/>
      <c r="AF111" s="15"/>
      <c r="AG111" s="17"/>
      <c r="AH111" s="16"/>
      <c r="AI111" s="16"/>
      <c r="AJ111" s="13" t="s">
        <v>90</v>
      </c>
      <c r="AK111" s="13" t="s">
        <v>244</v>
      </c>
      <c r="AL111" s="25"/>
      <c r="AM111" s="26"/>
      <c r="AN111" s="26"/>
      <c r="AO111" s="16"/>
      <c r="AP111" s="16"/>
      <c r="AQ111" s="13" t="s">
        <v>1295</v>
      </c>
      <c r="AR111" s="13" t="s">
        <v>1296</v>
      </c>
      <c r="AS111" s="16"/>
      <c r="AT111" s="16"/>
      <c r="AU111" s="16"/>
      <c r="AV111" s="16"/>
      <c r="AW111" s="16"/>
      <c r="AX111" s="16"/>
      <c r="AY111" s="13" t="s">
        <v>1297</v>
      </c>
      <c r="AZ111" s="16"/>
      <c r="BA111" s="13">
        <v>994507.0</v>
      </c>
      <c r="BB111" s="13" t="s">
        <v>118</v>
      </c>
      <c r="BC111" s="13" t="s">
        <v>118</v>
      </c>
      <c r="BD111" s="13" t="s">
        <v>118</v>
      </c>
      <c r="BE111" s="13" t="s">
        <v>118</v>
      </c>
      <c r="BF111" s="13" t="s">
        <v>118</v>
      </c>
      <c r="BG111" s="17"/>
      <c r="BH111" s="17"/>
      <c r="BI111" s="16"/>
      <c r="BJ111" s="17"/>
      <c r="BK111" s="16"/>
      <c r="BL111" s="15"/>
      <c r="BM111" s="15"/>
      <c r="BN111" s="17"/>
      <c r="BO111" s="15"/>
      <c r="BP111" s="15"/>
      <c r="BQ111" s="17"/>
      <c r="BR111" s="15"/>
      <c r="BS111" s="15"/>
      <c r="BT111" s="17"/>
      <c r="BU111" s="13" t="s">
        <v>99</v>
      </c>
      <c r="BV111" s="13" t="s">
        <v>308</v>
      </c>
      <c r="BW111" s="21">
        <v>35.0</v>
      </c>
      <c r="BX111" s="13" t="s">
        <v>101</v>
      </c>
      <c r="BY111" s="15"/>
      <c r="BZ111" s="13" t="s">
        <v>102</v>
      </c>
      <c r="CA111" s="22" t="s">
        <v>103</v>
      </c>
    </row>
    <row r="112">
      <c r="A112" s="4">
        <v>285.0</v>
      </c>
      <c r="B112" s="5" t="s">
        <v>1298</v>
      </c>
      <c r="C112" s="5" t="s">
        <v>1299</v>
      </c>
      <c r="D112" s="5">
        <v>956176.0</v>
      </c>
      <c r="E112" s="5" t="s">
        <v>81</v>
      </c>
      <c r="F112" s="6">
        <v>43198.0</v>
      </c>
      <c r="G112" s="6">
        <v>43066.0</v>
      </c>
      <c r="H112" s="5" t="s">
        <v>82</v>
      </c>
      <c r="I112" s="5" t="s">
        <v>107</v>
      </c>
      <c r="J112" s="5" t="s">
        <v>84</v>
      </c>
      <c r="K112" s="5">
        <v>2.0</v>
      </c>
      <c r="L112" s="5" t="s">
        <v>1300</v>
      </c>
      <c r="M112" s="5" t="s">
        <v>167</v>
      </c>
      <c r="N112" s="5" t="s">
        <v>87</v>
      </c>
      <c r="O112" s="5" t="s">
        <v>1301</v>
      </c>
      <c r="P112" s="8"/>
      <c r="Q112" s="8"/>
      <c r="R112" s="5" t="s">
        <v>1302</v>
      </c>
      <c r="S112" s="5" t="s">
        <v>1303</v>
      </c>
      <c r="T112" s="5" t="s">
        <v>1304</v>
      </c>
      <c r="U112" s="5">
        <v>1.00956176E8</v>
      </c>
      <c r="V112" s="5" t="s">
        <v>1299</v>
      </c>
      <c r="W112" s="8"/>
      <c r="X112" s="5">
        <v>1.5141294175E10</v>
      </c>
      <c r="Y112" s="5">
        <v>1066783.0</v>
      </c>
      <c r="Z112" s="8"/>
      <c r="AA112" s="8"/>
      <c r="AB112" s="8"/>
      <c r="AC112" s="8"/>
      <c r="AD112" s="5" t="s">
        <v>329</v>
      </c>
      <c r="AE112" s="8"/>
      <c r="AF112" s="6">
        <v>43239.0</v>
      </c>
      <c r="AG112" s="5">
        <v>25790.0</v>
      </c>
      <c r="AH112" s="8"/>
      <c r="AI112" s="8"/>
      <c r="AJ112" s="5" t="s">
        <v>90</v>
      </c>
      <c r="AK112" s="5" t="s">
        <v>91</v>
      </c>
      <c r="AL112" s="5" t="s">
        <v>188</v>
      </c>
      <c r="AM112" s="10">
        <v>0.5416666666666666</v>
      </c>
      <c r="AN112" s="10">
        <v>0.9791666666666666</v>
      </c>
      <c r="AO112" s="8"/>
      <c r="AP112" s="8"/>
      <c r="AQ112" s="5" t="s">
        <v>1305</v>
      </c>
      <c r="AR112" s="5" t="s">
        <v>1306</v>
      </c>
      <c r="AS112" s="5" t="s">
        <v>1307</v>
      </c>
      <c r="AT112" s="5" t="s">
        <v>1308</v>
      </c>
      <c r="AU112" s="9"/>
      <c r="AV112" s="8"/>
      <c r="AW112" s="8"/>
      <c r="AX112" s="8"/>
      <c r="AY112" s="5" t="s">
        <v>1309</v>
      </c>
      <c r="AZ112" s="8"/>
      <c r="BA112" s="5">
        <v>60037.0</v>
      </c>
      <c r="BB112" s="5" t="s">
        <v>97</v>
      </c>
      <c r="BC112" s="5" t="s">
        <v>97</v>
      </c>
      <c r="BD112" s="5" t="s">
        <v>97</v>
      </c>
      <c r="BE112" s="5" t="s">
        <v>97</v>
      </c>
      <c r="BF112" s="5" t="s">
        <v>97</v>
      </c>
      <c r="BG112" s="5" t="s">
        <v>97</v>
      </c>
      <c r="BH112" s="5" t="s">
        <v>97</v>
      </c>
      <c r="BI112" s="8"/>
      <c r="BJ112" s="5" t="s">
        <v>176</v>
      </c>
      <c r="BK112" s="8"/>
      <c r="BL112" s="6">
        <v>43239.0</v>
      </c>
      <c r="BM112" s="6">
        <v>43239.0</v>
      </c>
      <c r="BN112" s="5" t="s">
        <v>120</v>
      </c>
      <c r="BO112" s="8"/>
      <c r="BP112" s="8"/>
      <c r="BQ112" s="8"/>
      <c r="BR112" s="8"/>
      <c r="BS112" s="8"/>
      <c r="BT112" s="8"/>
      <c r="BU112" s="5" t="s">
        <v>99</v>
      </c>
      <c r="BV112" s="5" t="s">
        <v>121</v>
      </c>
      <c r="BW112" s="23">
        <v>35.0</v>
      </c>
      <c r="BX112" s="5" t="s">
        <v>101</v>
      </c>
      <c r="BY112" s="6">
        <v>43239.0</v>
      </c>
      <c r="BZ112" s="5" t="s">
        <v>102</v>
      </c>
      <c r="CA112" s="11" t="s">
        <v>103</v>
      </c>
    </row>
    <row r="113">
      <c r="A113" s="12">
        <v>286.0</v>
      </c>
      <c r="B113" s="13" t="s">
        <v>1310</v>
      </c>
      <c r="C113" s="13" t="s">
        <v>1311</v>
      </c>
      <c r="D113" s="13">
        <v>973167.0</v>
      </c>
      <c r="E113" s="13" t="s">
        <v>81</v>
      </c>
      <c r="F113" s="14">
        <v>36076.0</v>
      </c>
      <c r="G113" s="15"/>
      <c r="H113" s="13" t="s">
        <v>106</v>
      </c>
      <c r="I113" s="13" t="s">
        <v>179</v>
      </c>
      <c r="J113" s="13" t="s">
        <v>155</v>
      </c>
      <c r="K113" s="13">
        <v>4.0</v>
      </c>
      <c r="L113" s="13" t="s">
        <v>1312</v>
      </c>
      <c r="M113" s="13" t="s">
        <v>196</v>
      </c>
      <c r="N113" s="13" t="s">
        <v>126</v>
      </c>
      <c r="O113" s="13">
        <v>2.502135226E9</v>
      </c>
      <c r="P113" s="13">
        <v>2.50208004E9</v>
      </c>
      <c r="Q113" s="16"/>
      <c r="R113" s="13" t="s">
        <v>1313</v>
      </c>
      <c r="S113" s="13" t="s">
        <v>1314</v>
      </c>
      <c r="T113" s="13" t="s">
        <v>1315</v>
      </c>
      <c r="U113" s="13">
        <v>1.00973167E8</v>
      </c>
      <c r="V113" s="13" t="s">
        <v>1316</v>
      </c>
      <c r="W113" s="16"/>
      <c r="X113" s="13">
        <v>1.6041295051E10</v>
      </c>
      <c r="Y113" s="13">
        <v>1030122.0</v>
      </c>
      <c r="Z113" s="16"/>
      <c r="AA113" s="16"/>
      <c r="AB113" s="16"/>
      <c r="AC113" s="13" t="s">
        <v>1317</v>
      </c>
      <c r="AD113" s="13" t="s">
        <v>1318</v>
      </c>
      <c r="AE113" s="18"/>
      <c r="AF113" s="14">
        <v>45348.0</v>
      </c>
      <c r="AG113" s="13">
        <v>969433.0</v>
      </c>
      <c r="AH113" s="16"/>
      <c r="AI113" s="16"/>
      <c r="AJ113" s="13" t="s">
        <v>90</v>
      </c>
      <c r="AK113" s="13" t="s">
        <v>91</v>
      </c>
      <c r="AL113" s="19">
        <v>46115.0</v>
      </c>
      <c r="AM113" s="20">
        <v>0.7916666666666666</v>
      </c>
      <c r="AN113" s="20">
        <v>0.16666666666666666</v>
      </c>
      <c r="AO113" s="16"/>
      <c r="AP113" s="16"/>
      <c r="AQ113" s="13" t="s">
        <v>1319</v>
      </c>
      <c r="AR113" s="13" t="s">
        <v>1320</v>
      </c>
      <c r="AS113" s="16"/>
      <c r="AT113" s="16"/>
      <c r="AU113" s="16"/>
      <c r="AV113" s="16"/>
      <c r="AW113" s="16"/>
      <c r="AX113" s="16"/>
      <c r="AY113" s="13" t="s">
        <v>1321</v>
      </c>
      <c r="AZ113" s="16"/>
      <c r="BA113" s="17"/>
      <c r="BB113" s="13" t="s">
        <v>97</v>
      </c>
      <c r="BC113" s="13" t="s">
        <v>97</v>
      </c>
      <c r="BD113" s="13" t="s">
        <v>118</v>
      </c>
      <c r="BE113" s="13" t="s">
        <v>118</v>
      </c>
      <c r="BF113" s="13" t="s">
        <v>118</v>
      </c>
      <c r="BG113" s="13" t="s">
        <v>97</v>
      </c>
      <c r="BH113" s="13" t="s">
        <v>97</v>
      </c>
      <c r="BI113" s="16"/>
      <c r="BJ113" s="13" t="s">
        <v>151</v>
      </c>
      <c r="BK113" s="16"/>
      <c r="BL113" s="14">
        <v>44717.0</v>
      </c>
      <c r="BM113" s="14">
        <v>44717.0</v>
      </c>
      <c r="BN113" s="13" t="s">
        <v>120</v>
      </c>
      <c r="BO113" s="14">
        <v>45276.0</v>
      </c>
      <c r="BP113" s="14">
        <v>45408.0</v>
      </c>
      <c r="BQ113" s="13" t="s">
        <v>120</v>
      </c>
      <c r="BR113" s="14">
        <v>44953.0</v>
      </c>
      <c r="BS113" s="14">
        <v>45414.0</v>
      </c>
      <c r="BT113" s="13" t="s">
        <v>120</v>
      </c>
      <c r="BU113" s="13" t="s">
        <v>99</v>
      </c>
      <c r="BV113" s="13" t="s">
        <v>121</v>
      </c>
      <c r="BW113" s="21">
        <v>34.0</v>
      </c>
      <c r="BX113" s="13" t="s">
        <v>101</v>
      </c>
      <c r="BY113" s="14">
        <v>44717.0</v>
      </c>
      <c r="BZ113" s="13" t="s">
        <v>102</v>
      </c>
      <c r="CA113" s="22" t="s">
        <v>103</v>
      </c>
    </row>
    <row r="114">
      <c r="A114" s="4">
        <v>287.0</v>
      </c>
      <c r="B114" s="5" t="s">
        <v>1322</v>
      </c>
      <c r="C114" s="5" t="s">
        <v>1323</v>
      </c>
      <c r="D114" s="5">
        <v>956383.0</v>
      </c>
      <c r="E114" s="5" t="s">
        <v>1324</v>
      </c>
      <c r="F114" s="6">
        <v>43310.0</v>
      </c>
      <c r="G114" s="6">
        <v>43185.0</v>
      </c>
      <c r="H114" s="5" t="s">
        <v>82</v>
      </c>
      <c r="I114" s="5" t="s">
        <v>107</v>
      </c>
      <c r="J114" s="5" t="s">
        <v>194</v>
      </c>
      <c r="K114" s="5">
        <v>2.0</v>
      </c>
      <c r="L114" s="5" t="s">
        <v>1325</v>
      </c>
      <c r="M114" s="5" t="s">
        <v>86</v>
      </c>
      <c r="N114" s="5" t="s">
        <v>87</v>
      </c>
      <c r="O114" s="5" t="s">
        <v>1326</v>
      </c>
      <c r="P114" s="8"/>
      <c r="Q114" s="8"/>
      <c r="R114" s="5" t="s">
        <v>1327</v>
      </c>
      <c r="S114" s="5" t="s">
        <v>1328</v>
      </c>
      <c r="T114" s="5" t="s">
        <v>1329</v>
      </c>
      <c r="U114" s="5">
        <v>1.00956383E8</v>
      </c>
      <c r="V114" s="5" t="s">
        <v>1330</v>
      </c>
      <c r="W114" s="8"/>
      <c r="X114" s="5">
        <v>1.5141294122E10</v>
      </c>
      <c r="Y114" s="5">
        <v>1066863.0</v>
      </c>
      <c r="Z114" s="8"/>
      <c r="AA114" s="8"/>
      <c r="AB114" s="8"/>
      <c r="AC114" s="8"/>
      <c r="AD114" s="8"/>
      <c r="AE114" s="6">
        <v>44933.0</v>
      </c>
      <c r="AF114" s="6">
        <v>43557.0</v>
      </c>
      <c r="AG114" s="5">
        <v>27705.0</v>
      </c>
      <c r="AH114" s="8"/>
      <c r="AI114" s="8"/>
      <c r="AJ114" s="5" t="s">
        <v>90</v>
      </c>
      <c r="AK114" s="5" t="s">
        <v>91</v>
      </c>
      <c r="AL114" s="5" t="s">
        <v>188</v>
      </c>
      <c r="AM114" s="10">
        <v>0.20833333333333334</v>
      </c>
      <c r="AN114" s="10">
        <v>0.625</v>
      </c>
      <c r="AO114" s="8"/>
      <c r="AP114" s="8"/>
      <c r="AQ114" s="5" t="s">
        <v>1331</v>
      </c>
      <c r="AR114" s="5" t="s">
        <v>1332</v>
      </c>
      <c r="AS114" s="5" t="s">
        <v>1333</v>
      </c>
      <c r="AT114" s="5">
        <v>4.388800315E9</v>
      </c>
      <c r="AU114" s="8"/>
      <c r="AV114" s="8"/>
      <c r="AW114" s="8"/>
      <c r="AX114" s="8"/>
      <c r="AY114" s="5" t="s">
        <v>1334</v>
      </c>
      <c r="AZ114" s="8"/>
      <c r="BA114" s="5">
        <v>60038.0</v>
      </c>
      <c r="BB114" s="5" t="s">
        <v>97</v>
      </c>
      <c r="BC114" s="5" t="s">
        <v>97</v>
      </c>
      <c r="BD114" s="5" t="s">
        <v>97</v>
      </c>
      <c r="BE114" s="5" t="s">
        <v>97</v>
      </c>
      <c r="BF114" s="5" t="s">
        <v>97</v>
      </c>
      <c r="BG114" s="5" t="s">
        <v>97</v>
      </c>
      <c r="BH114" s="5" t="s">
        <v>97</v>
      </c>
      <c r="BI114" s="8"/>
      <c r="BJ114" s="5" t="s">
        <v>98</v>
      </c>
      <c r="BK114" s="8"/>
      <c r="BL114" s="6">
        <v>43249.0</v>
      </c>
      <c r="BM114" s="6">
        <v>43453.0</v>
      </c>
      <c r="BN114" s="5" t="s">
        <v>120</v>
      </c>
      <c r="BO114" s="8"/>
      <c r="BP114" s="8"/>
      <c r="BQ114" s="8"/>
      <c r="BR114" s="8"/>
      <c r="BS114" s="8"/>
      <c r="BT114" s="8"/>
      <c r="BU114" s="5" t="s">
        <v>99</v>
      </c>
      <c r="BV114" s="5" t="s">
        <v>121</v>
      </c>
      <c r="BW114" s="23">
        <v>34.0</v>
      </c>
      <c r="BX114" s="5" t="s">
        <v>101</v>
      </c>
      <c r="BY114" s="6">
        <v>43247.0</v>
      </c>
      <c r="BZ114" s="5" t="s">
        <v>102</v>
      </c>
      <c r="CA114" s="11" t="s">
        <v>103</v>
      </c>
    </row>
    <row r="115">
      <c r="A115" s="12">
        <v>614.0</v>
      </c>
      <c r="B115" s="13" t="s">
        <v>1335</v>
      </c>
      <c r="C115" s="13" t="s">
        <v>1336</v>
      </c>
      <c r="D115" s="13">
        <v>773674.0</v>
      </c>
      <c r="E115" s="13" t="s">
        <v>81</v>
      </c>
      <c r="F115" s="14">
        <v>45957.0</v>
      </c>
      <c r="G115" s="16"/>
      <c r="H115" s="13" t="s">
        <v>82</v>
      </c>
      <c r="I115" s="13" t="s">
        <v>107</v>
      </c>
      <c r="J115" s="13" t="s">
        <v>84</v>
      </c>
      <c r="K115" s="13">
        <v>2.0</v>
      </c>
      <c r="L115" s="13" t="s">
        <v>1337</v>
      </c>
      <c r="M115" s="13" t="s">
        <v>196</v>
      </c>
      <c r="N115" s="13" t="s">
        <v>126</v>
      </c>
      <c r="O115" s="13">
        <v>4.389262519E9</v>
      </c>
      <c r="P115" s="16"/>
      <c r="Q115" s="16"/>
      <c r="R115" s="16"/>
      <c r="S115" s="13" t="s">
        <v>1338</v>
      </c>
      <c r="T115" s="13" t="s">
        <v>1339</v>
      </c>
      <c r="U115" s="13">
        <v>1.00773674E8</v>
      </c>
      <c r="V115" s="16"/>
      <c r="W115" s="16"/>
      <c r="X115" s="13">
        <v>1.5141294011E10</v>
      </c>
      <c r="Y115" s="13">
        <v>1060066.0</v>
      </c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3" t="s">
        <v>90</v>
      </c>
      <c r="AK115" s="13" t="s">
        <v>91</v>
      </c>
      <c r="AL115" s="13" t="s">
        <v>188</v>
      </c>
      <c r="AM115" s="20">
        <v>0.8125</v>
      </c>
      <c r="AN115" s="20">
        <v>0.25</v>
      </c>
      <c r="AO115" s="16"/>
      <c r="AP115" s="16"/>
      <c r="AQ115" s="13" t="s">
        <v>1340</v>
      </c>
      <c r="AR115" s="13" t="s">
        <v>1341</v>
      </c>
      <c r="AS115" s="13" t="s">
        <v>1342</v>
      </c>
      <c r="AT115" s="13" t="s">
        <v>1343</v>
      </c>
      <c r="AU115" s="13" t="s">
        <v>1344</v>
      </c>
      <c r="AV115" s="16"/>
      <c r="AW115" s="16"/>
      <c r="AX115" s="16"/>
      <c r="AY115" s="13" t="s">
        <v>1345</v>
      </c>
      <c r="AZ115" s="16"/>
      <c r="BA115" s="13">
        <v>783459.0</v>
      </c>
      <c r="BB115" s="13" t="s">
        <v>97</v>
      </c>
      <c r="BC115" s="13" t="s">
        <v>97</v>
      </c>
      <c r="BD115" s="13" t="s">
        <v>97</v>
      </c>
      <c r="BE115" s="13" t="s">
        <v>97</v>
      </c>
      <c r="BF115" s="13" t="s">
        <v>97</v>
      </c>
      <c r="BG115" s="13" t="s">
        <v>97</v>
      </c>
      <c r="BH115" s="13" t="s">
        <v>97</v>
      </c>
      <c r="BI115" s="16"/>
      <c r="BJ115" s="13" t="s">
        <v>151</v>
      </c>
      <c r="BK115" s="16"/>
      <c r="BL115" s="14">
        <v>46056.0</v>
      </c>
      <c r="BM115" s="14">
        <v>46106.0</v>
      </c>
      <c r="BN115" s="13" t="s">
        <v>120</v>
      </c>
      <c r="BO115" s="16"/>
      <c r="BP115" s="16"/>
      <c r="BQ115" s="16"/>
      <c r="BR115" s="16"/>
      <c r="BS115" s="16"/>
      <c r="BT115" s="16"/>
      <c r="BU115" s="13" t="s">
        <v>99</v>
      </c>
      <c r="BV115" s="13" t="s">
        <v>100</v>
      </c>
      <c r="BW115" s="16"/>
      <c r="BX115" s="13" t="s">
        <v>101</v>
      </c>
      <c r="BY115" s="14">
        <v>46032.0</v>
      </c>
      <c r="BZ115" s="13" t="s">
        <v>102</v>
      </c>
      <c r="CA115" s="22" t="s">
        <v>103</v>
      </c>
    </row>
    <row r="116">
      <c r="A116" s="4">
        <v>288.0</v>
      </c>
      <c r="B116" s="5" t="s">
        <v>1346</v>
      </c>
      <c r="C116" s="5" t="s">
        <v>1347</v>
      </c>
      <c r="D116" s="5">
        <v>973170.0</v>
      </c>
      <c r="E116" s="5" t="s">
        <v>81</v>
      </c>
      <c r="F116" s="6">
        <v>38622.0</v>
      </c>
      <c r="G116" s="8"/>
      <c r="H116" s="5" t="s">
        <v>82</v>
      </c>
      <c r="I116" s="5" t="s">
        <v>179</v>
      </c>
      <c r="J116" s="5" t="s">
        <v>155</v>
      </c>
      <c r="K116" s="5">
        <v>4.0</v>
      </c>
      <c r="L116" s="5" t="s">
        <v>1348</v>
      </c>
      <c r="M116" s="5" t="s">
        <v>86</v>
      </c>
      <c r="N116" s="5" t="s">
        <v>87</v>
      </c>
      <c r="O116" s="5">
        <v>2.503822694E9</v>
      </c>
      <c r="P116" s="8"/>
      <c r="Q116" s="8"/>
      <c r="R116" s="5" t="s">
        <v>1349</v>
      </c>
      <c r="S116" s="5" t="s">
        <v>1350</v>
      </c>
      <c r="T116" s="5" t="s">
        <v>1351</v>
      </c>
      <c r="U116" s="5">
        <v>1.0097317E8</v>
      </c>
      <c r="V116" s="5" t="s">
        <v>1352</v>
      </c>
      <c r="W116" s="8"/>
      <c r="X116" s="5">
        <v>1.6041295064E10</v>
      </c>
      <c r="Y116" s="5">
        <v>1030135.0</v>
      </c>
      <c r="Z116" s="8"/>
      <c r="AA116" s="8"/>
      <c r="AB116" s="8"/>
      <c r="AC116" s="5" t="s">
        <v>1353</v>
      </c>
      <c r="AD116" s="5" t="s">
        <v>643</v>
      </c>
      <c r="AE116" s="18"/>
      <c r="AF116" s="6">
        <v>45245.0</v>
      </c>
      <c r="AG116" s="5">
        <v>968890.0</v>
      </c>
      <c r="AH116" s="8"/>
      <c r="AI116" s="8"/>
      <c r="AJ116" s="5" t="s">
        <v>90</v>
      </c>
      <c r="AK116" s="5" t="s">
        <v>91</v>
      </c>
      <c r="AL116" s="24">
        <v>46115.0</v>
      </c>
      <c r="AM116" s="10">
        <v>0.4583333333333333</v>
      </c>
      <c r="AN116" s="10">
        <v>0.8333333333333334</v>
      </c>
      <c r="AO116" s="8"/>
      <c r="AP116" s="8"/>
      <c r="AQ116" s="5" t="s">
        <v>1354</v>
      </c>
      <c r="AR116" s="5" t="s">
        <v>1355</v>
      </c>
      <c r="AS116" s="8"/>
      <c r="AT116" s="8"/>
      <c r="AU116" s="8"/>
      <c r="AV116" s="8"/>
      <c r="AW116" s="8"/>
      <c r="AX116" s="8"/>
      <c r="AY116" s="5" t="s">
        <v>1356</v>
      </c>
      <c r="AZ116" s="8"/>
      <c r="BA116" s="5" t="s">
        <v>150</v>
      </c>
      <c r="BB116" s="5" t="s">
        <v>118</v>
      </c>
      <c r="BC116" s="5" t="s">
        <v>118</v>
      </c>
      <c r="BD116" s="5" t="s">
        <v>97</v>
      </c>
      <c r="BE116" s="5" t="s">
        <v>97</v>
      </c>
      <c r="BF116" s="5" t="s">
        <v>118</v>
      </c>
      <c r="BG116" s="5" t="s">
        <v>97</v>
      </c>
      <c r="BH116" s="5" t="s">
        <v>97</v>
      </c>
      <c r="BI116" s="8"/>
      <c r="BJ116" s="5" t="s">
        <v>98</v>
      </c>
      <c r="BK116" s="8"/>
      <c r="BL116" s="6">
        <v>44718.0</v>
      </c>
      <c r="BM116" s="6">
        <v>44718.0</v>
      </c>
      <c r="BN116" s="5" t="s">
        <v>120</v>
      </c>
      <c r="BO116" s="6">
        <v>44897.0</v>
      </c>
      <c r="BP116" s="8"/>
      <c r="BQ116" s="8"/>
      <c r="BR116" s="6">
        <v>45104.0</v>
      </c>
      <c r="BS116" s="8"/>
      <c r="BT116" s="8"/>
      <c r="BU116" s="5" t="s">
        <v>99</v>
      </c>
      <c r="BV116" s="5" t="s">
        <v>100</v>
      </c>
      <c r="BW116" s="23">
        <v>34.0</v>
      </c>
      <c r="BX116" s="5" t="s">
        <v>101</v>
      </c>
      <c r="BY116" s="8"/>
      <c r="BZ116" s="5" t="s">
        <v>102</v>
      </c>
      <c r="CA116" s="11" t="s">
        <v>103</v>
      </c>
    </row>
    <row r="117">
      <c r="A117" s="12">
        <v>290.0</v>
      </c>
      <c r="B117" s="13" t="s">
        <v>1357</v>
      </c>
      <c r="C117" s="13" t="s">
        <v>1358</v>
      </c>
      <c r="D117" s="13">
        <v>936683.0</v>
      </c>
      <c r="E117" s="13" t="s">
        <v>81</v>
      </c>
      <c r="F117" s="14">
        <v>39302.0</v>
      </c>
      <c r="G117" s="16"/>
      <c r="H117" s="13" t="s">
        <v>106</v>
      </c>
      <c r="I117" s="13" t="s">
        <v>540</v>
      </c>
      <c r="J117" s="13" t="s">
        <v>155</v>
      </c>
      <c r="K117" s="13">
        <v>4.0</v>
      </c>
      <c r="L117" s="13" t="s">
        <v>1359</v>
      </c>
      <c r="M117" s="13" t="s">
        <v>125</v>
      </c>
      <c r="N117" s="13" t="s">
        <v>126</v>
      </c>
      <c r="O117" s="13" t="s">
        <v>1360</v>
      </c>
      <c r="P117" s="16"/>
      <c r="Q117" s="16"/>
      <c r="R117" s="13" t="s">
        <v>1361</v>
      </c>
      <c r="S117" s="13" t="s">
        <v>1362</v>
      </c>
      <c r="T117" s="13" t="s">
        <v>1363</v>
      </c>
      <c r="U117" s="13">
        <v>1.00936683E8</v>
      </c>
      <c r="V117" s="13" t="s">
        <v>1364</v>
      </c>
      <c r="W117" s="16"/>
      <c r="X117" s="13">
        <v>1.6041295024E10</v>
      </c>
      <c r="Y117" s="13">
        <v>1067373.0</v>
      </c>
      <c r="Z117" s="16"/>
      <c r="AA117" s="16"/>
      <c r="AB117" s="16"/>
      <c r="AC117" s="16"/>
      <c r="AD117" s="13" t="s">
        <v>1365</v>
      </c>
      <c r="AE117" s="18"/>
      <c r="AF117" s="14">
        <v>45160.0</v>
      </c>
      <c r="AG117" s="13">
        <v>967735.0</v>
      </c>
      <c r="AH117" s="16"/>
      <c r="AI117" s="16"/>
      <c r="AJ117" s="13" t="s">
        <v>90</v>
      </c>
      <c r="AK117" s="13" t="s">
        <v>91</v>
      </c>
      <c r="AL117" s="19">
        <v>46115.0</v>
      </c>
      <c r="AM117" s="20">
        <v>0.4583333333333333</v>
      </c>
      <c r="AN117" s="20">
        <v>0.8333333333333334</v>
      </c>
      <c r="AO117" s="16"/>
      <c r="AP117" s="16"/>
      <c r="AQ117" s="13" t="s">
        <v>1366</v>
      </c>
      <c r="AR117" s="13" t="s">
        <v>1367</v>
      </c>
      <c r="AS117" s="16"/>
      <c r="AT117" s="16"/>
      <c r="AU117" s="16"/>
      <c r="AV117" s="16"/>
      <c r="AW117" s="16"/>
      <c r="AX117" s="16"/>
      <c r="AY117" s="13" t="s">
        <v>1368</v>
      </c>
      <c r="AZ117" s="16"/>
      <c r="BA117" s="13" t="s">
        <v>150</v>
      </c>
      <c r="BB117" s="13" t="s">
        <v>118</v>
      </c>
      <c r="BC117" s="13" t="s">
        <v>97</v>
      </c>
      <c r="BD117" s="13" t="s">
        <v>97</v>
      </c>
      <c r="BE117" s="13" t="s">
        <v>118</v>
      </c>
      <c r="BF117" s="13" t="s">
        <v>118</v>
      </c>
      <c r="BG117" s="13" t="s">
        <v>97</v>
      </c>
      <c r="BH117" s="13" t="s">
        <v>97</v>
      </c>
      <c r="BI117" s="13" t="s">
        <v>1369</v>
      </c>
      <c r="BJ117" s="13" t="s">
        <v>176</v>
      </c>
      <c r="BK117" s="16"/>
      <c r="BL117" s="14">
        <v>44491.0</v>
      </c>
      <c r="BM117" s="14">
        <v>44491.0</v>
      </c>
      <c r="BN117" s="13" t="s">
        <v>120</v>
      </c>
      <c r="BO117" s="14">
        <v>44897.0</v>
      </c>
      <c r="BP117" s="14">
        <v>45139.0</v>
      </c>
      <c r="BQ117" s="13" t="s">
        <v>120</v>
      </c>
      <c r="BR117" s="14">
        <v>45237.0</v>
      </c>
      <c r="BS117" s="14">
        <v>45337.0</v>
      </c>
      <c r="BT117" s="13" t="s">
        <v>120</v>
      </c>
      <c r="BU117" s="13" t="s">
        <v>99</v>
      </c>
      <c r="BV117" s="13" t="s">
        <v>308</v>
      </c>
      <c r="BW117" s="21">
        <v>34.0</v>
      </c>
      <c r="BX117" s="13" t="s">
        <v>101</v>
      </c>
      <c r="BY117" s="14">
        <v>44491.0</v>
      </c>
      <c r="BZ117" s="13" t="s">
        <v>102</v>
      </c>
      <c r="CA117" s="22" t="s">
        <v>103</v>
      </c>
    </row>
    <row r="118">
      <c r="A118" s="4">
        <v>295.0</v>
      </c>
      <c r="B118" s="5" t="s">
        <v>1370</v>
      </c>
      <c r="C118" s="5" t="s">
        <v>1371</v>
      </c>
      <c r="D118" s="5">
        <v>956378.0</v>
      </c>
      <c r="E118" s="5" t="s">
        <v>81</v>
      </c>
      <c r="F118" s="6">
        <v>35955.0</v>
      </c>
      <c r="G118" s="8"/>
      <c r="H118" s="5" t="s">
        <v>106</v>
      </c>
      <c r="I118" s="5" t="s">
        <v>107</v>
      </c>
      <c r="J118" s="5" t="s">
        <v>84</v>
      </c>
      <c r="K118" s="5">
        <v>3.0</v>
      </c>
      <c r="L118" s="5" t="s">
        <v>1372</v>
      </c>
      <c r="M118" s="5" t="s">
        <v>86</v>
      </c>
      <c r="N118" s="5" t="s">
        <v>87</v>
      </c>
      <c r="O118" s="5">
        <v>5.142674771E9</v>
      </c>
      <c r="P118" s="8"/>
      <c r="Q118" s="8"/>
      <c r="R118" s="5" t="s">
        <v>1373</v>
      </c>
      <c r="S118" s="5" t="s">
        <v>1374</v>
      </c>
      <c r="T118" s="5" t="s">
        <v>1375</v>
      </c>
      <c r="U118" s="5">
        <v>1.00956378E8</v>
      </c>
      <c r="V118" s="5" t="s">
        <v>1376</v>
      </c>
      <c r="W118" s="8"/>
      <c r="X118" s="5">
        <v>1.5141294103E10</v>
      </c>
      <c r="Y118" s="5">
        <v>1066428.0</v>
      </c>
      <c r="Z118" s="8"/>
      <c r="AA118" s="5" t="s">
        <v>132</v>
      </c>
      <c r="AB118" s="8"/>
      <c r="AC118" s="8"/>
      <c r="AD118" s="5" t="s">
        <v>1377</v>
      </c>
      <c r="AE118" s="18"/>
      <c r="AF118" s="6">
        <v>39967.0</v>
      </c>
      <c r="AG118" s="5">
        <v>4202.0</v>
      </c>
      <c r="AH118" s="8"/>
      <c r="AI118" s="8"/>
      <c r="AJ118" s="5" t="s">
        <v>90</v>
      </c>
      <c r="AK118" s="5" t="s">
        <v>91</v>
      </c>
      <c r="AL118" s="24">
        <v>46144.0</v>
      </c>
      <c r="AM118" s="10">
        <v>0.25</v>
      </c>
      <c r="AN118" s="10">
        <v>0.5416666666666666</v>
      </c>
      <c r="AO118" s="8"/>
      <c r="AP118" s="8"/>
      <c r="AQ118" s="5" t="s">
        <v>1378</v>
      </c>
      <c r="AR118" s="5" t="s">
        <v>1379</v>
      </c>
      <c r="AS118" s="5" t="s">
        <v>1380</v>
      </c>
      <c r="AT118" s="5" t="s">
        <v>806</v>
      </c>
      <c r="AU118" s="8"/>
      <c r="AV118" s="8"/>
      <c r="AW118" s="8"/>
      <c r="AX118" s="8"/>
      <c r="AY118" s="5" t="s">
        <v>1381</v>
      </c>
      <c r="AZ118" s="8"/>
      <c r="BA118" s="5">
        <v>66256.0</v>
      </c>
      <c r="BB118" s="5" t="s">
        <v>118</v>
      </c>
      <c r="BC118" s="5" t="s">
        <v>97</v>
      </c>
      <c r="BD118" s="5" t="s">
        <v>97</v>
      </c>
      <c r="BE118" s="5" t="s">
        <v>97</v>
      </c>
      <c r="BF118" s="5" t="s">
        <v>97</v>
      </c>
      <c r="BG118" s="5" t="s">
        <v>97</v>
      </c>
      <c r="BH118" s="5" t="s">
        <v>118</v>
      </c>
      <c r="BI118" s="8"/>
      <c r="BJ118" s="5" t="s">
        <v>98</v>
      </c>
      <c r="BK118" s="8"/>
      <c r="BL118" s="6">
        <v>36159.0</v>
      </c>
      <c r="BM118" s="6">
        <v>36190.0</v>
      </c>
      <c r="BN118" s="5" t="s">
        <v>120</v>
      </c>
      <c r="BO118" s="6">
        <v>45244.0</v>
      </c>
      <c r="BP118" s="6">
        <v>45344.0</v>
      </c>
      <c r="BQ118" s="5" t="s">
        <v>120</v>
      </c>
      <c r="BR118" s="6">
        <v>46091.0</v>
      </c>
      <c r="BS118" s="8"/>
      <c r="BT118" s="8"/>
      <c r="BU118" s="5" t="s">
        <v>99</v>
      </c>
      <c r="BV118" s="5" t="s">
        <v>121</v>
      </c>
      <c r="BW118" s="23">
        <v>35.0</v>
      </c>
      <c r="BX118" s="5" t="s">
        <v>101</v>
      </c>
      <c r="BY118" s="6">
        <v>36066.0</v>
      </c>
      <c r="BZ118" s="5" t="s">
        <v>102</v>
      </c>
      <c r="CA118" s="11" t="s">
        <v>103</v>
      </c>
    </row>
    <row r="119">
      <c r="A119" s="12">
        <v>628.0</v>
      </c>
      <c r="B119" s="13" t="s">
        <v>1382</v>
      </c>
      <c r="C119" s="13" t="s">
        <v>1383</v>
      </c>
      <c r="D119" s="13">
        <v>6001442.0</v>
      </c>
      <c r="E119" s="13" t="s">
        <v>81</v>
      </c>
      <c r="F119" s="14">
        <v>46119.0</v>
      </c>
      <c r="G119" s="16"/>
      <c r="H119" s="13" t="s">
        <v>239</v>
      </c>
      <c r="I119" s="13" t="s">
        <v>240</v>
      </c>
      <c r="J119" s="13" t="s">
        <v>155</v>
      </c>
      <c r="K119" s="13">
        <v>1.0</v>
      </c>
      <c r="L119" s="13" t="s">
        <v>1384</v>
      </c>
      <c r="M119" s="13" t="s">
        <v>196</v>
      </c>
      <c r="N119" s="13" t="s">
        <v>126</v>
      </c>
      <c r="O119" s="13">
        <v>4.038742822E9</v>
      </c>
      <c r="P119" s="16"/>
      <c r="Q119" s="16"/>
      <c r="R119" s="16"/>
      <c r="S119" s="13" t="s">
        <v>1385</v>
      </c>
      <c r="T119" s="13" t="s">
        <v>1386</v>
      </c>
      <c r="U119" s="13">
        <v>1.06001442E8</v>
      </c>
      <c r="V119" s="16"/>
      <c r="W119" s="16"/>
      <c r="X119" s="13">
        <v>1.5141294067E10</v>
      </c>
      <c r="Y119" s="13">
        <v>1060021.0</v>
      </c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3" t="s">
        <v>90</v>
      </c>
      <c r="AK119" s="13" t="s">
        <v>244</v>
      </c>
      <c r="AL119" s="16"/>
      <c r="AM119" s="16"/>
      <c r="AN119" s="16"/>
      <c r="AO119" s="16"/>
      <c r="AP119" s="16"/>
      <c r="AQ119" s="13" t="s">
        <v>1387</v>
      </c>
      <c r="AR119" s="13" t="s">
        <v>1388</v>
      </c>
      <c r="AS119" s="16"/>
      <c r="AT119" s="16"/>
      <c r="AU119" s="16"/>
      <c r="AV119" s="16"/>
      <c r="AW119" s="16"/>
      <c r="AX119" s="16"/>
      <c r="AY119" s="13" t="s">
        <v>1389</v>
      </c>
      <c r="AZ119" s="16"/>
      <c r="BA119" s="13">
        <v>469796.0</v>
      </c>
      <c r="BB119" s="13" t="s">
        <v>118</v>
      </c>
      <c r="BC119" s="13" t="s">
        <v>118</v>
      </c>
      <c r="BD119" s="13" t="s">
        <v>118</v>
      </c>
      <c r="BE119" s="13" t="s">
        <v>118</v>
      </c>
      <c r="BF119" s="13" t="s">
        <v>118</v>
      </c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3" t="s">
        <v>120</v>
      </c>
      <c r="BV119" s="13" t="s">
        <v>121</v>
      </c>
      <c r="BW119" s="21">
        <v>35.0</v>
      </c>
      <c r="BX119" s="13" t="s">
        <v>101</v>
      </c>
      <c r="BY119" s="16"/>
      <c r="BZ119" s="13" t="s">
        <v>102</v>
      </c>
      <c r="CA119" s="22" t="s">
        <v>103</v>
      </c>
    </row>
    <row r="120">
      <c r="A120" s="4">
        <v>432.0</v>
      </c>
      <c r="B120" s="5" t="s">
        <v>1390</v>
      </c>
      <c r="C120" s="5" t="s">
        <v>1391</v>
      </c>
      <c r="D120" s="5">
        <v>998402.0</v>
      </c>
      <c r="E120" s="5" t="s">
        <v>262</v>
      </c>
      <c r="F120" s="6">
        <v>45082.0</v>
      </c>
      <c r="G120" s="8"/>
      <c r="H120" s="5" t="s">
        <v>82</v>
      </c>
      <c r="I120" s="5" t="s">
        <v>139</v>
      </c>
      <c r="J120" s="5" t="s">
        <v>194</v>
      </c>
      <c r="K120" s="5">
        <v>2.0</v>
      </c>
      <c r="L120" s="5" t="s">
        <v>1392</v>
      </c>
      <c r="M120" s="5" t="s">
        <v>167</v>
      </c>
      <c r="N120" s="5" t="s">
        <v>87</v>
      </c>
      <c r="O120" s="5">
        <v>5.146032589E9</v>
      </c>
      <c r="P120" s="8"/>
      <c r="Q120" s="8"/>
      <c r="R120" s="5" t="s">
        <v>1393</v>
      </c>
      <c r="S120" s="5" t="s">
        <v>1394</v>
      </c>
      <c r="T120" s="5" t="s">
        <v>1395</v>
      </c>
      <c r="U120" s="5">
        <v>1.00998402E8</v>
      </c>
      <c r="V120" s="5" t="s">
        <v>1391</v>
      </c>
      <c r="W120" s="8"/>
      <c r="X120" s="5">
        <v>1.514129407E10</v>
      </c>
      <c r="Y120" s="5">
        <v>1060045.0</v>
      </c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5" t="s">
        <v>90</v>
      </c>
      <c r="AK120" s="5" t="s">
        <v>91</v>
      </c>
      <c r="AL120" s="5" t="s">
        <v>92</v>
      </c>
      <c r="AM120" s="10">
        <v>0.6666666666666666</v>
      </c>
      <c r="AN120" s="10">
        <v>0.08333333333333333</v>
      </c>
      <c r="AO120" s="8"/>
      <c r="AP120" s="8"/>
      <c r="AQ120" s="5" t="s">
        <v>1396</v>
      </c>
      <c r="AR120" s="5" t="s">
        <v>1397</v>
      </c>
      <c r="AS120" s="5" t="s">
        <v>1398</v>
      </c>
      <c r="AT120" s="5" t="s">
        <v>1399</v>
      </c>
      <c r="AU120" s="8"/>
      <c r="AV120" s="8"/>
      <c r="AW120" s="8"/>
      <c r="AX120" s="8"/>
      <c r="AY120" s="5" t="s">
        <v>1400</v>
      </c>
      <c r="AZ120" s="8"/>
      <c r="BA120" s="5" t="s">
        <v>96</v>
      </c>
      <c r="BB120" s="5" t="s">
        <v>97</v>
      </c>
      <c r="BC120" s="5" t="s">
        <v>97</v>
      </c>
      <c r="BD120" s="5" t="s">
        <v>97</v>
      </c>
      <c r="BE120" s="5" t="s">
        <v>97</v>
      </c>
      <c r="BF120" s="5" t="s">
        <v>97</v>
      </c>
      <c r="BG120" s="5" t="s">
        <v>97</v>
      </c>
      <c r="BH120" s="5" t="s">
        <v>97</v>
      </c>
      <c r="BI120" s="8"/>
      <c r="BJ120" s="5" t="s">
        <v>176</v>
      </c>
      <c r="BK120" s="8"/>
      <c r="BL120" s="6">
        <v>45253.0</v>
      </c>
      <c r="BM120" s="6">
        <v>45384.0</v>
      </c>
      <c r="BN120" s="5" t="s">
        <v>99</v>
      </c>
      <c r="BO120" s="8"/>
      <c r="BP120" s="8"/>
      <c r="BQ120" s="8"/>
      <c r="BR120" s="8"/>
      <c r="BS120" s="8"/>
      <c r="BT120" s="8"/>
      <c r="BU120" s="5" t="s">
        <v>99</v>
      </c>
      <c r="BV120" s="5" t="s">
        <v>121</v>
      </c>
      <c r="BW120" s="23">
        <v>35.0</v>
      </c>
      <c r="BX120" s="5" t="s">
        <v>101</v>
      </c>
      <c r="BY120" s="6">
        <v>45202.0</v>
      </c>
      <c r="BZ120" s="5" t="s">
        <v>102</v>
      </c>
      <c r="CA120" s="11" t="s">
        <v>103</v>
      </c>
    </row>
    <row r="121">
      <c r="A121" s="12">
        <v>304.0</v>
      </c>
      <c r="B121" s="13" t="s">
        <v>1401</v>
      </c>
      <c r="C121" s="13" t="s">
        <v>1402</v>
      </c>
      <c r="D121" s="13">
        <v>936703.0</v>
      </c>
      <c r="E121" s="13" t="s">
        <v>81</v>
      </c>
      <c r="F121" s="14">
        <v>42422.0</v>
      </c>
      <c r="G121" s="16"/>
      <c r="H121" s="13" t="s">
        <v>106</v>
      </c>
      <c r="I121" s="13" t="s">
        <v>540</v>
      </c>
      <c r="J121" s="13" t="s">
        <v>155</v>
      </c>
      <c r="K121" s="13">
        <v>4.0</v>
      </c>
      <c r="L121" s="13" t="s">
        <v>1403</v>
      </c>
      <c r="M121" s="13" t="s">
        <v>125</v>
      </c>
      <c r="N121" s="13" t="s">
        <v>126</v>
      </c>
      <c r="O121" s="13" t="s">
        <v>1404</v>
      </c>
      <c r="P121" s="16"/>
      <c r="Q121" s="16"/>
      <c r="R121" s="13" t="s">
        <v>1405</v>
      </c>
      <c r="S121" s="13" t="s">
        <v>1406</v>
      </c>
      <c r="T121" s="13" t="s">
        <v>1407</v>
      </c>
      <c r="U121" s="13">
        <v>1.00936703E8</v>
      </c>
      <c r="V121" s="13" t="s">
        <v>1408</v>
      </c>
      <c r="W121" s="16"/>
      <c r="X121" s="13">
        <v>1.6041295025E10</v>
      </c>
      <c r="Y121" s="13">
        <v>1067374.0</v>
      </c>
      <c r="Z121" s="16"/>
      <c r="AA121" s="16"/>
      <c r="AB121" s="16"/>
      <c r="AC121" s="16"/>
      <c r="AD121" s="13" t="s">
        <v>1409</v>
      </c>
      <c r="AE121" s="18"/>
      <c r="AF121" s="14">
        <v>45029.0</v>
      </c>
      <c r="AG121" s="13">
        <v>27953.0</v>
      </c>
      <c r="AH121" s="16"/>
      <c r="AI121" s="16"/>
      <c r="AJ121" s="13" t="s">
        <v>90</v>
      </c>
      <c r="AK121" s="13" t="s">
        <v>91</v>
      </c>
      <c r="AL121" s="19">
        <v>46115.0</v>
      </c>
      <c r="AM121" s="20">
        <v>0.4166666666666667</v>
      </c>
      <c r="AN121" s="20">
        <v>0.7916666666666666</v>
      </c>
      <c r="AO121" s="16"/>
      <c r="AP121" s="16"/>
      <c r="AQ121" s="13" t="s">
        <v>1410</v>
      </c>
      <c r="AR121" s="13" t="s">
        <v>1411</v>
      </c>
      <c r="AS121" s="16"/>
      <c r="AT121" s="16"/>
      <c r="AU121" s="16"/>
      <c r="AV121" s="16"/>
      <c r="AW121" s="16"/>
      <c r="AX121" s="16"/>
      <c r="AY121" s="13" t="s">
        <v>1412</v>
      </c>
      <c r="AZ121" s="16"/>
      <c r="BA121" s="13" t="s">
        <v>150</v>
      </c>
      <c r="BB121" s="13" t="s">
        <v>97</v>
      </c>
      <c r="BC121" s="13" t="s">
        <v>97</v>
      </c>
      <c r="BD121" s="13" t="s">
        <v>118</v>
      </c>
      <c r="BE121" s="13" t="s">
        <v>118</v>
      </c>
      <c r="BF121" s="13" t="s">
        <v>97</v>
      </c>
      <c r="BG121" s="13" t="s">
        <v>97</v>
      </c>
      <c r="BH121" s="13" t="s">
        <v>118</v>
      </c>
      <c r="BI121" s="16"/>
      <c r="BJ121" s="13" t="s">
        <v>98</v>
      </c>
      <c r="BK121" s="16"/>
      <c r="BL121" s="14">
        <v>44491.0</v>
      </c>
      <c r="BM121" s="14">
        <v>44491.0</v>
      </c>
      <c r="BN121" s="13" t="s">
        <v>120</v>
      </c>
      <c r="BO121" s="14">
        <v>44897.0</v>
      </c>
      <c r="BP121" s="14">
        <v>45405.0</v>
      </c>
      <c r="BQ121" s="13" t="s">
        <v>120</v>
      </c>
      <c r="BR121" s="14">
        <v>45881.0</v>
      </c>
      <c r="BS121" s="14">
        <v>45984.0</v>
      </c>
      <c r="BT121" s="13" t="s">
        <v>120</v>
      </c>
      <c r="BU121" s="13" t="s">
        <v>99</v>
      </c>
      <c r="BV121" s="13" t="s">
        <v>100</v>
      </c>
      <c r="BW121" s="21">
        <v>34.0</v>
      </c>
      <c r="BX121" s="13" t="s">
        <v>101</v>
      </c>
      <c r="BY121" s="14">
        <v>44491.0</v>
      </c>
      <c r="BZ121" s="13" t="s">
        <v>102</v>
      </c>
      <c r="CA121" s="22" t="s">
        <v>103</v>
      </c>
    </row>
    <row r="122">
      <c r="A122" s="4">
        <v>305.0</v>
      </c>
      <c r="B122" s="5" t="s">
        <v>1413</v>
      </c>
      <c r="C122" s="5" t="s">
        <v>1414</v>
      </c>
      <c r="D122" s="5">
        <v>936684.0</v>
      </c>
      <c r="E122" s="5" t="s">
        <v>81</v>
      </c>
      <c r="F122" s="6">
        <v>42768.0</v>
      </c>
      <c r="G122" s="8"/>
      <c r="H122" s="5" t="s">
        <v>82</v>
      </c>
      <c r="I122" s="5" t="s">
        <v>540</v>
      </c>
      <c r="J122" s="5" t="s">
        <v>155</v>
      </c>
      <c r="K122" s="5">
        <v>2.0</v>
      </c>
      <c r="L122" s="5" t="s">
        <v>1415</v>
      </c>
      <c r="M122" s="5" t="s">
        <v>142</v>
      </c>
      <c r="N122" s="5" t="s">
        <v>126</v>
      </c>
      <c r="O122" s="5">
        <v>7.782229059E9</v>
      </c>
      <c r="P122" s="8"/>
      <c r="Q122" s="8"/>
      <c r="R122" s="5" t="s">
        <v>1416</v>
      </c>
      <c r="S122" s="5" t="s">
        <v>1417</v>
      </c>
      <c r="T122" s="5" t="s">
        <v>1418</v>
      </c>
      <c r="U122" s="5">
        <v>1.00936684E8</v>
      </c>
      <c r="V122" s="5" t="s">
        <v>1419</v>
      </c>
      <c r="W122" s="8"/>
      <c r="X122" s="5">
        <v>1.6041295026E10</v>
      </c>
      <c r="Y122" s="5">
        <v>1067375.0</v>
      </c>
      <c r="Z122" s="8"/>
      <c r="AA122" s="8"/>
      <c r="AB122" s="8"/>
      <c r="AC122" s="8"/>
      <c r="AD122" s="5" t="s">
        <v>1420</v>
      </c>
      <c r="AE122" s="8"/>
      <c r="AF122" s="6">
        <v>45344.0</v>
      </c>
      <c r="AG122" s="5">
        <v>969426.0</v>
      </c>
      <c r="AH122" s="8"/>
      <c r="AI122" s="8"/>
      <c r="AJ122" s="5" t="s">
        <v>90</v>
      </c>
      <c r="AK122" s="5" t="s">
        <v>91</v>
      </c>
      <c r="AL122" s="5" t="s">
        <v>92</v>
      </c>
      <c r="AM122" s="10">
        <v>0.9166666666666666</v>
      </c>
      <c r="AN122" s="10">
        <v>0.3541666666666667</v>
      </c>
      <c r="AO122" s="8"/>
      <c r="AP122" s="8"/>
      <c r="AQ122" s="5" t="s">
        <v>1421</v>
      </c>
      <c r="AR122" s="5" t="s">
        <v>1411</v>
      </c>
      <c r="AS122" s="5" t="s">
        <v>1422</v>
      </c>
      <c r="AT122" s="5">
        <v>6.048396269E9</v>
      </c>
      <c r="AU122" s="5" t="s">
        <v>1344</v>
      </c>
      <c r="AV122" s="8"/>
      <c r="AW122" s="8"/>
      <c r="AX122" s="8"/>
      <c r="AY122" s="5" t="s">
        <v>1423</v>
      </c>
      <c r="AZ122" s="8"/>
      <c r="BA122" s="8"/>
      <c r="BB122" s="5" t="s">
        <v>97</v>
      </c>
      <c r="BC122" s="5" t="s">
        <v>97</v>
      </c>
      <c r="BD122" s="5" t="s">
        <v>97</v>
      </c>
      <c r="BE122" s="5" t="s">
        <v>97</v>
      </c>
      <c r="BF122" s="5" t="s">
        <v>97</v>
      </c>
      <c r="BG122" s="5" t="s">
        <v>97</v>
      </c>
      <c r="BH122" s="5" t="s">
        <v>97</v>
      </c>
      <c r="BI122" s="8"/>
      <c r="BJ122" s="5" t="s">
        <v>151</v>
      </c>
      <c r="BK122" s="8"/>
      <c r="BL122" s="6">
        <v>43466.0</v>
      </c>
      <c r="BM122" s="6">
        <v>43466.0</v>
      </c>
      <c r="BN122" s="5" t="s">
        <v>120</v>
      </c>
      <c r="BO122" s="8"/>
      <c r="BP122" s="8"/>
      <c r="BQ122" s="8"/>
      <c r="BR122" s="8"/>
      <c r="BS122" s="8"/>
      <c r="BT122" s="8"/>
      <c r="BU122" s="5" t="s">
        <v>99</v>
      </c>
      <c r="BV122" s="5" t="s">
        <v>100</v>
      </c>
      <c r="BW122" s="23">
        <v>35.0</v>
      </c>
      <c r="BX122" s="5" t="s">
        <v>101</v>
      </c>
      <c r="BY122" s="6">
        <v>43466.0</v>
      </c>
      <c r="BZ122" s="5" t="s">
        <v>102</v>
      </c>
      <c r="CA122" s="11" t="s">
        <v>103</v>
      </c>
    </row>
    <row r="123">
      <c r="A123" s="12">
        <v>307.0</v>
      </c>
      <c r="B123" s="13" t="s">
        <v>1424</v>
      </c>
      <c r="C123" s="13" t="s">
        <v>1425</v>
      </c>
      <c r="D123" s="13">
        <v>956361.0</v>
      </c>
      <c r="E123" s="13" t="s">
        <v>81</v>
      </c>
      <c r="F123" s="14">
        <v>43156.0</v>
      </c>
      <c r="G123" s="14">
        <v>43045.0</v>
      </c>
      <c r="H123" s="13" t="s">
        <v>82</v>
      </c>
      <c r="I123" s="13" t="s">
        <v>240</v>
      </c>
      <c r="J123" s="13" t="s">
        <v>155</v>
      </c>
      <c r="K123" s="13">
        <v>2.0</v>
      </c>
      <c r="L123" s="13" t="s">
        <v>1426</v>
      </c>
      <c r="M123" s="13" t="s">
        <v>292</v>
      </c>
      <c r="N123" s="13" t="s">
        <v>126</v>
      </c>
      <c r="O123" s="13" t="s">
        <v>1427</v>
      </c>
      <c r="P123" s="13" t="s">
        <v>1428</v>
      </c>
      <c r="Q123" s="16"/>
      <c r="R123" s="13" t="s">
        <v>1429</v>
      </c>
      <c r="S123" s="13" t="s">
        <v>1430</v>
      </c>
      <c r="T123" s="13" t="s">
        <v>1431</v>
      </c>
      <c r="U123" s="13">
        <v>1.00956361E8</v>
      </c>
      <c r="V123" s="13" t="s">
        <v>1425</v>
      </c>
      <c r="W123" s="16"/>
      <c r="X123" s="13">
        <v>1.4031292006E10</v>
      </c>
      <c r="Y123" s="13">
        <v>1066538.0</v>
      </c>
      <c r="Z123" s="16"/>
      <c r="AA123" s="16"/>
      <c r="AB123" s="16"/>
      <c r="AC123" s="16"/>
      <c r="AD123" s="13" t="s">
        <v>329</v>
      </c>
      <c r="AE123" s="16"/>
      <c r="AF123" s="14">
        <v>43257.0</v>
      </c>
      <c r="AG123" s="13">
        <v>26015.0</v>
      </c>
      <c r="AH123" s="16"/>
      <c r="AI123" s="16"/>
      <c r="AJ123" s="13" t="s">
        <v>90</v>
      </c>
      <c r="AK123" s="13" t="s">
        <v>91</v>
      </c>
      <c r="AL123" s="13" t="s">
        <v>188</v>
      </c>
      <c r="AM123" s="20">
        <v>0.3333333333333333</v>
      </c>
      <c r="AN123" s="20">
        <v>0.7708333333333334</v>
      </c>
      <c r="AO123" s="16"/>
      <c r="AP123" s="16"/>
      <c r="AQ123" s="13" t="s">
        <v>1432</v>
      </c>
      <c r="AR123" s="13" t="s">
        <v>1433</v>
      </c>
      <c r="AS123" s="16"/>
      <c r="AT123" s="16"/>
      <c r="AU123" s="16"/>
      <c r="AV123" s="16"/>
      <c r="AW123" s="16"/>
      <c r="AX123" s="16"/>
      <c r="AY123" s="13" t="s">
        <v>1434</v>
      </c>
      <c r="AZ123" s="16"/>
      <c r="BA123" s="13">
        <v>867522.0</v>
      </c>
      <c r="BB123" s="13" t="s">
        <v>97</v>
      </c>
      <c r="BC123" s="13" t="s">
        <v>97</v>
      </c>
      <c r="BD123" s="13" t="s">
        <v>97</v>
      </c>
      <c r="BE123" s="13" t="s">
        <v>97</v>
      </c>
      <c r="BF123" s="13" t="s">
        <v>97</v>
      </c>
      <c r="BG123" s="13" t="s">
        <v>97</v>
      </c>
      <c r="BH123" s="13" t="s">
        <v>97</v>
      </c>
      <c r="BI123" s="16"/>
      <c r="BJ123" s="13" t="s">
        <v>98</v>
      </c>
      <c r="BK123" s="16"/>
      <c r="BL123" s="14">
        <v>43272.0</v>
      </c>
      <c r="BM123" s="14">
        <v>43322.0</v>
      </c>
      <c r="BN123" s="13" t="s">
        <v>120</v>
      </c>
      <c r="BO123" s="16"/>
      <c r="BP123" s="16"/>
      <c r="BQ123" s="16"/>
      <c r="BR123" s="16"/>
      <c r="BS123" s="16"/>
      <c r="BT123" s="16"/>
      <c r="BU123" s="13" t="s">
        <v>120</v>
      </c>
      <c r="BV123" s="13" t="s">
        <v>121</v>
      </c>
      <c r="BW123" s="21">
        <v>35.0</v>
      </c>
      <c r="BX123" s="13" t="s">
        <v>101</v>
      </c>
      <c r="BY123" s="14">
        <v>43257.0</v>
      </c>
      <c r="BZ123" s="13" t="s">
        <v>102</v>
      </c>
      <c r="CA123" s="22" t="s">
        <v>103</v>
      </c>
    </row>
  </sheetData>
  <mergeCells count="41">
    <mergeCell ref="AD3:AE3"/>
    <mergeCell ref="AD4:AE4"/>
    <mergeCell ref="AD7:AE7"/>
    <mergeCell ref="AD8:AE8"/>
    <mergeCell ref="AD12:AE12"/>
    <mergeCell ref="AD14:AE14"/>
    <mergeCell ref="AD16:AE16"/>
    <mergeCell ref="AD19:AE19"/>
    <mergeCell ref="AD23:AE23"/>
    <mergeCell ref="AD29:AE29"/>
    <mergeCell ref="AD33:AE33"/>
    <mergeCell ref="AD34:AE34"/>
    <mergeCell ref="AD36:AE36"/>
    <mergeCell ref="AD38:AG38"/>
    <mergeCell ref="AD39:AE39"/>
    <mergeCell ref="AD40:AE40"/>
    <mergeCell ref="AD41:AE41"/>
    <mergeCell ref="AD42:AE42"/>
    <mergeCell ref="AD47:AE47"/>
    <mergeCell ref="AD49:AE49"/>
    <mergeCell ref="AD51:AE51"/>
    <mergeCell ref="AD54:AE54"/>
    <mergeCell ref="AD58:AE58"/>
    <mergeCell ref="AD61:AE61"/>
    <mergeCell ref="AD63:AE63"/>
    <mergeCell ref="AD64:AE64"/>
    <mergeCell ref="AD78:AE78"/>
    <mergeCell ref="AD79:AE79"/>
    <mergeCell ref="AD108:AE108"/>
    <mergeCell ref="AD113:AE113"/>
    <mergeCell ref="AD116:AE116"/>
    <mergeCell ref="AD117:AE117"/>
    <mergeCell ref="AD118:AE118"/>
    <mergeCell ref="AD121:AE121"/>
    <mergeCell ref="AD86:AE86"/>
    <mergeCell ref="AD89:AE89"/>
    <mergeCell ref="AD95:AE95"/>
    <mergeCell ref="AD97:AE97"/>
    <mergeCell ref="AD98:AE98"/>
    <mergeCell ref="AD100:AG100"/>
    <mergeCell ref="AD103:AE10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132</v>
      </c>
      <c r="B1" s="29" t="s">
        <v>1435</v>
      </c>
      <c r="C1" s="30" t="s">
        <v>1436</v>
      </c>
      <c r="D1" s="30" t="s">
        <v>1437</v>
      </c>
      <c r="E1" s="30" t="s">
        <v>1438</v>
      </c>
      <c r="F1" s="30" t="s">
        <v>1439</v>
      </c>
      <c r="G1" s="30" t="s">
        <v>1440</v>
      </c>
      <c r="H1" s="30" t="s">
        <v>1441</v>
      </c>
      <c r="I1" s="30" t="s">
        <v>1442</v>
      </c>
      <c r="J1" s="30" t="s">
        <v>1443</v>
      </c>
      <c r="K1" s="30" t="s">
        <v>1444</v>
      </c>
      <c r="L1" s="30" t="s">
        <v>1445</v>
      </c>
      <c r="M1" s="30" t="s">
        <v>1446</v>
      </c>
      <c r="N1" s="30" t="s">
        <v>1447</v>
      </c>
      <c r="O1" s="30" t="s">
        <v>1448</v>
      </c>
      <c r="P1" s="30" t="s">
        <v>1449</v>
      </c>
      <c r="Q1" s="30" t="s">
        <v>1450</v>
      </c>
      <c r="R1" s="30" t="s">
        <v>1451</v>
      </c>
      <c r="S1" s="30" t="s">
        <v>1452</v>
      </c>
      <c r="T1" s="30" t="s">
        <v>1453</v>
      </c>
    </row>
    <row r="2">
      <c r="A2" s="31" t="s">
        <v>1454</v>
      </c>
      <c r="C2" s="32">
        <v>1339.0</v>
      </c>
      <c r="D2" s="33">
        <v>8304.7</v>
      </c>
      <c r="E2" s="34">
        <v>12.4</v>
      </c>
      <c r="F2" s="32">
        <v>102599.0</v>
      </c>
      <c r="G2" s="35">
        <v>0.62</v>
      </c>
      <c r="H2" s="35">
        <v>0.38</v>
      </c>
      <c r="I2" s="32">
        <v>1086.0</v>
      </c>
      <c r="J2" s="35">
        <v>0.044</v>
      </c>
      <c r="K2" s="32">
        <v>24871.0</v>
      </c>
      <c r="L2" s="34">
        <v>0.0017653</v>
      </c>
      <c r="M2" s="34">
        <v>0.0011965</v>
      </c>
      <c r="N2" s="36">
        <v>1.496E-4</v>
      </c>
      <c r="O2" s="34">
        <v>4.207E-4</v>
      </c>
      <c r="P2" s="34">
        <v>4.207E-4</v>
      </c>
      <c r="Q2" s="32">
        <v>77630.0</v>
      </c>
      <c r="R2" s="34">
        <v>8.561E-4</v>
      </c>
      <c r="S2" s="34">
        <v>98.0</v>
      </c>
      <c r="T2" s="34">
        <v>0.0011755</v>
      </c>
    </row>
    <row r="3">
      <c r="A3" s="31" t="s">
        <v>79</v>
      </c>
      <c r="B3" s="37">
        <v>46113.0</v>
      </c>
      <c r="C3" s="34">
        <v>14.0</v>
      </c>
      <c r="D3" s="34">
        <v>129.0</v>
      </c>
      <c r="E3" s="34">
        <v>17.1</v>
      </c>
      <c r="F3" s="32">
        <v>2208.0</v>
      </c>
      <c r="G3" s="35">
        <v>0.494</v>
      </c>
      <c r="H3" s="35">
        <v>0.506</v>
      </c>
      <c r="I3" s="34">
        <v>36.0</v>
      </c>
      <c r="J3" s="35">
        <v>0.056</v>
      </c>
      <c r="K3" s="34">
        <v>647.0</v>
      </c>
      <c r="L3" s="34">
        <v>0.0017509</v>
      </c>
      <c r="M3" s="34">
        <v>0.0012768</v>
      </c>
      <c r="N3" s="36">
        <v>3.625E-4</v>
      </c>
      <c r="O3" s="34">
        <v>1.561E-4</v>
      </c>
      <c r="P3" s="34">
        <v>1.561E-4</v>
      </c>
      <c r="Q3" s="32">
        <v>1561.0</v>
      </c>
      <c r="R3" s="34">
        <v>7.344E-4</v>
      </c>
      <c r="S3" s="34">
        <v>0.0</v>
      </c>
      <c r="T3" s="38"/>
    </row>
    <row r="4">
      <c r="A4" s="31" t="s">
        <v>122</v>
      </c>
      <c r="B4" s="37">
        <v>46113.0</v>
      </c>
      <c r="C4" s="34">
        <v>14.0</v>
      </c>
      <c r="D4" s="34">
        <v>117.7</v>
      </c>
      <c r="E4" s="34">
        <v>7.5</v>
      </c>
      <c r="F4" s="32">
        <v>880.0</v>
      </c>
      <c r="G4" s="35">
        <v>0.803</v>
      </c>
      <c r="H4" s="35">
        <v>0.197</v>
      </c>
      <c r="I4" s="34">
        <v>17.0</v>
      </c>
      <c r="J4" s="35">
        <v>0.057</v>
      </c>
      <c r="K4" s="34">
        <v>298.0</v>
      </c>
      <c r="L4" s="34">
        <v>0.0013444</v>
      </c>
      <c r="M4" s="34">
        <v>0.0010008</v>
      </c>
      <c r="N4" s="36">
        <v>9.873E-5</v>
      </c>
      <c r="O4" s="34">
        <v>2.67E-4</v>
      </c>
      <c r="P4" s="34">
        <v>2.67E-4</v>
      </c>
      <c r="Q4" s="32">
        <v>581.0</v>
      </c>
      <c r="R4" s="34">
        <v>8.228E-4</v>
      </c>
      <c r="S4" s="34">
        <v>1.0</v>
      </c>
      <c r="T4" s="34">
        <v>2.199E-4</v>
      </c>
    </row>
    <row r="5">
      <c r="A5" s="31" t="s">
        <v>137</v>
      </c>
      <c r="B5" s="37">
        <v>46113.0</v>
      </c>
      <c r="C5" s="34">
        <v>23.0</v>
      </c>
      <c r="D5" s="34">
        <v>118.5</v>
      </c>
      <c r="E5" s="34">
        <v>6.7</v>
      </c>
      <c r="F5" s="32">
        <v>799.0</v>
      </c>
      <c r="G5" s="35">
        <v>0.556</v>
      </c>
      <c r="H5" s="35">
        <v>0.444</v>
      </c>
      <c r="I5" s="34">
        <v>3.0</v>
      </c>
      <c r="J5" s="35">
        <v>0.024</v>
      </c>
      <c r="K5" s="34">
        <v>126.0</v>
      </c>
      <c r="L5" s="34">
        <v>0.0020068</v>
      </c>
      <c r="M5" s="34">
        <v>0.0013315</v>
      </c>
      <c r="N5" s="36">
        <v>3.631E-4</v>
      </c>
      <c r="O5" s="34">
        <v>2.821E-4</v>
      </c>
      <c r="P5" s="34">
        <v>2.821E-4</v>
      </c>
      <c r="Q5" s="32">
        <v>671.0</v>
      </c>
      <c r="R5" s="34">
        <v>7.069E-4</v>
      </c>
      <c r="S5" s="34">
        <v>2.0</v>
      </c>
      <c r="T5" s="34">
        <v>5.498E-4</v>
      </c>
    </row>
    <row r="6">
      <c r="A6" s="31" t="s">
        <v>152</v>
      </c>
      <c r="B6" s="37">
        <v>46113.0</v>
      </c>
      <c r="C6" s="34">
        <v>13.0</v>
      </c>
      <c r="D6" s="34">
        <v>100.3</v>
      </c>
      <c r="E6" s="34">
        <v>12.9</v>
      </c>
      <c r="F6" s="32">
        <v>1293.0</v>
      </c>
      <c r="G6" s="35">
        <v>0.31</v>
      </c>
      <c r="H6" s="35">
        <v>0.69</v>
      </c>
      <c r="I6" s="34">
        <v>9.0</v>
      </c>
      <c r="J6" s="35">
        <v>0.055</v>
      </c>
      <c r="K6" s="34">
        <v>164.0</v>
      </c>
      <c r="L6" s="34">
        <v>0.0019094</v>
      </c>
      <c r="M6" s="34">
        <v>0.0012117</v>
      </c>
      <c r="N6" s="36">
        <v>2.248E-4</v>
      </c>
      <c r="O6" s="36">
        <v>5.624E-4</v>
      </c>
      <c r="P6" s="36">
        <v>5.624E-4</v>
      </c>
      <c r="Q6" s="32">
        <v>1129.0</v>
      </c>
      <c r="R6" s="34">
        <v>8.603E-4</v>
      </c>
      <c r="S6" s="34">
        <v>0.0</v>
      </c>
      <c r="T6" s="39"/>
    </row>
    <row r="7">
      <c r="A7" s="31" t="s">
        <v>164</v>
      </c>
      <c r="B7" s="37">
        <v>46113.0</v>
      </c>
      <c r="C7" s="34">
        <v>22.0</v>
      </c>
      <c r="D7" s="34">
        <v>102.6</v>
      </c>
      <c r="E7" s="34">
        <v>11.8</v>
      </c>
      <c r="F7" s="32">
        <v>1208.0</v>
      </c>
      <c r="G7" s="35">
        <v>0.921</v>
      </c>
      <c r="H7" s="35">
        <v>0.079</v>
      </c>
      <c r="I7" s="34">
        <v>3.0</v>
      </c>
      <c r="J7" s="35">
        <v>0.023</v>
      </c>
      <c r="K7" s="34">
        <v>128.0</v>
      </c>
      <c r="L7" s="34">
        <v>0.0017381</v>
      </c>
      <c r="M7" s="34">
        <v>0.0014837</v>
      </c>
      <c r="N7" s="36">
        <v>2.407E-4</v>
      </c>
      <c r="O7" s="34">
        <v>1.502E-4</v>
      </c>
      <c r="P7" s="34">
        <v>1.502E-4</v>
      </c>
      <c r="Q7" s="32">
        <v>1079.0</v>
      </c>
      <c r="R7" s="34">
        <v>8.689E-4</v>
      </c>
      <c r="S7" s="34">
        <v>1.0</v>
      </c>
      <c r="T7" s="34">
        <v>0.0015625</v>
      </c>
    </row>
    <row r="8">
      <c r="A8" s="31" t="s">
        <v>177</v>
      </c>
      <c r="B8" s="37">
        <v>46113.0</v>
      </c>
      <c r="C8" s="34">
        <v>16.0</v>
      </c>
      <c r="D8" s="34">
        <v>129.1</v>
      </c>
      <c r="E8" s="34">
        <v>11.0</v>
      </c>
      <c r="F8" s="32">
        <v>1422.0</v>
      </c>
      <c r="G8" s="35">
        <v>0.677</v>
      </c>
      <c r="H8" s="35">
        <v>0.323</v>
      </c>
      <c r="I8" s="34">
        <v>9.0</v>
      </c>
      <c r="J8" s="35">
        <v>0.023</v>
      </c>
      <c r="K8" s="34">
        <v>395.0</v>
      </c>
      <c r="L8" s="34">
        <v>0.0015833</v>
      </c>
      <c r="M8" s="34">
        <v>0.001033</v>
      </c>
      <c r="N8" s="36">
        <v>3.138E-5</v>
      </c>
      <c r="O8" s="34">
        <v>4.718E-4</v>
      </c>
      <c r="P8" s="34">
        <v>4.718E-4</v>
      </c>
      <c r="Q8" s="32">
        <v>1027.0</v>
      </c>
      <c r="R8" s="34">
        <v>8.949E-4</v>
      </c>
      <c r="S8" s="34">
        <v>0.0</v>
      </c>
      <c r="T8" s="38"/>
    </row>
    <row r="9">
      <c r="A9" s="31" t="s">
        <v>1455</v>
      </c>
      <c r="B9" s="37">
        <v>46113.0</v>
      </c>
      <c r="C9" s="34">
        <v>14.0</v>
      </c>
      <c r="D9" s="34">
        <v>128.2</v>
      </c>
      <c r="E9" s="34">
        <v>15.1</v>
      </c>
      <c r="F9" s="32">
        <v>1939.0</v>
      </c>
      <c r="G9" s="35">
        <v>0.295</v>
      </c>
      <c r="H9" s="35">
        <v>0.705</v>
      </c>
      <c r="I9" s="34">
        <v>10.0</v>
      </c>
      <c r="J9" s="35">
        <v>0.047</v>
      </c>
      <c r="K9" s="34">
        <v>213.0</v>
      </c>
      <c r="L9" s="34">
        <v>0.0027823</v>
      </c>
      <c r="M9" s="34">
        <v>0.0018832</v>
      </c>
      <c r="N9" s="36">
        <v>7.685E-4</v>
      </c>
      <c r="O9" s="34">
        <v>4.489E-4</v>
      </c>
      <c r="P9" s="34">
        <v>4.489E-4</v>
      </c>
      <c r="Q9" s="32">
        <v>1722.0</v>
      </c>
      <c r="R9" s="34">
        <v>0.001145</v>
      </c>
      <c r="S9" s="34">
        <v>4.0</v>
      </c>
      <c r="T9" s="34">
        <v>0.0010735</v>
      </c>
    </row>
    <row r="10">
      <c r="A10" s="31" t="s">
        <v>225</v>
      </c>
      <c r="B10" s="37">
        <v>46113.0</v>
      </c>
      <c r="C10" s="34">
        <v>12.0</v>
      </c>
      <c r="D10" s="34">
        <v>85.4</v>
      </c>
      <c r="E10" s="34">
        <v>18.9</v>
      </c>
      <c r="F10" s="32">
        <v>1615.0</v>
      </c>
      <c r="G10" s="35">
        <v>0.546</v>
      </c>
      <c r="H10" s="35">
        <v>0.454</v>
      </c>
      <c r="I10" s="34">
        <v>2.0</v>
      </c>
      <c r="J10" s="35">
        <v>0.071</v>
      </c>
      <c r="K10" s="34">
        <v>28.0</v>
      </c>
      <c r="L10" s="34">
        <v>0.0023727</v>
      </c>
      <c r="M10" s="34">
        <v>0.0020217</v>
      </c>
      <c r="N10" s="36">
        <v>7.35E-4</v>
      </c>
      <c r="O10" s="36">
        <v>2.464E-4</v>
      </c>
      <c r="P10" s="36">
        <v>2.464E-4</v>
      </c>
      <c r="Q10" s="32">
        <v>1586.0</v>
      </c>
      <c r="R10" s="34">
        <v>9.868E-4</v>
      </c>
      <c r="S10" s="34">
        <v>1.0</v>
      </c>
      <c r="T10" s="34">
        <v>4.282E-4</v>
      </c>
    </row>
    <row r="11">
      <c r="A11" s="31" t="s">
        <v>260</v>
      </c>
      <c r="B11" s="37">
        <v>46113.0</v>
      </c>
      <c r="C11" s="34">
        <v>14.0</v>
      </c>
      <c r="D11" s="34">
        <v>98.9</v>
      </c>
      <c r="E11" s="34">
        <v>10.9</v>
      </c>
      <c r="F11" s="32">
        <v>1076.0</v>
      </c>
      <c r="G11" s="35">
        <v>0.839</v>
      </c>
      <c r="H11" s="35">
        <v>0.161</v>
      </c>
      <c r="I11" s="34">
        <v>28.0</v>
      </c>
      <c r="J11" s="35">
        <v>0.038</v>
      </c>
      <c r="K11" s="34">
        <v>732.0</v>
      </c>
      <c r="L11" s="34">
        <v>0.0025817</v>
      </c>
      <c r="M11" s="34">
        <v>0.0017959</v>
      </c>
      <c r="N11" s="36">
        <v>1.24E-4</v>
      </c>
      <c r="O11" s="34">
        <v>6.225E-4</v>
      </c>
      <c r="P11" s="34">
        <v>6.225E-4</v>
      </c>
      <c r="Q11" s="34">
        <v>341.0</v>
      </c>
      <c r="R11" s="34">
        <v>0.0011186</v>
      </c>
      <c r="S11" s="34">
        <v>3.0</v>
      </c>
      <c r="T11" s="34">
        <v>5.594E-4</v>
      </c>
    </row>
    <row r="12">
      <c r="A12" s="31" t="s">
        <v>1456</v>
      </c>
      <c r="B12" s="37">
        <v>46113.0</v>
      </c>
      <c r="C12" s="34">
        <v>8.0</v>
      </c>
      <c r="D12" s="34">
        <v>14.4</v>
      </c>
      <c r="E12" s="34">
        <v>2.2</v>
      </c>
      <c r="F12" s="32">
        <v>31.0</v>
      </c>
      <c r="G12" s="35">
        <v>0.222</v>
      </c>
      <c r="H12" s="35">
        <v>0.778</v>
      </c>
      <c r="I12" s="34">
        <v>0.0</v>
      </c>
      <c r="J12" s="40"/>
      <c r="K12" s="34">
        <v>0.0</v>
      </c>
      <c r="L12" s="39"/>
      <c r="M12" s="39"/>
      <c r="N12" s="38"/>
      <c r="O12" s="39"/>
      <c r="P12" s="39"/>
      <c r="Q12" s="32">
        <v>30.0</v>
      </c>
      <c r="R12" s="34">
        <v>0.0012157</v>
      </c>
      <c r="S12" s="34">
        <v>1.0</v>
      </c>
      <c r="T12" s="34">
        <v>3.125E-4</v>
      </c>
    </row>
    <row r="13">
      <c r="A13" s="31" t="s">
        <v>273</v>
      </c>
      <c r="B13" s="37">
        <v>46113.0</v>
      </c>
      <c r="C13" s="34">
        <v>9.0</v>
      </c>
      <c r="D13" s="34">
        <v>66.6</v>
      </c>
      <c r="E13" s="34">
        <v>7.0</v>
      </c>
      <c r="F13" s="32">
        <v>463.0</v>
      </c>
      <c r="G13" s="35">
        <v>0.515</v>
      </c>
      <c r="H13" s="35">
        <v>0.485</v>
      </c>
      <c r="I13" s="34">
        <v>7.0</v>
      </c>
      <c r="J13" s="35">
        <v>0.055</v>
      </c>
      <c r="K13" s="34">
        <v>128.0</v>
      </c>
      <c r="L13" s="34">
        <v>0.0025617</v>
      </c>
      <c r="M13" s="34">
        <v>0.0019273</v>
      </c>
      <c r="N13" s="36">
        <v>5.561E-5</v>
      </c>
      <c r="O13" s="34">
        <v>4.66E-4</v>
      </c>
      <c r="P13" s="34">
        <v>4.66E-4</v>
      </c>
      <c r="Q13" s="32">
        <v>335.0</v>
      </c>
      <c r="R13" s="34">
        <v>0.0011696</v>
      </c>
      <c r="S13" s="34">
        <v>0.0</v>
      </c>
      <c r="T13" s="39"/>
    </row>
    <row r="14">
      <c r="A14" s="31" t="s">
        <v>289</v>
      </c>
      <c r="B14" s="37">
        <v>46113.0</v>
      </c>
      <c r="C14" s="34">
        <v>14.0</v>
      </c>
      <c r="D14" s="34">
        <v>127.1</v>
      </c>
      <c r="E14" s="34">
        <v>20.6</v>
      </c>
      <c r="F14" s="32">
        <v>2612.0</v>
      </c>
      <c r="G14" s="35">
        <v>0.34</v>
      </c>
      <c r="H14" s="35">
        <v>0.66</v>
      </c>
      <c r="I14" s="34">
        <v>38.0</v>
      </c>
      <c r="J14" s="35">
        <v>0.078</v>
      </c>
      <c r="K14" s="34">
        <v>485.0</v>
      </c>
      <c r="L14" s="34">
        <v>0.001729</v>
      </c>
      <c r="M14" s="34">
        <v>7.517E-4</v>
      </c>
      <c r="N14" s="36">
        <v>1.273E-4</v>
      </c>
      <c r="O14" s="34">
        <v>7.085E-4</v>
      </c>
      <c r="P14" s="34">
        <v>7.085E-4</v>
      </c>
      <c r="Q14" s="32">
        <v>2126.0</v>
      </c>
      <c r="R14" s="34">
        <v>4.255E-4</v>
      </c>
      <c r="S14" s="34">
        <v>1.0</v>
      </c>
      <c r="T14" s="34">
        <v>1.505E-4</v>
      </c>
    </row>
    <row r="15">
      <c r="A15" s="31" t="s">
        <v>1457</v>
      </c>
      <c r="B15" s="37">
        <v>46113.0</v>
      </c>
      <c r="C15" s="34">
        <v>13.0</v>
      </c>
      <c r="D15" s="34">
        <v>91.6</v>
      </c>
      <c r="E15" s="34">
        <v>11.7</v>
      </c>
      <c r="F15" s="32">
        <v>1070.0</v>
      </c>
      <c r="G15" s="35">
        <v>0.857</v>
      </c>
      <c r="H15" s="35">
        <v>0.143</v>
      </c>
      <c r="I15" s="34">
        <v>37.0</v>
      </c>
      <c r="J15" s="35">
        <v>0.08</v>
      </c>
      <c r="K15" s="34">
        <v>461.0</v>
      </c>
      <c r="L15" s="34">
        <v>0.0017906</v>
      </c>
      <c r="M15" s="34">
        <v>0.0012217</v>
      </c>
      <c r="N15" s="36">
        <v>3.322E-4</v>
      </c>
      <c r="O15" s="34">
        <v>3.199E-4</v>
      </c>
      <c r="P15" s="34">
        <v>3.199E-4</v>
      </c>
      <c r="Q15" s="32">
        <v>608.0</v>
      </c>
      <c r="R15" s="34">
        <v>9.023E-4</v>
      </c>
      <c r="S15" s="34">
        <v>1.0</v>
      </c>
      <c r="T15" s="34">
        <v>4.745E-4</v>
      </c>
    </row>
    <row r="16">
      <c r="A16" s="31" t="s">
        <v>321</v>
      </c>
      <c r="B16" s="37">
        <v>46113.0</v>
      </c>
      <c r="C16" s="34">
        <v>16.0</v>
      </c>
      <c r="D16" s="34">
        <v>100.4</v>
      </c>
      <c r="E16" s="34">
        <v>16.5</v>
      </c>
      <c r="F16" s="32">
        <v>1661.0</v>
      </c>
      <c r="G16" s="35">
        <v>0.213</v>
      </c>
      <c r="H16" s="35">
        <v>0.787</v>
      </c>
      <c r="I16" s="34">
        <v>19.0</v>
      </c>
      <c r="J16" s="35">
        <v>0.099</v>
      </c>
      <c r="K16" s="34">
        <v>192.0</v>
      </c>
      <c r="L16" s="34">
        <v>0.0019162</v>
      </c>
      <c r="M16" s="34">
        <v>0.0015368</v>
      </c>
      <c r="N16" s="36">
        <v>4.798E-4</v>
      </c>
      <c r="O16" s="34">
        <v>1.546E-4</v>
      </c>
      <c r="P16" s="34">
        <v>1.546E-4</v>
      </c>
      <c r="Q16" s="32">
        <v>1469.0</v>
      </c>
      <c r="R16" s="34">
        <v>9.032E-4</v>
      </c>
      <c r="S16" s="34">
        <v>0.0</v>
      </c>
      <c r="T16" s="39"/>
    </row>
    <row r="17">
      <c r="A17" s="31" t="s">
        <v>333</v>
      </c>
      <c r="B17" s="37">
        <v>46113.0</v>
      </c>
      <c r="C17" s="34">
        <v>14.0</v>
      </c>
      <c r="D17" s="34">
        <v>128.1</v>
      </c>
      <c r="E17" s="34">
        <v>11.2</v>
      </c>
      <c r="F17" s="32">
        <v>1441.0</v>
      </c>
      <c r="G17" s="35">
        <v>0.59</v>
      </c>
      <c r="H17" s="35">
        <v>0.41</v>
      </c>
      <c r="I17" s="34">
        <v>12.0</v>
      </c>
      <c r="J17" s="35">
        <v>0.022</v>
      </c>
      <c r="K17" s="34">
        <v>548.0</v>
      </c>
      <c r="L17" s="34">
        <v>0.0019359</v>
      </c>
      <c r="M17" s="34">
        <v>0.0011224</v>
      </c>
      <c r="N17" s="36">
        <v>9.401E-5</v>
      </c>
      <c r="O17" s="34">
        <v>7.146E-4</v>
      </c>
      <c r="P17" s="34">
        <v>7.146E-4</v>
      </c>
      <c r="Q17" s="32">
        <v>891.0</v>
      </c>
      <c r="R17" s="34">
        <v>9.605E-4</v>
      </c>
      <c r="S17" s="34">
        <v>2.0</v>
      </c>
      <c r="T17" s="34">
        <v>3.472E-4</v>
      </c>
    </row>
    <row r="18">
      <c r="A18" s="31" t="s">
        <v>1458</v>
      </c>
      <c r="B18" s="37">
        <v>46113.0</v>
      </c>
      <c r="C18" s="34">
        <v>14.0</v>
      </c>
      <c r="D18" s="34">
        <v>90.5</v>
      </c>
      <c r="E18" s="34">
        <v>15.3</v>
      </c>
      <c r="F18" s="32">
        <v>1382.0</v>
      </c>
      <c r="G18" s="35">
        <v>0.601</v>
      </c>
      <c r="H18" s="35">
        <v>0.399</v>
      </c>
      <c r="I18" s="34">
        <v>39.0</v>
      </c>
      <c r="J18" s="35">
        <v>0.063</v>
      </c>
      <c r="K18" s="34">
        <v>618.0</v>
      </c>
      <c r="L18" s="34">
        <v>0.0014945</v>
      </c>
      <c r="M18" s="34">
        <v>8.982E-4</v>
      </c>
      <c r="N18" s="36">
        <v>6.424E-5</v>
      </c>
      <c r="O18" s="36">
        <v>4.919E-4</v>
      </c>
      <c r="P18" s="36">
        <v>4.919E-4</v>
      </c>
      <c r="Q18" s="32">
        <v>764.0</v>
      </c>
      <c r="R18" s="36">
        <v>8.178E-4</v>
      </c>
      <c r="S18" s="34">
        <v>0.0</v>
      </c>
      <c r="T18" s="39"/>
    </row>
    <row r="19">
      <c r="A19" s="31" t="s">
        <v>352</v>
      </c>
      <c r="B19" s="37">
        <v>46113.0</v>
      </c>
      <c r="C19" s="34">
        <v>16.0</v>
      </c>
      <c r="D19" s="34">
        <v>127.0</v>
      </c>
      <c r="E19" s="34">
        <v>15.1</v>
      </c>
      <c r="F19" s="32">
        <v>1913.0</v>
      </c>
      <c r="G19" s="35">
        <v>0.608</v>
      </c>
      <c r="H19" s="35">
        <v>0.392</v>
      </c>
      <c r="I19" s="34">
        <v>12.0</v>
      </c>
      <c r="J19" s="35">
        <v>0.096</v>
      </c>
      <c r="K19" s="34">
        <v>125.0</v>
      </c>
      <c r="L19" s="34">
        <v>0.0032145</v>
      </c>
      <c r="M19" s="34">
        <v>0.0019044</v>
      </c>
      <c r="N19" s="36">
        <v>8.107E-4</v>
      </c>
      <c r="O19" s="36">
        <v>9.081E-4</v>
      </c>
      <c r="P19" s="36">
        <v>9.081E-4</v>
      </c>
      <c r="Q19" s="32">
        <v>1788.0</v>
      </c>
      <c r="R19" s="34">
        <v>8.585E-4</v>
      </c>
      <c r="S19" s="34">
        <v>0.0</v>
      </c>
      <c r="T19" s="39"/>
    </row>
    <row r="20">
      <c r="A20" s="31" t="s">
        <v>369</v>
      </c>
      <c r="B20" s="37">
        <v>46113.0</v>
      </c>
      <c r="C20" s="34">
        <v>7.0</v>
      </c>
      <c r="D20" s="34">
        <v>8.6</v>
      </c>
      <c r="E20" s="34">
        <v>4.4</v>
      </c>
      <c r="F20" s="32">
        <v>38.0</v>
      </c>
      <c r="G20" s="35">
        <v>0.0</v>
      </c>
      <c r="H20" s="35">
        <v>1.0</v>
      </c>
      <c r="I20" s="34">
        <v>0.0</v>
      </c>
      <c r="J20" s="40"/>
      <c r="K20" s="34">
        <v>0.0</v>
      </c>
      <c r="L20" s="39"/>
      <c r="M20" s="39"/>
      <c r="N20" s="38"/>
      <c r="O20" s="39"/>
      <c r="P20" s="39"/>
      <c r="Q20" s="32">
        <v>37.0</v>
      </c>
      <c r="R20" s="34">
        <v>9.2E-4</v>
      </c>
      <c r="S20" s="34">
        <v>1.0</v>
      </c>
      <c r="T20" s="34">
        <v>1.157E-4</v>
      </c>
    </row>
    <row r="21">
      <c r="A21" s="31" t="s">
        <v>377</v>
      </c>
      <c r="B21" s="37">
        <v>46113.0</v>
      </c>
      <c r="C21" s="34">
        <v>12.0</v>
      </c>
      <c r="D21" s="34">
        <v>77.6</v>
      </c>
      <c r="E21" s="34">
        <v>15.1</v>
      </c>
      <c r="F21" s="32">
        <v>1174.0</v>
      </c>
      <c r="G21" s="35">
        <v>0.381</v>
      </c>
      <c r="H21" s="35">
        <v>0.619</v>
      </c>
      <c r="I21" s="34">
        <v>17.0</v>
      </c>
      <c r="J21" s="35">
        <v>0.108</v>
      </c>
      <c r="K21" s="34">
        <v>158.0</v>
      </c>
      <c r="L21" s="34">
        <v>0.0020302</v>
      </c>
      <c r="M21" s="34">
        <v>0.0014925</v>
      </c>
      <c r="N21" s="36">
        <v>4.107E-4</v>
      </c>
      <c r="O21" s="34">
        <v>3.622E-4</v>
      </c>
      <c r="P21" s="34">
        <v>3.622E-4</v>
      </c>
      <c r="Q21" s="32">
        <v>1015.0</v>
      </c>
      <c r="R21" s="34">
        <v>8.973E-4</v>
      </c>
      <c r="S21" s="34">
        <v>1.0</v>
      </c>
      <c r="T21" s="34">
        <v>3.819E-4</v>
      </c>
    </row>
    <row r="22">
      <c r="A22" s="31" t="s">
        <v>1459</v>
      </c>
      <c r="B22" s="37">
        <v>46113.0</v>
      </c>
      <c r="C22" s="34">
        <v>10.0</v>
      </c>
      <c r="D22" s="34">
        <v>36.2</v>
      </c>
      <c r="E22" s="34">
        <v>16.7</v>
      </c>
      <c r="F22" s="32">
        <v>606.0</v>
      </c>
      <c r="G22" s="35">
        <v>0.409</v>
      </c>
      <c r="H22" s="35">
        <v>0.591</v>
      </c>
      <c r="I22" s="34">
        <v>5.0</v>
      </c>
      <c r="J22" s="35">
        <v>0.044</v>
      </c>
      <c r="K22" s="34">
        <v>114.0</v>
      </c>
      <c r="L22" s="34">
        <v>0.0019322</v>
      </c>
      <c r="M22" s="34">
        <v>9.278E-4</v>
      </c>
      <c r="N22" s="36">
        <v>6.396E-5</v>
      </c>
      <c r="O22" s="34">
        <v>9.194E-4</v>
      </c>
      <c r="P22" s="34">
        <v>9.194E-4</v>
      </c>
      <c r="Q22" s="32">
        <v>490.0</v>
      </c>
      <c r="R22" s="34">
        <v>7.53E-4</v>
      </c>
      <c r="S22" s="34">
        <v>2.0</v>
      </c>
      <c r="T22" s="34">
        <v>3.877E-4</v>
      </c>
    </row>
    <row r="23">
      <c r="A23" s="31" t="s">
        <v>1460</v>
      </c>
      <c r="B23" s="37">
        <v>46113.0</v>
      </c>
      <c r="C23" s="34">
        <v>24.0</v>
      </c>
      <c r="D23" s="34">
        <v>96.8</v>
      </c>
      <c r="E23" s="34">
        <v>9.2</v>
      </c>
      <c r="F23" s="32">
        <v>887.0</v>
      </c>
      <c r="G23" s="35">
        <v>0.688</v>
      </c>
      <c r="H23" s="35">
        <v>0.312</v>
      </c>
      <c r="I23" s="34">
        <v>0.0</v>
      </c>
      <c r="J23" s="35">
        <v>0.0</v>
      </c>
      <c r="K23" s="34">
        <v>442.0</v>
      </c>
      <c r="L23" s="34">
        <v>0.0013176</v>
      </c>
      <c r="M23" s="34">
        <v>0.0010869</v>
      </c>
      <c r="N23" s="36">
        <v>8.641E-7</v>
      </c>
      <c r="O23" s="34">
        <v>1.874E-4</v>
      </c>
      <c r="P23" s="34">
        <v>1.874E-4</v>
      </c>
      <c r="Q23" s="32">
        <v>445.0</v>
      </c>
      <c r="R23" s="34">
        <v>8.474E-4</v>
      </c>
      <c r="S23" s="34">
        <v>0.0</v>
      </c>
      <c r="T23" s="38"/>
    </row>
    <row r="24">
      <c r="A24" s="31" t="s">
        <v>412</v>
      </c>
      <c r="B24" s="37">
        <v>46113.0</v>
      </c>
      <c r="C24" s="34">
        <v>11.0</v>
      </c>
      <c r="D24" s="34">
        <v>69.4</v>
      </c>
      <c r="E24" s="34">
        <v>15.4</v>
      </c>
      <c r="F24" s="32">
        <v>1071.0</v>
      </c>
      <c r="G24" s="35">
        <v>0.51</v>
      </c>
      <c r="H24" s="35">
        <v>0.49</v>
      </c>
      <c r="I24" s="34">
        <v>11.0</v>
      </c>
      <c r="J24" s="35">
        <v>0.044</v>
      </c>
      <c r="K24" s="34">
        <v>248.0</v>
      </c>
      <c r="L24" s="34">
        <v>0.0020848</v>
      </c>
      <c r="M24" s="34">
        <v>0.0011995</v>
      </c>
      <c r="N24" s="36">
        <v>9.399E-5</v>
      </c>
      <c r="O24" s="34">
        <v>7.989E-4</v>
      </c>
      <c r="P24" s="34">
        <v>7.989E-4</v>
      </c>
      <c r="Q24" s="32">
        <v>820.0</v>
      </c>
      <c r="R24" s="34">
        <v>8.302E-4</v>
      </c>
      <c r="S24" s="34">
        <v>3.0</v>
      </c>
      <c r="T24" s="34">
        <v>2.083E-4</v>
      </c>
    </row>
    <row r="25">
      <c r="A25" s="31" t="s">
        <v>426</v>
      </c>
      <c r="B25" s="37">
        <v>46113.0</v>
      </c>
      <c r="C25" s="34">
        <v>19.0</v>
      </c>
      <c r="D25" s="34">
        <v>105.2</v>
      </c>
      <c r="E25" s="34">
        <v>21.1</v>
      </c>
      <c r="F25" s="32">
        <v>2217.0</v>
      </c>
      <c r="G25" s="35">
        <v>0.887</v>
      </c>
      <c r="H25" s="35">
        <v>0.113</v>
      </c>
      <c r="I25" s="34">
        <v>4.0</v>
      </c>
      <c r="J25" s="35">
        <v>0.032</v>
      </c>
      <c r="K25" s="34">
        <v>126.0</v>
      </c>
      <c r="L25" s="34">
        <v>0.0014397</v>
      </c>
      <c r="M25" s="34">
        <v>0.0010727</v>
      </c>
      <c r="N25" s="36">
        <v>1.461E-4</v>
      </c>
      <c r="O25" s="34">
        <v>3.033E-4</v>
      </c>
      <c r="P25" s="34">
        <v>3.033E-4</v>
      </c>
      <c r="Q25" s="32">
        <v>2091.0</v>
      </c>
      <c r="R25" s="34">
        <v>7.548E-4</v>
      </c>
      <c r="S25" s="34">
        <v>0.0</v>
      </c>
      <c r="T25" s="39"/>
    </row>
    <row r="26">
      <c r="A26" s="31" t="s">
        <v>440</v>
      </c>
      <c r="B26" s="37">
        <v>46113.0</v>
      </c>
      <c r="C26" s="34">
        <v>24.0</v>
      </c>
      <c r="D26" s="34">
        <v>127.4</v>
      </c>
      <c r="E26" s="34">
        <v>18.4</v>
      </c>
      <c r="F26" s="32">
        <v>2348.0</v>
      </c>
      <c r="G26" s="35">
        <v>0.529</v>
      </c>
      <c r="H26" s="35">
        <v>0.471</v>
      </c>
      <c r="I26" s="34">
        <v>35.0</v>
      </c>
      <c r="J26" s="35">
        <v>0.047</v>
      </c>
      <c r="K26" s="34">
        <v>745.0</v>
      </c>
      <c r="L26" s="34">
        <v>0.0014368</v>
      </c>
      <c r="M26" s="34">
        <v>9.521E-4</v>
      </c>
      <c r="N26" s="36">
        <v>4.111E-5</v>
      </c>
      <c r="O26" s="34">
        <v>4.449E-4</v>
      </c>
      <c r="P26" s="34">
        <v>4.449E-4</v>
      </c>
      <c r="Q26" s="32">
        <v>1603.0</v>
      </c>
      <c r="R26" s="34">
        <v>8.311E-4</v>
      </c>
      <c r="S26" s="34">
        <v>0.0</v>
      </c>
      <c r="T26" s="39"/>
    </row>
    <row r="27">
      <c r="A27" s="31" t="s">
        <v>489</v>
      </c>
      <c r="B27" s="37">
        <v>46113.0</v>
      </c>
      <c r="C27" s="34">
        <v>16.0</v>
      </c>
      <c r="D27" s="34">
        <v>130.0</v>
      </c>
      <c r="E27" s="34">
        <v>16.6</v>
      </c>
      <c r="F27" s="32">
        <v>2154.0</v>
      </c>
      <c r="G27" s="35">
        <v>0.435</v>
      </c>
      <c r="H27" s="35">
        <v>0.565</v>
      </c>
      <c r="I27" s="34">
        <v>9.0</v>
      </c>
      <c r="J27" s="35">
        <v>0.02</v>
      </c>
      <c r="K27" s="34">
        <v>444.0</v>
      </c>
      <c r="L27" s="34">
        <v>0.0020111</v>
      </c>
      <c r="M27" s="34">
        <v>0.0011113</v>
      </c>
      <c r="N27" s="36">
        <v>8.725E-5</v>
      </c>
      <c r="O27" s="34">
        <v>6.482E-4</v>
      </c>
      <c r="P27" s="34">
        <v>6.482E-4</v>
      </c>
      <c r="Q27" s="32">
        <v>1710.0</v>
      </c>
      <c r="R27" s="34">
        <v>8.619E-4</v>
      </c>
      <c r="S27" s="34">
        <v>0.0</v>
      </c>
      <c r="T27" s="39"/>
    </row>
    <row r="28">
      <c r="A28" s="31" t="s">
        <v>497</v>
      </c>
      <c r="B28" s="37">
        <v>46113.0</v>
      </c>
      <c r="C28" s="34">
        <v>8.0</v>
      </c>
      <c r="D28" s="34">
        <v>51.3</v>
      </c>
      <c r="E28" s="34">
        <v>12.8</v>
      </c>
      <c r="F28" s="32">
        <v>655.0</v>
      </c>
      <c r="G28" s="35">
        <v>0.919</v>
      </c>
      <c r="H28" s="35">
        <v>0.081</v>
      </c>
      <c r="I28" s="34">
        <v>11.0</v>
      </c>
      <c r="J28" s="35">
        <v>0.045</v>
      </c>
      <c r="K28" s="34">
        <v>243.0</v>
      </c>
      <c r="L28" s="34">
        <v>0.0017827</v>
      </c>
      <c r="M28" s="34">
        <v>9.278E-4</v>
      </c>
      <c r="N28" s="36">
        <v>5.713E-4</v>
      </c>
      <c r="O28" s="36">
        <v>4.175E-4</v>
      </c>
      <c r="P28" s="36">
        <v>4.175E-4</v>
      </c>
      <c r="Q28" s="32">
        <v>410.0</v>
      </c>
      <c r="R28" s="34">
        <v>8.262E-4</v>
      </c>
      <c r="S28" s="34">
        <v>2.0</v>
      </c>
      <c r="T28" s="36">
        <v>1.331E-4</v>
      </c>
    </row>
    <row r="29">
      <c r="A29" s="31" t="s">
        <v>515</v>
      </c>
      <c r="B29" s="37">
        <v>46113.0</v>
      </c>
      <c r="C29" s="34">
        <v>15.0</v>
      </c>
      <c r="D29" s="34">
        <v>109.4</v>
      </c>
      <c r="E29" s="34">
        <v>8.0</v>
      </c>
      <c r="F29" s="32">
        <v>878.0</v>
      </c>
      <c r="G29" s="35">
        <v>0.415</v>
      </c>
      <c r="H29" s="35">
        <v>0.585</v>
      </c>
      <c r="I29" s="34">
        <v>2.0</v>
      </c>
      <c r="J29" s="35">
        <v>0.017</v>
      </c>
      <c r="K29" s="34">
        <v>118.0</v>
      </c>
      <c r="L29" s="34">
        <v>0.0018332</v>
      </c>
      <c r="M29" s="34">
        <v>0.0010017</v>
      </c>
      <c r="N29" s="36">
        <v>5.846E-5</v>
      </c>
      <c r="O29" s="34">
        <v>6.706E-4</v>
      </c>
      <c r="P29" s="34">
        <v>6.706E-4</v>
      </c>
      <c r="Q29" s="32">
        <v>760.0</v>
      </c>
      <c r="R29" s="36">
        <v>8.024E-4</v>
      </c>
      <c r="S29" s="34">
        <v>0.0</v>
      </c>
      <c r="T29" s="39"/>
    </row>
    <row r="30">
      <c r="A30" s="31" t="s">
        <v>526</v>
      </c>
      <c r="B30" s="37">
        <v>46113.0</v>
      </c>
      <c r="C30" s="34">
        <v>18.0</v>
      </c>
      <c r="D30" s="34">
        <v>82.4</v>
      </c>
      <c r="E30" s="34">
        <v>10.2</v>
      </c>
      <c r="F30" s="32">
        <v>838.0</v>
      </c>
      <c r="G30" s="35">
        <v>0.964</v>
      </c>
      <c r="H30" s="35">
        <v>0.036</v>
      </c>
      <c r="I30" s="34">
        <v>26.0</v>
      </c>
      <c r="J30" s="35">
        <v>0.104</v>
      </c>
      <c r="K30" s="34">
        <v>250.0</v>
      </c>
      <c r="L30" s="34">
        <v>0.0017722</v>
      </c>
      <c r="M30" s="34">
        <v>0.001344</v>
      </c>
      <c r="N30" s="36">
        <v>4.491E-4</v>
      </c>
      <c r="O30" s="36">
        <v>1.079E-4</v>
      </c>
      <c r="P30" s="36">
        <v>1.079E-4</v>
      </c>
      <c r="Q30" s="32">
        <v>588.0</v>
      </c>
      <c r="R30" s="34">
        <v>9.243E-4</v>
      </c>
      <c r="S30" s="34">
        <v>0.0</v>
      </c>
      <c r="T30" s="39"/>
    </row>
    <row r="31">
      <c r="A31" s="31" t="s">
        <v>538</v>
      </c>
      <c r="B31" s="37">
        <v>46113.0</v>
      </c>
      <c r="C31" s="34">
        <v>7.0</v>
      </c>
      <c r="D31" s="34">
        <v>51.3</v>
      </c>
      <c r="E31" s="34">
        <v>6.1</v>
      </c>
      <c r="F31" s="32">
        <v>314.0</v>
      </c>
      <c r="G31" s="35">
        <v>0.632</v>
      </c>
      <c r="H31" s="35">
        <v>0.368</v>
      </c>
      <c r="I31" s="34">
        <v>0.0</v>
      </c>
      <c r="J31" s="35">
        <v>0.0</v>
      </c>
      <c r="K31" s="34">
        <v>64.0</v>
      </c>
      <c r="L31" s="34">
        <v>6.491E-4</v>
      </c>
      <c r="M31" s="34">
        <v>4.34E-4</v>
      </c>
      <c r="N31" s="36">
        <v>6.872E-6</v>
      </c>
      <c r="O31" s="34">
        <v>2.148E-4</v>
      </c>
      <c r="P31" s="34">
        <v>2.148E-4</v>
      </c>
      <c r="Q31" s="32">
        <v>247.0</v>
      </c>
      <c r="R31" s="34">
        <v>7.303E-4</v>
      </c>
      <c r="S31" s="34">
        <v>3.0</v>
      </c>
      <c r="T31" s="34">
        <v>4.09E-4</v>
      </c>
    </row>
    <row r="32">
      <c r="A32" s="31" t="s">
        <v>553</v>
      </c>
      <c r="B32" s="37">
        <v>46113.0</v>
      </c>
      <c r="C32" s="34">
        <v>9.0</v>
      </c>
      <c r="D32" s="34">
        <v>31.1</v>
      </c>
      <c r="E32" s="34">
        <v>6.6</v>
      </c>
      <c r="F32" s="32">
        <v>206.0</v>
      </c>
      <c r="G32" s="35">
        <v>0.829</v>
      </c>
      <c r="H32" s="35">
        <v>0.171</v>
      </c>
      <c r="I32" s="34">
        <v>3.0</v>
      </c>
      <c r="J32" s="35">
        <v>0.061</v>
      </c>
      <c r="K32" s="34">
        <v>49.0</v>
      </c>
      <c r="L32" s="34">
        <v>0.0021072</v>
      </c>
      <c r="M32" s="34">
        <v>0.0018679</v>
      </c>
      <c r="N32" s="36">
        <v>1.301E-4</v>
      </c>
      <c r="O32" s="36">
        <v>1.49E-4</v>
      </c>
      <c r="P32" s="36">
        <v>1.49E-4</v>
      </c>
      <c r="Q32" s="32">
        <v>156.0</v>
      </c>
      <c r="R32" s="34">
        <v>0.001027</v>
      </c>
      <c r="S32" s="34">
        <v>1.0</v>
      </c>
      <c r="T32" s="34">
        <v>0.0011227</v>
      </c>
    </row>
    <row r="33">
      <c r="A33" s="31" t="s">
        <v>566</v>
      </c>
      <c r="B33" s="37">
        <v>46113.0</v>
      </c>
      <c r="C33" s="34">
        <v>18.0</v>
      </c>
      <c r="D33" s="34">
        <v>110.6</v>
      </c>
      <c r="E33" s="34">
        <v>7.4</v>
      </c>
      <c r="F33" s="32">
        <v>823.0</v>
      </c>
      <c r="G33" s="35">
        <v>0.765</v>
      </c>
      <c r="H33" s="35">
        <v>0.235</v>
      </c>
      <c r="I33" s="34">
        <v>1.0</v>
      </c>
      <c r="J33" s="35">
        <v>0.005</v>
      </c>
      <c r="K33" s="34">
        <v>184.0</v>
      </c>
      <c r="L33" s="34">
        <v>0.0016993</v>
      </c>
      <c r="M33" s="34">
        <v>0.0015622</v>
      </c>
      <c r="N33" s="36">
        <v>3.063E-5</v>
      </c>
      <c r="O33" s="36">
        <v>1.12E-4</v>
      </c>
      <c r="P33" s="36">
        <v>1.12E-4</v>
      </c>
      <c r="Q33" s="32">
        <v>638.0</v>
      </c>
      <c r="R33" s="34">
        <v>8.161E-4</v>
      </c>
      <c r="S33" s="34">
        <v>1.0</v>
      </c>
      <c r="T33" s="34">
        <v>0.0086227</v>
      </c>
    </row>
    <row r="34">
      <c r="A34" s="31" t="s">
        <v>579</v>
      </c>
      <c r="B34" s="37">
        <v>46113.0</v>
      </c>
      <c r="C34" s="34">
        <v>9.0</v>
      </c>
      <c r="D34" s="34">
        <v>40.0</v>
      </c>
      <c r="E34" s="34">
        <v>3.1</v>
      </c>
      <c r="F34" s="32">
        <v>123.0</v>
      </c>
      <c r="G34" s="35">
        <v>0.845</v>
      </c>
      <c r="H34" s="35">
        <v>0.155</v>
      </c>
      <c r="I34" s="34">
        <v>1.0</v>
      </c>
      <c r="J34" s="35">
        <v>0.04</v>
      </c>
      <c r="K34" s="34">
        <v>25.0</v>
      </c>
      <c r="L34" s="34">
        <v>0.0026699</v>
      </c>
      <c r="M34" s="34">
        <v>0.0019417</v>
      </c>
      <c r="N34" s="36">
        <v>3.222E-4</v>
      </c>
      <c r="O34" s="36">
        <v>3.838E-4</v>
      </c>
      <c r="P34" s="36">
        <v>3.838E-4</v>
      </c>
      <c r="Q34" s="32">
        <v>98.0</v>
      </c>
      <c r="R34" s="34">
        <v>0.0010482</v>
      </c>
      <c r="S34" s="34">
        <v>0.0</v>
      </c>
      <c r="T34" s="39"/>
    </row>
    <row r="35">
      <c r="A35" s="31" t="s">
        <v>591</v>
      </c>
      <c r="B35" s="37">
        <v>46113.0</v>
      </c>
      <c r="C35" s="34">
        <v>7.0</v>
      </c>
      <c r="D35" s="34">
        <v>8.7</v>
      </c>
      <c r="E35" s="34">
        <v>4.6</v>
      </c>
      <c r="F35" s="32">
        <v>40.0</v>
      </c>
      <c r="G35" s="35">
        <v>0.455</v>
      </c>
      <c r="H35" s="35">
        <v>0.545</v>
      </c>
      <c r="I35" s="34">
        <v>0.0</v>
      </c>
      <c r="J35" s="40"/>
      <c r="K35" s="34">
        <v>0.0</v>
      </c>
      <c r="L35" s="39"/>
      <c r="M35" s="39"/>
      <c r="N35" s="38"/>
      <c r="O35" s="39"/>
      <c r="P35" s="39"/>
      <c r="Q35" s="32">
        <v>40.0</v>
      </c>
      <c r="R35" s="34">
        <v>9.112E-4</v>
      </c>
      <c r="S35" s="34">
        <v>0.0</v>
      </c>
      <c r="T35" s="39"/>
    </row>
    <row r="36">
      <c r="A36" s="31" t="s">
        <v>1461</v>
      </c>
      <c r="B36" s="37">
        <v>46113.0</v>
      </c>
      <c r="C36" s="34">
        <v>12.0</v>
      </c>
      <c r="D36" s="34">
        <v>76.9</v>
      </c>
      <c r="E36" s="34">
        <v>14.2</v>
      </c>
      <c r="F36" s="32">
        <v>1089.0</v>
      </c>
      <c r="G36" s="35">
        <v>1.0</v>
      </c>
      <c r="H36" s="35">
        <v>0.0</v>
      </c>
      <c r="I36" s="34">
        <v>3.0</v>
      </c>
      <c r="J36" s="35">
        <v>0.019</v>
      </c>
      <c r="K36" s="34">
        <v>156.0</v>
      </c>
      <c r="L36" s="34">
        <v>0.0024484</v>
      </c>
      <c r="M36" s="34">
        <v>0.0012292</v>
      </c>
      <c r="N36" s="36">
        <v>1.483E-4</v>
      </c>
      <c r="O36" s="36">
        <v>3.46E-4</v>
      </c>
      <c r="P36" s="36">
        <v>3.46E-4</v>
      </c>
      <c r="Q36" s="32">
        <v>931.0</v>
      </c>
      <c r="R36" s="34">
        <v>0.0010376</v>
      </c>
      <c r="S36" s="34">
        <v>2.0</v>
      </c>
      <c r="T36" s="34">
        <v>1.273E-4</v>
      </c>
    </row>
    <row r="37">
      <c r="A37" s="31" t="s">
        <v>599</v>
      </c>
      <c r="B37" s="37">
        <v>46113.0</v>
      </c>
      <c r="C37" s="34">
        <v>12.0</v>
      </c>
      <c r="D37" s="34">
        <v>100.0</v>
      </c>
      <c r="E37" s="34">
        <v>12.7</v>
      </c>
      <c r="F37" s="32">
        <v>1266.0</v>
      </c>
      <c r="G37" s="35">
        <v>0.622</v>
      </c>
      <c r="H37" s="35">
        <v>0.378</v>
      </c>
      <c r="I37" s="34">
        <v>19.0</v>
      </c>
      <c r="J37" s="35">
        <v>0.036</v>
      </c>
      <c r="K37" s="34">
        <v>525.0</v>
      </c>
      <c r="L37" s="34">
        <v>0.0018796</v>
      </c>
      <c r="M37" s="34">
        <v>0.0012131</v>
      </c>
      <c r="N37" s="36">
        <v>1.715E-4</v>
      </c>
      <c r="O37" s="36">
        <v>5.16E-4</v>
      </c>
      <c r="P37" s="36">
        <v>5.16E-4</v>
      </c>
      <c r="Q37" s="32">
        <v>741.0</v>
      </c>
      <c r="R37" s="34">
        <v>9.63E-4</v>
      </c>
      <c r="S37" s="34">
        <v>0.0</v>
      </c>
      <c r="T37" s="38"/>
    </row>
    <row r="38">
      <c r="A38" s="31" t="s">
        <v>1462</v>
      </c>
      <c r="B38" s="37">
        <v>46113.0</v>
      </c>
      <c r="C38" s="34">
        <v>13.0</v>
      </c>
      <c r="D38" s="34">
        <v>87.5</v>
      </c>
      <c r="E38" s="34">
        <v>12.0</v>
      </c>
      <c r="F38" s="32">
        <v>1051.0</v>
      </c>
      <c r="G38" s="35">
        <v>0.474</v>
      </c>
      <c r="H38" s="35">
        <v>0.526</v>
      </c>
      <c r="I38" s="34">
        <v>0.0</v>
      </c>
      <c r="J38" s="35">
        <v>0.0</v>
      </c>
      <c r="K38" s="34">
        <v>88.0</v>
      </c>
      <c r="L38" s="34">
        <v>9.113E-4</v>
      </c>
      <c r="M38" s="34">
        <v>7.694E-4</v>
      </c>
      <c r="N38" s="36">
        <v>9.917E-5</v>
      </c>
      <c r="O38" s="36">
        <v>1.299E-4</v>
      </c>
      <c r="P38" s="36">
        <v>1.299E-4</v>
      </c>
      <c r="Q38" s="32">
        <v>959.0</v>
      </c>
      <c r="R38" s="34">
        <v>8.703E-4</v>
      </c>
      <c r="S38" s="34">
        <v>4.0</v>
      </c>
      <c r="T38" s="34">
        <v>0.0024855</v>
      </c>
    </row>
    <row r="39">
      <c r="A39" s="31" t="s">
        <v>622</v>
      </c>
      <c r="B39" s="37">
        <v>46113.0</v>
      </c>
      <c r="C39" s="34">
        <v>16.0</v>
      </c>
      <c r="D39" s="34">
        <v>124.4</v>
      </c>
      <c r="E39" s="34">
        <v>13.4</v>
      </c>
      <c r="F39" s="32">
        <v>1665.0</v>
      </c>
      <c r="G39" s="35">
        <v>0.548</v>
      </c>
      <c r="H39" s="35">
        <v>0.452</v>
      </c>
      <c r="I39" s="34">
        <v>6.0</v>
      </c>
      <c r="J39" s="35">
        <v>0.045</v>
      </c>
      <c r="K39" s="34">
        <v>132.0</v>
      </c>
      <c r="L39" s="34">
        <v>0.0024048</v>
      </c>
      <c r="M39" s="34">
        <v>0.0014041</v>
      </c>
      <c r="N39" s="36">
        <v>0.0012834</v>
      </c>
      <c r="O39" s="36">
        <v>5.306E-4</v>
      </c>
      <c r="P39" s="36">
        <v>5.306E-4</v>
      </c>
      <c r="Q39" s="32">
        <v>1532.0</v>
      </c>
      <c r="R39" s="34">
        <v>0.0011585</v>
      </c>
      <c r="S39" s="34">
        <v>1.0</v>
      </c>
      <c r="T39" s="34">
        <v>4.861E-4</v>
      </c>
    </row>
    <row r="40">
      <c r="A40" s="31" t="s">
        <v>635</v>
      </c>
      <c r="B40" s="37">
        <v>46113.0</v>
      </c>
      <c r="C40" s="34">
        <v>11.0</v>
      </c>
      <c r="D40" s="34">
        <v>74.3</v>
      </c>
      <c r="E40" s="34">
        <v>11.5</v>
      </c>
      <c r="F40" s="34">
        <v>855.0</v>
      </c>
      <c r="G40" s="35">
        <v>0.694</v>
      </c>
      <c r="H40" s="35">
        <v>0.306</v>
      </c>
      <c r="I40" s="34">
        <v>10.0</v>
      </c>
      <c r="J40" s="35">
        <v>0.034</v>
      </c>
      <c r="K40" s="34">
        <v>290.0</v>
      </c>
      <c r="L40" s="34">
        <v>0.0022001</v>
      </c>
      <c r="M40" s="34">
        <v>0.0015014</v>
      </c>
      <c r="N40" s="36">
        <v>2.508E-4</v>
      </c>
      <c r="O40" s="34">
        <v>5.087E-4</v>
      </c>
      <c r="P40" s="34">
        <v>5.087E-4</v>
      </c>
      <c r="Q40" s="34">
        <v>563.0</v>
      </c>
      <c r="R40" s="34">
        <v>0.0010227</v>
      </c>
      <c r="S40" s="34">
        <v>2.0</v>
      </c>
      <c r="T40" s="34">
        <v>2.778E-4</v>
      </c>
    </row>
    <row r="41">
      <c r="A41" s="31" t="s">
        <v>1463</v>
      </c>
      <c r="B41" s="37">
        <v>46113.0</v>
      </c>
      <c r="C41" s="34">
        <v>13.0</v>
      </c>
      <c r="D41" s="34">
        <v>95.0</v>
      </c>
      <c r="E41" s="34">
        <v>10.7</v>
      </c>
      <c r="F41" s="32">
        <v>1013.0</v>
      </c>
      <c r="G41" s="35">
        <v>0.476</v>
      </c>
      <c r="H41" s="35">
        <v>0.524</v>
      </c>
      <c r="I41" s="34">
        <v>28.0</v>
      </c>
      <c r="J41" s="35">
        <v>0.085</v>
      </c>
      <c r="K41" s="34">
        <v>330.0</v>
      </c>
      <c r="L41" s="34">
        <v>0.0013838</v>
      </c>
      <c r="M41" s="34">
        <v>9.256E-4</v>
      </c>
      <c r="N41" s="36">
        <v>4.917E-5</v>
      </c>
      <c r="O41" s="34">
        <v>3.871E-4</v>
      </c>
      <c r="P41" s="34">
        <v>3.871E-4</v>
      </c>
      <c r="Q41" s="32">
        <v>683.0</v>
      </c>
      <c r="R41" s="34">
        <v>8.584E-4</v>
      </c>
      <c r="S41" s="34">
        <v>0.0</v>
      </c>
      <c r="T41" s="39"/>
    </row>
    <row r="42">
      <c r="A42" s="31" t="s">
        <v>657</v>
      </c>
      <c r="B42" s="37">
        <v>46113.0</v>
      </c>
      <c r="C42" s="34">
        <v>13.0</v>
      </c>
      <c r="D42" s="34">
        <v>105.4</v>
      </c>
      <c r="E42" s="34">
        <v>7.4</v>
      </c>
      <c r="F42" s="32">
        <v>783.0</v>
      </c>
      <c r="G42" s="35">
        <v>0.677</v>
      </c>
      <c r="H42" s="35">
        <v>0.323</v>
      </c>
      <c r="I42" s="34">
        <v>1.0</v>
      </c>
      <c r="J42" s="35">
        <v>0.005</v>
      </c>
      <c r="K42" s="34">
        <v>221.0</v>
      </c>
      <c r="L42" s="34">
        <v>8.964E-4</v>
      </c>
      <c r="M42" s="34">
        <v>8.091E-4</v>
      </c>
      <c r="N42" s="36">
        <v>8.83E-5</v>
      </c>
      <c r="O42" s="36">
        <v>7.793E-5</v>
      </c>
      <c r="P42" s="36">
        <v>7.793E-5</v>
      </c>
      <c r="Q42" s="32">
        <v>561.0</v>
      </c>
      <c r="R42" s="34">
        <v>8.611E-4</v>
      </c>
      <c r="S42" s="34">
        <v>1.0</v>
      </c>
      <c r="T42" s="36">
        <v>4.745E-4</v>
      </c>
    </row>
    <row r="43">
      <c r="A43" s="31" t="s">
        <v>1464</v>
      </c>
      <c r="B43" s="37">
        <v>46113.0</v>
      </c>
      <c r="C43" s="34">
        <v>9.0</v>
      </c>
      <c r="D43" s="34">
        <v>64.6</v>
      </c>
      <c r="E43" s="34">
        <v>6.8</v>
      </c>
      <c r="F43" s="32">
        <v>438.0</v>
      </c>
      <c r="G43" s="35">
        <v>0.482</v>
      </c>
      <c r="H43" s="35">
        <v>0.518</v>
      </c>
      <c r="I43" s="34">
        <v>0.0</v>
      </c>
      <c r="J43" s="35">
        <v>0.0</v>
      </c>
      <c r="K43" s="34">
        <v>122.0</v>
      </c>
      <c r="L43" s="34">
        <v>0.0012535</v>
      </c>
      <c r="M43" s="34">
        <v>8.551E-4</v>
      </c>
      <c r="N43" s="36">
        <v>9.098E-5</v>
      </c>
      <c r="O43" s="36">
        <v>3.013E-4</v>
      </c>
      <c r="P43" s="36">
        <v>3.013E-4</v>
      </c>
      <c r="Q43" s="32">
        <v>316.0</v>
      </c>
      <c r="R43" s="34">
        <v>6.458E-4</v>
      </c>
      <c r="S43" s="34">
        <v>0.0</v>
      </c>
      <c r="T43" s="39"/>
    </row>
    <row r="44">
      <c r="A44" s="31" t="s">
        <v>707</v>
      </c>
      <c r="B44" s="37">
        <v>46113.0</v>
      </c>
      <c r="C44" s="34">
        <v>14.0</v>
      </c>
      <c r="D44" s="34">
        <v>102.7</v>
      </c>
      <c r="E44" s="34">
        <v>11.1</v>
      </c>
      <c r="F44" s="32">
        <v>1137.0</v>
      </c>
      <c r="G44" s="35">
        <v>0.637</v>
      </c>
      <c r="H44" s="35">
        <v>0.363</v>
      </c>
      <c r="I44" s="34">
        <v>19.0</v>
      </c>
      <c r="J44" s="35">
        <v>0.054</v>
      </c>
      <c r="K44" s="34">
        <v>351.0</v>
      </c>
      <c r="L44" s="34">
        <v>0.0019136</v>
      </c>
      <c r="M44" s="34">
        <v>0.001171</v>
      </c>
      <c r="N44" s="36">
        <v>9.817E-5</v>
      </c>
      <c r="O44" s="36">
        <v>5.983E-4</v>
      </c>
      <c r="P44" s="36">
        <v>5.983E-4</v>
      </c>
      <c r="Q44" s="32">
        <v>785.0</v>
      </c>
      <c r="R44" s="34">
        <v>8.723E-4</v>
      </c>
      <c r="S44" s="34">
        <v>1.0</v>
      </c>
      <c r="T44" s="34">
        <v>3.356E-4</v>
      </c>
    </row>
    <row r="45">
      <c r="A45" s="31" t="s">
        <v>738</v>
      </c>
      <c r="B45" s="37">
        <v>46113.0</v>
      </c>
      <c r="C45" s="34">
        <v>21.0</v>
      </c>
      <c r="D45" s="34">
        <v>99.8</v>
      </c>
      <c r="E45" s="34">
        <v>5.7</v>
      </c>
      <c r="F45" s="32">
        <v>571.0</v>
      </c>
      <c r="G45" s="35">
        <v>0.84</v>
      </c>
      <c r="H45" s="35">
        <v>0.16</v>
      </c>
      <c r="I45" s="34">
        <v>2.0</v>
      </c>
      <c r="J45" s="35">
        <v>0.011</v>
      </c>
      <c r="K45" s="34">
        <v>181.0</v>
      </c>
      <c r="L45" s="34">
        <v>0.0013299</v>
      </c>
      <c r="M45" s="34">
        <v>9.965E-4</v>
      </c>
      <c r="N45" s="36">
        <v>8.211E-5</v>
      </c>
      <c r="O45" s="34">
        <v>2.619E-4</v>
      </c>
      <c r="P45" s="34">
        <v>2.619E-4</v>
      </c>
      <c r="Q45" s="34">
        <v>390.0</v>
      </c>
      <c r="R45" s="34">
        <v>7.361E-4</v>
      </c>
      <c r="S45" s="34">
        <v>0.0</v>
      </c>
      <c r="T45" s="38"/>
    </row>
    <row r="46">
      <c r="A46" s="31" t="s">
        <v>1465</v>
      </c>
      <c r="B46" s="37">
        <v>46113.0</v>
      </c>
      <c r="C46" s="34">
        <v>24.0</v>
      </c>
      <c r="D46" s="34">
        <v>96.2</v>
      </c>
      <c r="E46" s="34">
        <v>15.6</v>
      </c>
      <c r="F46" s="32">
        <v>1505.0</v>
      </c>
      <c r="G46" s="35">
        <v>0.658</v>
      </c>
      <c r="H46" s="35">
        <v>0.342</v>
      </c>
      <c r="I46" s="34">
        <v>1.0</v>
      </c>
      <c r="J46" s="35">
        <v>0.019</v>
      </c>
      <c r="K46" s="34">
        <v>54.0</v>
      </c>
      <c r="L46" s="34">
        <v>0.0015205</v>
      </c>
      <c r="M46" s="34">
        <v>0.0013344</v>
      </c>
      <c r="N46" s="36">
        <v>4.514E-4</v>
      </c>
      <c r="O46" s="36">
        <v>1.082E-4</v>
      </c>
      <c r="P46" s="36">
        <v>1.082E-4</v>
      </c>
      <c r="Q46" s="32">
        <v>1450.0</v>
      </c>
      <c r="R46" s="34">
        <v>8.867E-4</v>
      </c>
      <c r="S46" s="34">
        <v>1.0</v>
      </c>
      <c r="T46" s="34">
        <v>0.0018634</v>
      </c>
    </row>
    <row r="47">
      <c r="A47" s="31" t="s">
        <v>1466</v>
      </c>
      <c r="B47" s="37">
        <v>46113.0</v>
      </c>
      <c r="C47" s="34">
        <v>14.0</v>
      </c>
      <c r="D47" s="34">
        <v>91.3</v>
      </c>
      <c r="E47" s="34">
        <v>13.7</v>
      </c>
      <c r="F47" s="32">
        <v>1249.0</v>
      </c>
      <c r="G47" s="35">
        <v>0.523</v>
      </c>
      <c r="H47" s="35">
        <v>0.477</v>
      </c>
      <c r="I47" s="34">
        <v>44.0</v>
      </c>
      <c r="J47" s="35">
        <v>0.088</v>
      </c>
      <c r="K47" s="34">
        <v>500.0</v>
      </c>
      <c r="L47" s="34">
        <v>0.0011579</v>
      </c>
      <c r="M47" s="34">
        <v>9.743E-4</v>
      </c>
      <c r="N47" s="36">
        <v>9.942E-5</v>
      </c>
      <c r="O47" s="36">
        <v>9.174E-5</v>
      </c>
      <c r="P47" s="36">
        <v>9.174E-5</v>
      </c>
      <c r="Q47" s="32">
        <v>749.0</v>
      </c>
      <c r="R47" s="34">
        <v>7.983E-4</v>
      </c>
      <c r="S47" s="34">
        <v>0.0</v>
      </c>
      <c r="T47" s="39"/>
    </row>
    <row r="48">
      <c r="A48" s="31" t="s">
        <v>758</v>
      </c>
      <c r="B48" s="37">
        <v>46113.0</v>
      </c>
      <c r="C48" s="34">
        <v>24.0</v>
      </c>
      <c r="D48" s="34">
        <v>124.4</v>
      </c>
      <c r="E48" s="34">
        <v>15.4</v>
      </c>
      <c r="F48" s="32">
        <v>1913.0</v>
      </c>
      <c r="G48" s="35">
        <v>0.93</v>
      </c>
      <c r="H48" s="35">
        <v>0.07</v>
      </c>
      <c r="I48" s="34">
        <v>17.0</v>
      </c>
      <c r="J48" s="35">
        <v>0.029</v>
      </c>
      <c r="K48" s="34">
        <v>580.0</v>
      </c>
      <c r="L48" s="34">
        <v>0.0016089</v>
      </c>
      <c r="M48" s="34">
        <v>0.0012556</v>
      </c>
      <c r="N48" s="36">
        <v>6.94E-5</v>
      </c>
      <c r="O48" s="34">
        <v>2.497E-4</v>
      </c>
      <c r="P48" s="34">
        <v>2.497E-4</v>
      </c>
      <c r="Q48" s="32">
        <v>1333.0</v>
      </c>
      <c r="R48" s="34">
        <v>8.974E-4</v>
      </c>
      <c r="S48" s="34">
        <v>0.0</v>
      </c>
      <c r="T48" s="39"/>
    </row>
    <row r="49">
      <c r="A49" s="31" t="s">
        <v>1467</v>
      </c>
      <c r="B49" s="37">
        <v>46113.0</v>
      </c>
      <c r="C49" s="34">
        <v>5.0</v>
      </c>
      <c r="D49" s="34">
        <v>27.1</v>
      </c>
      <c r="E49" s="34">
        <v>9.0</v>
      </c>
      <c r="F49" s="32">
        <v>243.0</v>
      </c>
      <c r="G49" s="35">
        <v>0.311</v>
      </c>
      <c r="H49" s="35">
        <v>0.689</v>
      </c>
      <c r="I49" s="34">
        <v>1.0</v>
      </c>
      <c r="J49" s="35">
        <v>0.043</v>
      </c>
      <c r="K49" s="34">
        <v>23.0</v>
      </c>
      <c r="L49" s="34">
        <v>0.0014528</v>
      </c>
      <c r="M49" s="34">
        <v>0.0010336</v>
      </c>
      <c r="N49" s="36">
        <v>1.635E-4</v>
      </c>
      <c r="O49" s="36">
        <v>2.325E-4</v>
      </c>
      <c r="P49" s="36">
        <v>2.325E-4</v>
      </c>
      <c r="Q49" s="32">
        <v>220.0</v>
      </c>
      <c r="R49" s="34">
        <v>8.26E-4</v>
      </c>
      <c r="S49" s="34">
        <v>0.0</v>
      </c>
      <c r="T49" s="39"/>
    </row>
    <row r="50">
      <c r="A50" s="31" t="s">
        <v>791</v>
      </c>
      <c r="B50" s="37">
        <v>46113.0</v>
      </c>
      <c r="C50" s="34">
        <v>18.0</v>
      </c>
      <c r="D50" s="34">
        <v>116.0</v>
      </c>
      <c r="E50" s="34">
        <v>8.0</v>
      </c>
      <c r="F50" s="32">
        <v>928.0</v>
      </c>
      <c r="G50" s="35">
        <v>0.725</v>
      </c>
      <c r="H50" s="35">
        <v>0.275</v>
      </c>
      <c r="I50" s="34">
        <v>23.0</v>
      </c>
      <c r="J50" s="35">
        <v>0.093</v>
      </c>
      <c r="K50" s="34">
        <v>248.0</v>
      </c>
      <c r="L50" s="34">
        <v>0.0017847</v>
      </c>
      <c r="M50" s="34">
        <v>0.0011575</v>
      </c>
      <c r="N50" s="36">
        <v>1.33E-4</v>
      </c>
      <c r="O50" s="36">
        <v>1.911E-4</v>
      </c>
      <c r="P50" s="36">
        <v>1.911E-4</v>
      </c>
      <c r="Q50" s="32">
        <v>678.0</v>
      </c>
      <c r="R50" s="34">
        <v>7.745E-4</v>
      </c>
      <c r="S50" s="34">
        <v>2.0</v>
      </c>
      <c r="T50" s="36">
        <v>2.662E-4</v>
      </c>
    </row>
    <row r="51">
      <c r="A51" s="31" t="s">
        <v>802</v>
      </c>
      <c r="B51" s="37">
        <v>46113.0</v>
      </c>
      <c r="C51" s="34">
        <v>3.0</v>
      </c>
      <c r="D51" s="34">
        <v>0.1</v>
      </c>
      <c r="E51" s="34">
        <v>59.2</v>
      </c>
      <c r="F51" s="32">
        <v>6.0</v>
      </c>
      <c r="G51" s="35">
        <v>1.0</v>
      </c>
      <c r="H51" s="35">
        <v>0.0</v>
      </c>
      <c r="I51" s="34">
        <v>0.0</v>
      </c>
      <c r="J51" s="40"/>
      <c r="K51" s="34">
        <v>0.0</v>
      </c>
      <c r="L51" s="39"/>
      <c r="M51" s="39"/>
      <c r="N51" s="38"/>
      <c r="O51" s="39"/>
      <c r="P51" s="39"/>
      <c r="Q51" s="32">
        <v>6.0</v>
      </c>
      <c r="R51" s="34">
        <v>5.285E-4</v>
      </c>
      <c r="S51" s="34">
        <v>0.0</v>
      </c>
      <c r="T51" s="39"/>
    </row>
    <row r="52">
      <c r="A52" s="31" t="s">
        <v>817</v>
      </c>
      <c r="B52" s="37">
        <v>46113.0</v>
      </c>
      <c r="C52" s="34">
        <v>14.0</v>
      </c>
      <c r="D52" s="34">
        <v>122.7</v>
      </c>
      <c r="E52" s="34">
        <v>11.5</v>
      </c>
      <c r="F52" s="32">
        <v>1417.0</v>
      </c>
      <c r="G52" s="35">
        <v>0.727</v>
      </c>
      <c r="H52" s="35">
        <v>0.273</v>
      </c>
      <c r="I52" s="34">
        <v>0.0</v>
      </c>
      <c r="J52" s="35">
        <v>0.0</v>
      </c>
      <c r="K52" s="34">
        <v>137.0</v>
      </c>
      <c r="L52" s="34">
        <v>0.0023857</v>
      </c>
      <c r="M52" s="34">
        <v>0.0014448</v>
      </c>
      <c r="N52" s="36">
        <v>5.053E-4</v>
      </c>
      <c r="O52" s="34">
        <v>5.768E-4</v>
      </c>
      <c r="P52" s="34">
        <v>5.768E-4</v>
      </c>
      <c r="Q52" s="32">
        <v>1278.0</v>
      </c>
      <c r="R52" s="34">
        <v>8.965E-4</v>
      </c>
      <c r="S52" s="34">
        <v>2.0</v>
      </c>
      <c r="T52" s="36">
        <v>5.093E-4</v>
      </c>
    </row>
    <row r="53">
      <c r="A53" s="31" t="s">
        <v>1468</v>
      </c>
      <c r="B53" s="37">
        <v>46113.0</v>
      </c>
      <c r="C53" s="34">
        <v>1.0</v>
      </c>
      <c r="D53" s="34">
        <v>1.2</v>
      </c>
      <c r="E53" s="34">
        <v>0.9</v>
      </c>
      <c r="F53" s="32">
        <v>1.0</v>
      </c>
      <c r="G53" s="35">
        <v>0.002</v>
      </c>
      <c r="H53" s="35">
        <v>0.998</v>
      </c>
      <c r="I53" s="34">
        <v>0.0</v>
      </c>
      <c r="J53" s="40"/>
      <c r="K53" s="34">
        <v>0.0</v>
      </c>
      <c r="L53" s="39"/>
      <c r="M53" s="39"/>
      <c r="N53" s="38"/>
      <c r="O53" s="38"/>
      <c r="P53" s="38"/>
      <c r="Q53" s="32">
        <v>1.0</v>
      </c>
      <c r="R53" s="34">
        <v>2.546E-4</v>
      </c>
      <c r="S53" s="34">
        <v>0.0</v>
      </c>
      <c r="T53" s="39"/>
    </row>
    <row r="54">
      <c r="A54" s="31" t="s">
        <v>829</v>
      </c>
      <c r="B54" s="37">
        <v>46113.0</v>
      </c>
      <c r="C54" s="34">
        <v>7.0</v>
      </c>
      <c r="D54" s="34">
        <v>4.5</v>
      </c>
      <c r="E54" s="34">
        <v>7.6</v>
      </c>
      <c r="F54" s="32">
        <v>34.0</v>
      </c>
      <c r="G54" s="35">
        <v>0.397</v>
      </c>
      <c r="H54" s="35">
        <v>0.603</v>
      </c>
      <c r="I54" s="34">
        <v>0.0</v>
      </c>
      <c r="J54" s="40"/>
      <c r="K54" s="34">
        <v>0.0</v>
      </c>
      <c r="L54" s="39"/>
      <c r="M54" s="39"/>
      <c r="N54" s="38"/>
      <c r="O54" s="39"/>
      <c r="P54" s="39"/>
      <c r="Q54" s="32">
        <v>33.0</v>
      </c>
      <c r="R54" s="34">
        <v>8.389E-4</v>
      </c>
      <c r="S54" s="34">
        <v>1.0</v>
      </c>
      <c r="T54" s="34">
        <v>5.44E-4</v>
      </c>
    </row>
    <row r="55">
      <c r="A55" s="31" t="s">
        <v>837</v>
      </c>
      <c r="B55" s="37">
        <v>46113.0</v>
      </c>
      <c r="C55" s="34">
        <v>7.0</v>
      </c>
      <c r="D55" s="34">
        <v>6.0</v>
      </c>
      <c r="E55" s="34">
        <v>3.8</v>
      </c>
      <c r="F55" s="32">
        <v>23.0</v>
      </c>
      <c r="G55" s="35">
        <v>0.0</v>
      </c>
      <c r="H55" s="35">
        <v>1.0</v>
      </c>
      <c r="I55" s="34">
        <v>0.0</v>
      </c>
      <c r="J55" s="40"/>
      <c r="K55" s="32">
        <v>0.0</v>
      </c>
      <c r="L55" s="39"/>
      <c r="M55" s="39"/>
      <c r="N55" s="38"/>
      <c r="O55" s="38"/>
      <c r="P55" s="38"/>
      <c r="Q55" s="32">
        <v>21.0</v>
      </c>
      <c r="R55" s="34">
        <v>0.0010422</v>
      </c>
      <c r="S55" s="34">
        <v>2.0</v>
      </c>
      <c r="T55" s="34">
        <v>5.498E-4</v>
      </c>
    </row>
    <row r="56">
      <c r="A56" s="31" t="s">
        <v>1469</v>
      </c>
      <c r="B56" s="37">
        <v>46113.0</v>
      </c>
      <c r="C56" s="34">
        <v>2.0</v>
      </c>
      <c r="D56" s="34">
        <v>0.3</v>
      </c>
      <c r="E56" s="34">
        <v>5.7</v>
      </c>
      <c r="F56" s="32">
        <v>2.0</v>
      </c>
      <c r="G56" s="35">
        <v>0.0</v>
      </c>
      <c r="H56" s="35">
        <v>1.0</v>
      </c>
      <c r="I56" s="34">
        <v>0.0</v>
      </c>
      <c r="J56" s="40"/>
      <c r="K56" s="34">
        <v>0.0</v>
      </c>
      <c r="L56" s="39"/>
      <c r="M56" s="39"/>
      <c r="N56" s="38"/>
      <c r="O56" s="39"/>
      <c r="P56" s="39"/>
      <c r="Q56" s="32">
        <v>1.0</v>
      </c>
      <c r="R56" s="34">
        <v>7.755E-4</v>
      </c>
      <c r="S56" s="34">
        <v>1.0</v>
      </c>
      <c r="T56" s="34">
        <v>3.356E-4</v>
      </c>
    </row>
    <row r="57">
      <c r="A57" s="31" t="s">
        <v>844</v>
      </c>
      <c r="B57" s="37">
        <v>46113.0</v>
      </c>
      <c r="C57" s="34">
        <v>13.0</v>
      </c>
      <c r="D57" s="34">
        <v>104.2</v>
      </c>
      <c r="E57" s="34">
        <v>10.2</v>
      </c>
      <c r="F57" s="32">
        <v>1064.0</v>
      </c>
      <c r="G57" s="35">
        <v>0.64</v>
      </c>
      <c r="H57" s="35">
        <v>0.36</v>
      </c>
      <c r="I57" s="34">
        <v>24.0</v>
      </c>
      <c r="J57" s="35">
        <v>0.067</v>
      </c>
      <c r="K57" s="34">
        <v>357.0</v>
      </c>
      <c r="L57" s="34">
        <v>0.0021213</v>
      </c>
      <c r="M57" s="34">
        <v>0.00164</v>
      </c>
      <c r="N57" s="36">
        <v>1.071E-4</v>
      </c>
      <c r="O57" s="34">
        <v>3.534E-4</v>
      </c>
      <c r="P57" s="34">
        <v>3.534E-4</v>
      </c>
      <c r="Q57" s="32">
        <v>704.0</v>
      </c>
      <c r="R57" s="34">
        <v>9.608E-4</v>
      </c>
      <c r="S57" s="34">
        <v>3.0</v>
      </c>
      <c r="T57" s="36">
        <v>0.0013349</v>
      </c>
    </row>
    <row r="58">
      <c r="A58" s="31" t="s">
        <v>856</v>
      </c>
      <c r="B58" s="37">
        <v>46113.0</v>
      </c>
      <c r="C58" s="34">
        <v>15.0</v>
      </c>
      <c r="D58" s="34">
        <v>111.1</v>
      </c>
      <c r="E58" s="34">
        <v>16.6</v>
      </c>
      <c r="F58" s="32">
        <v>1842.0</v>
      </c>
      <c r="G58" s="35">
        <v>0.35</v>
      </c>
      <c r="H58" s="35">
        <v>0.65</v>
      </c>
      <c r="I58" s="34">
        <v>12.0</v>
      </c>
      <c r="J58" s="35">
        <v>0.032</v>
      </c>
      <c r="K58" s="34">
        <v>372.0</v>
      </c>
      <c r="L58" s="34">
        <v>0.002014</v>
      </c>
      <c r="M58" s="34">
        <v>0.0012564</v>
      </c>
      <c r="N58" s="36">
        <v>7.778E-5</v>
      </c>
      <c r="O58" s="34">
        <v>6.41E-4</v>
      </c>
      <c r="P58" s="34">
        <v>6.41E-4</v>
      </c>
      <c r="Q58" s="32">
        <v>1470.0</v>
      </c>
      <c r="R58" s="34">
        <v>9.286E-4</v>
      </c>
      <c r="S58" s="34">
        <v>0.0</v>
      </c>
      <c r="T58" s="38"/>
    </row>
    <row r="59">
      <c r="A59" s="31" t="s">
        <v>864</v>
      </c>
      <c r="B59" s="37">
        <v>46113.0</v>
      </c>
      <c r="C59" s="34">
        <v>16.0</v>
      </c>
      <c r="D59" s="34">
        <v>53.9</v>
      </c>
      <c r="E59" s="34">
        <v>11.2</v>
      </c>
      <c r="F59" s="32">
        <v>601.0</v>
      </c>
      <c r="G59" s="35">
        <v>0.467</v>
      </c>
      <c r="H59" s="35">
        <v>0.533</v>
      </c>
      <c r="I59" s="34">
        <v>1.0</v>
      </c>
      <c r="J59" s="35">
        <v>0.02</v>
      </c>
      <c r="K59" s="34">
        <v>49.0</v>
      </c>
      <c r="L59" s="34">
        <v>0.0020335</v>
      </c>
      <c r="M59" s="34">
        <v>7.937E-4</v>
      </c>
      <c r="N59" s="36">
        <v>7.842E-5</v>
      </c>
      <c r="O59" s="36">
        <v>0.0011413</v>
      </c>
      <c r="P59" s="36">
        <v>0.0011413</v>
      </c>
      <c r="Q59" s="32">
        <v>552.0</v>
      </c>
      <c r="R59" s="34">
        <v>8.534E-4</v>
      </c>
      <c r="S59" s="34">
        <v>0.0</v>
      </c>
      <c r="T59" s="38"/>
    </row>
    <row r="60">
      <c r="A60" s="31" t="s">
        <v>1470</v>
      </c>
      <c r="B60" s="37">
        <v>46113.0</v>
      </c>
      <c r="C60" s="34">
        <v>8.0</v>
      </c>
      <c r="D60" s="34">
        <v>50.3</v>
      </c>
      <c r="E60" s="34">
        <v>12.2</v>
      </c>
      <c r="F60" s="32">
        <v>613.0</v>
      </c>
      <c r="G60" s="35">
        <v>0.769</v>
      </c>
      <c r="H60" s="35">
        <v>0.231</v>
      </c>
      <c r="I60" s="34">
        <v>12.0</v>
      </c>
      <c r="J60" s="35">
        <v>0.04</v>
      </c>
      <c r="K60" s="34">
        <v>299.0</v>
      </c>
      <c r="L60" s="34">
        <v>0.0017968</v>
      </c>
      <c r="M60" s="34">
        <v>9.596E-4</v>
      </c>
      <c r="N60" s="36">
        <v>1.846E-4</v>
      </c>
      <c r="O60" s="34">
        <v>5.996E-4</v>
      </c>
      <c r="P60" s="34">
        <v>5.996E-4</v>
      </c>
      <c r="Q60" s="34">
        <v>313.0</v>
      </c>
      <c r="R60" s="34">
        <v>8.345E-4</v>
      </c>
      <c r="S60" s="34">
        <v>1.0</v>
      </c>
      <c r="T60" s="34">
        <v>4.514E-4</v>
      </c>
    </row>
    <row r="61">
      <c r="A61" s="31" t="s">
        <v>888</v>
      </c>
      <c r="B61" s="37">
        <v>46113.0</v>
      </c>
      <c r="C61" s="34">
        <v>14.0</v>
      </c>
      <c r="D61" s="34">
        <v>101.0</v>
      </c>
      <c r="E61" s="34">
        <v>33.6</v>
      </c>
      <c r="F61" s="32">
        <v>3395.0</v>
      </c>
      <c r="G61" s="35">
        <v>0.618</v>
      </c>
      <c r="H61" s="35">
        <v>0.382</v>
      </c>
      <c r="I61" s="34">
        <v>5.0</v>
      </c>
      <c r="J61" s="35">
        <v>0.048</v>
      </c>
      <c r="K61" s="34">
        <v>105.0</v>
      </c>
      <c r="L61" s="34">
        <v>0.0019291</v>
      </c>
      <c r="M61" s="34">
        <v>0.0010744</v>
      </c>
      <c r="N61" s="36">
        <v>1.894E-4</v>
      </c>
      <c r="O61" s="36">
        <v>5.229E-4</v>
      </c>
      <c r="P61" s="36">
        <v>5.229E-4</v>
      </c>
      <c r="Q61" s="32">
        <v>3289.0</v>
      </c>
      <c r="R61" s="34">
        <v>5.847E-4</v>
      </c>
      <c r="S61" s="34">
        <v>1.0</v>
      </c>
      <c r="T61" s="36">
        <v>1.968E-4</v>
      </c>
    </row>
    <row r="62">
      <c r="A62" s="31" t="s">
        <v>900</v>
      </c>
      <c r="B62" s="37">
        <v>46113.0</v>
      </c>
      <c r="C62" s="34">
        <v>16.0</v>
      </c>
      <c r="D62" s="34">
        <v>120.3</v>
      </c>
      <c r="E62" s="34">
        <v>10.9</v>
      </c>
      <c r="F62" s="32">
        <v>1312.0</v>
      </c>
      <c r="G62" s="35">
        <v>0.523</v>
      </c>
      <c r="H62" s="35">
        <v>0.477</v>
      </c>
      <c r="I62" s="34">
        <v>8.0</v>
      </c>
      <c r="J62" s="35">
        <v>0.021</v>
      </c>
      <c r="K62" s="34">
        <v>376.0</v>
      </c>
      <c r="L62" s="34">
        <v>0.0027511</v>
      </c>
      <c r="M62" s="34">
        <v>0.0011191</v>
      </c>
      <c r="N62" s="36">
        <v>3.438E-5</v>
      </c>
      <c r="O62" s="34">
        <v>0.0014947</v>
      </c>
      <c r="P62" s="34">
        <v>0.0014947</v>
      </c>
      <c r="Q62" s="32">
        <v>935.0</v>
      </c>
      <c r="R62" s="34">
        <v>9.478E-4</v>
      </c>
      <c r="S62" s="34">
        <v>1.0</v>
      </c>
      <c r="T62" s="34">
        <v>0.0018287</v>
      </c>
    </row>
    <row r="63">
      <c r="A63" s="31" t="s">
        <v>908</v>
      </c>
      <c r="B63" s="37">
        <v>46113.0</v>
      </c>
      <c r="C63" s="34">
        <v>5.0</v>
      </c>
      <c r="D63" s="34">
        <v>4.3</v>
      </c>
      <c r="E63" s="34">
        <v>7.5</v>
      </c>
      <c r="F63" s="32">
        <v>32.0</v>
      </c>
      <c r="G63" s="35">
        <v>0.002</v>
      </c>
      <c r="H63" s="35">
        <v>0.998</v>
      </c>
      <c r="I63" s="34">
        <v>0.0</v>
      </c>
      <c r="J63" s="40"/>
      <c r="K63" s="34">
        <v>0.0</v>
      </c>
      <c r="L63" s="39"/>
      <c r="M63" s="39"/>
      <c r="N63" s="38"/>
      <c r="O63" s="38"/>
      <c r="P63" s="38"/>
      <c r="Q63" s="32">
        <v>30.0</v>
      </c>
      <c r="R63" s="34">
        <v>0.0011655</v>
      </c>
      <c r="S63" s="34">
        <v>2.0</v>
      </c>
      <c r="T63" s="36">
        <v>0.0010938</v>
      </c>
    </row>
    <row r="64">
      <c r="A64" s="31" t="s">
        <v>916</v>
      </c>
      <c r="B64" s="37">
        <v>46113.0</v>
      </c>
      <c r="C64" s="34">
        <v>16.0</v>
      </c>
      <c r="D64" s="34">
        <v>119.9</v>
      </c>
      <c r="E64" s="34">
        <v>8.8</v>
      </c>
      <c r="F64" s="32">
        <v>1052.0</v>
      </c>
      <c r="G64" s="35">
        <v>0.749</v>
      </c>
      <c r="H64" s="35">
        <v>0.251</v>
      </c>
      <c r="I64" s="34">
        <v>7.0</v>
      </c>
      <c r="J64" s="35">
        <v>0.011</v>
      </c>
      <c r="K64" s="34">
        <v>648.0</v>
      </c>
      <c r="L64" s="34">
        <v>0.0012732</v>
      </c>
      <c r="M64" s="34">
        <v>0.0011193</v>
      </c>
      <c r="N64" s="36">
        <v>2.017E-5</v>
      </c>
      <c r="O64" s="36">
        <v>1.327E-4</v>
      </c>
      <c r="P64" s="36">
        <v>1.327E-4</v>
      </c>
      <c r="Q64" s="32">
        <v>404.0</v>
      </c>
      <c r="R64" s="34">
        <v>7.962E-4</v>
      </c>
      <c r="S64" s="34">
        <v>0.0</v>
      </c>
      <c r="T64" s="39"/>
    </row>
    <row r="65">
      <c r="A65" s="31" t="s">
        <v>924</v>
      </c>
      <c r="B65" s="37">
        <v>46113.0</v>
      </c>
      <c r="C65" s="34">
        <v>12.0</v>
      </c>
      <c r="D65" s="34">
        <v>80.6</v>
      </c>
      <c r="E65" s="34">
        <v>18.3</v>
      </c>
      <c r="F65" s="32">
        <v>1471.0</v>
      </c>
      <c r="G65" s="35">
        <v>0.528</v>
      </c>
      <c r="H65" s="35">
        <v>0.472</v>
      </c>
      <c r="I65" s="34">
        <v>14.0</v>
      </c>
      <c r="J65" s="35">
        <v>0.055</v>
      </c>
      <c r="K65" s="34">
        <v>256.0</v>
      </c>
      <c r="L65" s="34">
        <v>0.0015726</v>
      </c>
      <c r="M65" s="34">
        <v>8.128E-4</v>
      </c>
      <c r="N65" s="36">
        <v>4.114E-6</v>
      </c>
      <c r="O65" s="34">
        <v>6.539E-4</v>
      </c>
      <c r="P65" s="34">
        <v>6.539E-4</v>
      </c>
      <c r="Q65" s="32">
        <v>1215.0</v>
      </c>
      <c r="R65" s="34">
        <v>6.359E-4</v>
      </c>
      <c r="S65" s="34">
        <v>0.0</v>
      </c>
      <c r="T65" s="39"/>
    </row>
    <row r="66">
      <c r="A66" s="31" t="s">
        <v>936</v>
      </c>
      <c r="B66" s="37">
        <v>46113.0</v>
      </c>
      <c r="C66" s="34">
        <v>15.0</v>
      </c>
      <c r="D66" s="34">
        <v>126.6</v>
      </c>
      <c r="E66" s="34">
        <v>17.3</v>
      </c>
      <c r="F66" s="32">
        <v>2195.0</v>
      </c>
      <c r="G66" s="35">
        <v>0.521</v>
      </c>
      <c r="H66" s="35">
        <v>0.479</v>
      </c>
      <c r="I66" s="34">
        <v>44.0</v>
      </c>
      <c r="J66" s="35">
        <v>0.065</v>
      </c>
      <c r="K66" s="34">
        <v>680.0</v>
      </c>
      <c r="L66" s="34">
        <v>0.0019169</v>
      </c>
      <c r="M66" s="34">
        <v>0.001445</v>
      </c>
      <c r="N66" s="36">
        <v>5.702E-5</v>
      </c>
      <c r="O66" s="36">
        <v>3.657E-4</v>
      </c>
      <c r="P66" s="36">
        <v>3.657E-4</v>
      </c>
      <c r="Q66" s="32">
        <v>1515.0</v>
      </c>
      <c r="R66" s="34">
        <v>0.0010119</v>
      </c>
      <c r="S66" s="34">
        <v>0.0</v>
      </c>
      <c r="T66" s="39"/>
    </row>
    <row r="67">
      <c r="A67" s="31" t="s">
        <v>956</v>
      </c>
      <c r="B67" s="37">
        <v>46113.0</v>
      </c>
      <c r="C67" s="34">
        <v>16.0</v>
      </c>
      <c r="D67" s="34">
        <v>126.1</v>
      </c>
      <c r="E67" s="34">
        <v>10.7</v>
      </c>
      <c r="F67" s="32">
        <v>1349.0</v>
      </c>
      <c r="G67" s="35">
        <v>0.867</v>
      </c>
      <c r="H67" s="35">
        <v>0.133</v>
      </c>
      <c r="I67" s="34">
        <v>9.0</v>
      </c>
      <c r="J67" s="35">
        <v>0.03</v>
      </c>
      <c r="K67" s="34">
        <v>301.0</v>
      </c>
      <c r="L67" s="34">
        <v>0.0017853</v>
      </c>
      <c r="M67" s="34">
        <v>9.594E-4</v>
      </c>
      <c r="N67" s="36">
        <v>1.45E-4</v>
      </c>
      <c r="O67" s="36">
        <v>7.091E-4</v>
      </c>
      <c r="P67" s="36">
        <v>7.091E-4</v>
      </c>
      <c r="Q67" s="32">
        <v>1047.0</v>
      </c>
      <c r="R67" s="34">
        <v>7.605E-4</v>
      </c>
      <c r="S67" s="34">
        <v>1.0</v>
      </c>
      <c r="T67" s="34">
        <v>6.597E-4</v>
      </c>
    </row>
    <row r="68">
      <c r="A68" s="31" t="s">
        <v>966</v>
      </c>
      <c r="B68" s="37">
        <v>46113.0</v>
      </c>
      <c r="C68" s="34">
        <v>5.0</v>
      </c>
      <c r="D68" s="34">
        <v>40.2</v>
      </c>
      <c r="E68" s="34">
        <v>10.4</v>
      </c>
      <c r="F68" s="32">
        <v>419.0</v>
      </c>
      <c r="G68" s="35">
        <v>0.583</v>
      </c>
      <c r="H68" s="35">
        <v>0.417</v>
      </c>
      <c r="I68" s="34">
        <v>4.0</v>
      </c>
      <c r="J68" s="35">
        <v>0.053</v>
      </c>
      <c r="K68" s="34">
        <v>76.0</v>
      </c>
      <c r="L68" s="34">
        <v>0.0014615</v>
      </c>
      <c r="M68" s="34">
        <v>8.897E-4</v>
      </c>
      <c r="N68" s="36">
        <v>2.374E-4</v>
      </c>
      <c r="O68" s="34">
        <v>3.736E-4</v>
      </c>
      <c r="P68" s="34">
        <v>3.736E-4</v>
      </c>
      <c r="Q68" s="34">
        <v>340.0</v>
      </c>
      <c r="R68" s="34">
        <v>0.0010067</v>
      </c>
      <c r="S68" s="34">
        <v>3.0</v>
      </c>
      <c r="T68" s="34">
        <v>0.002446</v>
      </c>
    </row>
    <row r="69">
      <c r="A69" s="31" t="s">
        <v>978</v>
      </c>
      <c r="B69" s="37">
        <v>46113.0</v>
      </c>
      <c r="C69" s="34">
        <v>16.0</v>
      </c>
      <c r="D69" s="34">
        <v>119.5</v>
      </c>
      <c r="E69" s="34">
        <v>16.0</v>
      </c>
      <c r="F69" s="32">
        <v>1911.0</v>
      </c>
      <c r="G69" s="35">
        <v>0.426</v>
      </c>
      <c r="H69" s="35">
        <v>0.574</v>
      </c>
      <c r="I69" s="34">
        <v>33.0</v>
      </c>
      <c r="J69" s="35">
        <v>0.064</v>
      </c>
      <c r="K69" s="34">
        <v>513.0</v>
      </c>
      <c r="L69" s="34">
        <v>0.0018584</v>
      </c>
      <c r="M69" s="34">
        <v>0.0012142</v>
      </c>
      <c r="N69" s="36">
        <v>5.446E-5</v>
      </c>
      <c r="O69" s="36">
        <v>5.105E-4</v>
      </c>
      <c r="P69" s="36">
        <v>5.105E-4</v>
      </c>
      <c r="Q69" s="32">
        <v>1397.0</v>
      </c>
      <c r="R69" s="36">
        <v>9.251E-4</v>
      </c>
      <c r="S69" s="34">
        <v>1.0</v>
      </c>
      <c r="T69" s="34">
        <v>2.083E-4</v>
      </c>
    </row>
    <row r="70">
      <c r="A70" s="31" t="s">
        <v>1471</v>
      </c>
      <c r="B70" s="37">
        <v>46113.0</v>
      </c>
      <c r="C70" s="34">
        <v>14.0</v>
      </c>
      <c r="D70" s="34">
        <v>59.4</v>
      </c>
      <c r="E70" s="34">
        <v>11.5</v>
      </c>
      <c r="F70" s="32">
        <v>681.0</v>
      </c>
      <c r="G70" s="35">
        <v>0.917</v>
      </c>
      <c r="H70" s="35">
        <v>0.083</v>
      </c>
      <c r="I70" s="34">
        <v>6.0</v>
      </c>
      <c r="J70" s="35">
        <v>0.022</v>
      </c>
      <c r="K70" s="34">
        <v>276.0</v>
      </c>
      <c r="L70" s="34">
        <v>0.0020939</v>
      </c>
      <c r="M70" s="34">
        <v>0.0014105</v>
      </c>
      <c r="N70" s="36">
        <v>1.221E-4</v>
      </c>
      <c r="O70" s="36">
        <v>4.864E-4</v>
      </c>
      <c r="P70" s="36">
        <v>4.864E-4</v>
      </c>
      <c r="Q70" s="34">
        <v>403.0</v>
      </c>
      <c r="R70" s="34">
        <v>9.549E-4</v>
      </c>
      <c r="S70" s="34">
        <v>2.0</v>
      </c>
      <c r="T70" s="34">
        <v>3.009E-4</v>
      </c>
    </row>
    <row r="71">
      <c r="A71" s="31" t="s">
        <v>1000</v>
      </c>
      <c r="B71" s="37">
        <v>46113.0</v>
      </c>
      <c r="C71" s="34">
        <v>14.0</v>
      </c>
      <c r="D71" s="34">
        <v>37.9</v>
      </c>
      <c r="E71" s="34">
        <v>10.7</v>
      </c>
      <c r="F71" s="34">
        <v>406.0</v>
      </c>
      <c r="G71" s="35">
        <v>0.835</v>
      </c>
      <c r="H71" s="35">
        <v>0.165</v>
      </c>
      <c r="I71" s="34">
        <v>2.0</v>
      </c>
      <c r="J71" s="35">
        <v>0.01</v>
      </c>
      <c r="K71" s="34">
        <v>207.0</v>
      </c>
      <c r="L71" s="34">
        <v>0.0013836</v>
      </c>
      <c r="M71" s="34">
        <v>0.0011393</v>
      </c>
      <c r="N71" s="36">
        <v>6.816E-5</v>
      </c>
      <c r="O71" s="36">
        <v>1.017E-4</v>
      </c>
      <c r="P71" s="36">
        <v>1.017E-4</v>
      </c>
      <c r="Q71" s="34">
        <v>197.0</v>
      </c>
      <c r="R71" s="34">
        <v>8.0E-4</v>
      </c>
      <c r="S71" s="34">
        <v>2.0</v>
      </c>
      <c r="T71" s="34">
        <v>3.356E-4</v>
      </c>
    </row>
    <row r="72">
      <c r="A72" s="31" t="s">
        <v>1012</v>
      </c>
      <c r="B72" s="37">
        <v>46113.0</v>
      </c>
      <c r="C72" s="34">
        <v>4.0</v>
      </c>
      <c r="D72" s="34">
        <v>9.1</v>
      </c>
      <c r="E72" s="34">
        <v>1.1</v>
      </c>
      <c r="F72" s="32">
        <v>10.0</v>
      </c>
      <c r="G72" s="35">
        <v>0.0</v>
      </c>
      <c r="H72" s="35">
        <v>1.0</v>
      </c>
      <c r="I72" s="34">
        <v>0.0</v>
      </c>
      <c r="J72" s="40"/>
      <c r="K72" s="34">
        <v>0.0</v>
      </c>
      <c r="L72" s="39"/>
      <c r="M72" s="39"/>
      <c r="N72" s="38"/>
      <c r="O72" s="39"/>
      <c r="P72" s="39"/>
      <c r="Q72" s="32">
        <v>10.0</v>
      </c>
      <c r="R72" s="34">
        <v>0.0013785</v>
      </c>
      <c r="S72" s="34">
        <v>0.0</v>
      </c>
      <c r="T72" s="39"/>
    </row>
    <row r="73">
      <c r="A73" s="31" t="s">
        <v>1026</v>
      </c>
      <c r="B73" s="37">
        <v>46113.0</v>
      </c>
      <c r="C73" s="34">
        <v>17.0</v>
      </c>
      <c r="D73" s="34">
        <v>101.3</v>
      </c>
      <c r="E73" s="34">
        <v>16.7</v>
      </c>
      <c r="F73" s="32">
        <v>1696.0</v>
      </c>
      <c r="G73" s="35">
        <v>0.496</v>
      </c>
      <c r="H73" s="35">
        <v>0.504</v>
      </c>
      <c r="I73" s="34">
        <v>29.0</v>
      </c>
      <c r="J73" s="35">
        <v>0.058</v>
      </c>
      <c r="K73" s="34">
        <v>498.0</v>
      </c>
      <c r="L73" s="34">
        <v>0.0017087</v>
      </c>
      <c r="M73" s="34">
        <v>0.0014061</v>
      </c>
      <c r="N73" s="36">
        <v>6.036E-5</v>
      </c>
      <c r="O73" s="36">
        <v>2.601E-4</v>
      </c>
      <c r="P73" s="36">
        <v>2.601E-4</v>
      </c>
      <c r="Q73" s="32">
        <v>1197.0</v>
      </c>
      <c r="R73" s="34">
        <v>0.0010142</v>
      </c>
      <c r="S73" s="34">
        <v>1.0</v>
      </c>
      <c r="T73" s="34">
        <v>2.662E-4</v>
      </c>
    </row>
    <row r="74">
      <c r="A74" s="31" t="s">
        <v>1036</v>
      </c>
      <c r="B74" s="37">
        <v>46113.0</v>
      </c>
      <c r="C74" s="34">
        <v>24.0</v>
      </c>
      <c r="D74" s="34">
        <v>127.5</v>
      </c>
      <c r="E74" s="34">
        <v>10.3</v>
      </c>
      <c r="F74" s="32">
        <v>1307.0</v>
      </c>
      <c r="G74" s="35">
        <v>0.959</v>
      </c>
      <c r="H74" s="35">
        <v>0.041</v>
      </c>
      <c r="I74" s="34">
        <v>1.0</v>
      </c>
      <c r="J74" s="35">
        <v>0.004</v>
      </c>
      <c r="K74" s="34">
        <v>284.0</v>
      </c>
      <c r="L74" s="34">
        <v>0.0014561</v>
      </c>
      <c r="M74" s="34">
        <v>0.0013443</v>
      </c>
      <c r="N74" s="36">
        <v>7.837E-5</v>
      </c>
      <c r="O74" s="36">
        <v>7.421E-5</v>
      </c>
      <c r="P74" s="36">
        <v>7.421E-5</v>
      </c>
      <c r="Q74" s="32">
        <v>1020.0</v>
      </c>
      <c r="R74" s="34">
        <v>9.494E-4</v>
      </c>
      <c r="S74" s="34">
        <v>3.0</v>
      </c>
      <c r="T74" s="36">
        <v>0.0123225</v>
      </c>
    </row>
    <row r="75">
      <c r="A75" s="31" t="s">
        <v>1055</v>
      </c>
      <c r="B75" s="37">
        <v>46113.0</v>
      </c>
      <c r="C75" s="34">
        <v>16.0</v>
      </c>
      <c r="D75" s="34">
        <v>116.1</v>
      </c>
      <c r="E75" s="34">
        <v>11.8</v>
      </c>
      <c r="F75" s="32">
        <v>1364.0</v>
      </c>
      <c r="G75" s="35">
        <v>0.487</v>
      </c>
      <c r="H75" s="35">
        <v>0.513</v>
      </c>
      <c r="I75" s="34">
        <v>29.0</v>
      </c>
      <c r="J75" s="35">
        <v>0.054</v>
      </c>
      <c r="K75" s="34">
        <v>538.0</v>
      </c>
      <c r="L75" s="34">
        <v>0.0017204</v>
      </c>
      <c r="M75" s="34">
        <v>0.001169</v>
      </c>
      <c r="N75" s="36">
        <v>1.799E-4</v>
      </c>
      <c r="O75" s="36">
        <v>3.183E-4</v>
      </c>
      <c r="P75" s="36">
        <v>3.183E-4</v>
      </c>
      <c r="Q75" s="32">
        <v>823.0</v>
      </c>
      <c r="R75" s="34">
        <v>7.403E-4</v>
      </c>
      <c r="S75" s="34">
        <v>3.0</v>
      </c>
      <c r="T75" s="34">
        <v>3.086E-4</v>
      </c>
    </row>
    <row r="76">
      <c r="A76" s="31" t="s">
        <v>1065</v>
      </c>
      <c r="B76" s="37">
        <v>46113.0</v>
      </c>
      <c r="C76" s="34">
        <v>15.0</v>
      </c>
      <c r="D76" s="34">
        <v>97.6</v>
      </c>
      <c r="E76" s="34">
        <v>8.6</v>
      </c>
      <c r="F76" s="32">
        <v>836.0</v>
      </c>
      <c r="G76" s="35">
        <v>0.916</v>
      </c>
      <c r="H76" s="35">
        <v>0.084</v>
      </c>
      <c r="I76" s="34">
        <v>1.0</v>
      </c>
      <c r="J76" s="35">
        <v>0.006</v>
      </c>
      <c r="K76" s="34">
        <v>172.0</v>
      </c>
      <c r="L76" s="34">
        <v>6.218E-4</v>
      </c>
      <c r="M76" s="34">
        <v>5.268E-4</v>
      </c>
      <c r="N76" s="36">
        <v>6.897E-5</v>
      </c>
      <c r="O76" s="36">
        <v>8.607E-5</v>
      </c>
      <c r="P76" s="36">
        <v>8.607E-5</v>
      </c>
      <c r="Q76" s="32">
        <v>664.0</v>
      </c>
      <c r="R76" s="34">
        <v>6.491E-4</v>
      </c>
      <c r="S76" s="34">
        <v>0.0</v>
      </c>
      <c r="T76" s="39"/>
    </row>
    <row r="77">
      <c r="A77" s="31" t="s">
        <v>1084</v>
      </c>
      <c r="B77" s="37">
        <v>46113.0</v>
      </c>
      <c r="C77" s="34">
        <v>12.0</v>
      </c>
      <c r="D77" s="34">
        <v>76.8</v>
      </c>
      <c r="E77" s="34">
        <v>15.4</v>
      </c>
      <c r="F77" s="32">
        <v>1181.0</v>
      </c>
      <c r="G77" s="35">
        <v>0.369</v>
      </c>
      <c r="H77" s="35">
        <v>0.631</v>
      </c>
      <c r="I77" s="34">
        <v>17.0</v>
      </c>
      <c r="J77" s="35">
        <v>0.051</v>
      </c>
      <c r="K77" s="34">
        <v>336.0</v>
      </c>
      <c r="L77" s="34">
        <v>0.001479</v>
      </c>
      <c r="M77" s="34">
        <v>0.0010623</v>
      </c>
      <c r="N77" s="36">
        <v>1.184E-4</v>
      </c>
      <c r="O77" s="36">
        <v>3.389E-4</v>
      </c>
      <c r="P77" s="36">
        <v>3.389E-4</v>
      </c>
      <c r="Q77" s="34">
        <v>844.0</v>
      </c>
      <c r="R77" s="34">
        <v>9.912E-4</v>
      </c>
      <c r="S77" s="34">
        <v>1.0</v>
      </c>
      <c r="T77" s="34">
        <v>1.273E-4</v>
      </c>
    </row>
    <row r="78">
      <c r="A78" s="31" t="s">
        <v>1096</v>
      </c>
      <c r="B78" s="37">
        <v>46113.0</v>
      </c>
      <c r="C78" s="34">
        <v>5.0</v>
      </c>
      <c r="D78" s="34">
        <v>10.2</v>
      </c>
      <c r="E78" s="34">
        <v>4.4</v>
      </c>
      <c r="F78" s="32">
        <v>45.0</v>
      </c>
      <c r="G78" s="35">
        <v>0.0</v>
      </c>
      <c r="H78" s="35">
        <v>1.0</v>
      </c>
      <c r="I78" s="34">
        <v>0.0</v>
      </c>
      <c r="J78" s="40"/>
      <c r="K78" s="34">
        <v>0.0</v>
      </c>
      <c r="L78" s="39"/>
      <c r="M78" s="39"/>
      <c r="N78" s="38"/>
      <c r="O78" s="38"/>
      <c r="P78" s="38"/>
      <c r="Q78" s="32">
        <v>44.0</v>
      </c>
      <c r="R78" s="34">
        <v>0.0013939</v>
      </c>
      <c r="S78" s="34">
        <v>1.0</v>
      </c>
      <c r="T78" s="34">
        <v>1.62E-4</v>
      </c>
    </row>
    <row r="79">
      <c r="A79" s="31" t="s">
        <v>1104</v>
      </c>
      <c r="B79" s="37">
        <v>46113.0</v>
      </c>
      <c r="C79" s="34">
        <v>16.0</v>
      </c>
      <c r="D79" s="34">
        <v>123.2</v>
      </c>
      <c r="E79" s="34">
        <v>19.5</v>
      </c>
      <c r="F79" s="32">
        <v>2401.0</v>
      </c>
      <c r="G79" s="35">
        <v>0.756</v>
      </c>
      <c r="H79" s="35">
        <v>0.244</v>
      </c>
      <c r="I79" s="34">
        <v>16.0</v>
      </c>
      <c r="J79" s="35">
        <v>0.038</v>
      </c>
      <c r="K79" s="34">
        <v>418.0</v>
      </c>
      <c r="L79" s="34">
        <v>0.0020354</v>
      </c>
      <c r="M79" s="34">
        <v>0.001424</v>
      </c>
      <c r="N79" s="36">
        <v>3.852E-4</v>
      </c>
      <c r="O79" s="34">
        <v>3.215E-4</v>
      </c>
      <c r="P79" s="34">
        <v>3.215E-4</v>
      </c>
      <c r="Q79" s="32">
        <v>1982.0</v>
      </c>
      <c r="R79" s="34">
        <v>8.889E-4</v>
      </c>
      <c r="S79" s="34">
        <v>1.0</v>
      </c>
      <c r="T79" s="34">
        <v>1.505E-4</v>
      </c>
    </row>
    <row r="80">
      <c r="A80" s="31" t="s">
        <v>1126</v>
      </c>
      <c r="B80" s="37">
        <v>46113.0</v>
      </c>
      <c r="C80" s="34">
        <v>16.0</v>
      </c>
      <c r="D80" s="34">
        <v>102.1</v>
      </c>
      <c r="E80" s="34">
        <v>5.7</v>
      </c>
      <c r="F80" s="32">
        <v>585.0</v>
      </c>
      <c r="G80" s="35">
        <v>0.823</v>
      </c>
      <c r="H80" s="35">
        <v>0.177</v>
      </c>
      <c r="I80" s="34">
        <v>0.0</v>
      </c>
      <c r="J80" s="35">
        <v>0.0</v>
      </c>
      <c r="K80" s="34">
        <v>193.0</v>
      </c>
      <c r="L80" s="34">
        <v>0.0010442</v>
      </c>
      <c r="M80" s="34">
        <v>6.765E-4</v>
      </c>
      <c r="N80" s="36">
        <v>8.666E-5</v>
      </c>
      <c r="O80" s="34">
        <v>2.934E-4</v>
      </c>
      <c r="P80" s="34">
        <v>2.934E-4</v>
      </c>
      <c r="Q80" s="32">
        <v>392.0</v>
      </c>
      <c r="R80" s="34">
        <v>7.545E-4</v>
      </c>
      <c r="S80" s="34">
        <v>0.0</v>
      </c>
      <c r="T80" s="38"/>
    </row>
    <row r="81">
      <c r="A81" s="31" t="s">
        <v>1136</v>
      </c>
      <c r="B81" s="37">
        <v>46113.0</v>
      </c>
      <c r="C81" s="34">
        <v>18.0</v>
      </c>
      <c r="D81" s="34">
        <v>113.3</v>
      </c>
      <c r="E81" s="34">
        <v>14.6</v>
      </c>
      <c r="F81" s="32">
        <v>1659.0</v>
      </c>
      <c r="G81" s="35">
        <v>0.63</v>
      </c>
      <c r="H81" s="35">
        <v>0.37</v>
      </c>
      <c r="I81" s="34">
        <v>46.0</v>
      </c>
      <c r="J81" s="35">
        <v>0.066</v>
      </c>
      <c r="K81" s="34">
        <v>699.0</v>
      </c>
      <c r="L81" s="34">
        <v>0.0017265</v>
      </c>
      <c r="M81" s="34">
        <v>0.0012125</v>
      </c>
      <c r="N81" s="36">
        <v>1.126E-4</v>
      </c>
      <c r="O81" s="36">
        <v>4.418E-4</v>
      </c>
      <c r="P81" s="36">
        <v>4.418E-4</v>
      </c>
      <c r="Q81" s="32">
        <v>956.0</v>
      </c>
      <c r="R81" s="34">
        <v>9.201E-4</v>
      </c>
      <c r="S81" s="34">
        <v>4.0</v>
      </c>
      <c r="T81" s="34">
        <v>6.395E-4</v>
      </c>
    </row>
    <row r="82">
      <c r="A82" s="31" t="s">
        <v>1146</v>
      </c>
      <c r="B82" s="37">
        <v>46113.0</v>
      </c>
      <c r="C82" s="34">
        <v>13.0</v>
      </c>
      <c r="D82" s="34">
        <v>76.5</v>
      </c>
      <c r="E82" s="34">
        <v>7.1</v>
      </c>
      <c r="F82" s="32">
        <v>540.0</v>
      </c>
      <c r="G82" s="35">
        <v>0.624</v>
      </c>
      <c r="H82" s="35">
        <v>0.376</v>
      </c>
      <c r="I82" s="34">
        <v>2.0</v>
      </c>
      <c r="J82" s="35">
        <v>0.013</v>
      </c>
      <c r="K82" s="34">
        <v>156.0</v>
      </c>
      <c r="L82" s="34">
        <v>0.0019528</v>
      </c>
      <c r="M82" s="34">
        <v>0.0015726</v>
      </c>
      <c r="N82" s="36">
        <v>1.353E-4</v>
      </c>
      <c r="O82" s="36">
        <v>2.512E-4</v>
      </c>
      <c r="P82" s="36">
        <v>2.512E-4</v>
      </c>
      <c r="Q82" s="32">
        <v>381.0</v>
      </c>
      <c r="R82" s="34">
        <v>8.251E-4</v>
      </c>
      <c r="S82" s="34">
        <v>3.0</v>
      </c>
      <c r="T82" s="34">
        <v>7.562E-4</v>
      </c>
    </row>
    <row r="83">
      <c r="A83" s="31" t="s">
        <v>1158</v>
      </c>
      <c r="B83" s="37">
        <v>46113.0</v>
      </c>
      <c r="C83" s="34">
        <v>16.0</v>
      </c>
      <c r="D83" s="34">
        <v>122.8</v>
      </c>
      <c r="E83" s="34">
        <v>12.9</v>
      </c>
      <c r="F83" s="32">
        <v>1587.0</v>
      </c>
      <c r="G83" s="35">
        <v>0.832</v>
      </c>
      <c r="H83" s="35">
        <v>0.168</v>
      </c>
      <c r="I83" s="34">
        <v>12.0</v>
      </c>
      <c r="J83" s="35">
        <v>0.048</v>
      </c>
      <c r="K83" s="34">
        <v>248.0</v>
      </c>
      <c r="L83" s="34">
        <v>0.0017776</v>
      </c>
      <c r="M83" s="34">
        <v>0.0011849</v>
      </c>
      <c r="N83" s="34">
        <v>1.195E-4</v>
      </c>
      <c r="O83" s="34">
        <v>5.42E-4</v>
      </c>
      <c r="P83" s="34">
        <v>5.42E-4</v>
      </c>
      <c r="Q83" s="32">
        <v>1339.0</v>
      </c>
      <c r="R83" s="34">
        <v>8.177E-4</v>
      </c>
      <c r="S83" s="34">
        <v>0.0</v>
      </c>
      <c r="T83" s="39"/>
    </row>
    <row r="84">
      <c r="A84" s="31" t="s">
        <v>1169</v>
      </c>
      <c r="B84" s="37">
        <v>46113.0</v>
      </c>
      <c r="C84" s="34">
        <v>16.0</v>
      </c>
      <c r="D84" s="34">
        <v>107.8</v>
      </c>
      <c r="E84" s="34">
        <v>17.2</v>
      </c>
      <c r="F84" s="32">
        <v>1853.0</v>
      </c>
      <c r="G84" s="35">
        <v>0.283</v>
      </c>
      <c r="H84" s="35">
        <v>0.717</v>
      </c>
      <c r="I84" s="34">
        <v>10.0</v>
      </c>
      <c r="J84" s="35">
        <v>0.039</v>
      </c>
      <c r="K84" s="34">
        <v>257.0</v>
      </c>
      <c r="L84" s="34">
        <v>0.0022935</v>
      </c>
      <c r="M84" s="34">
        <v>0.0013908</v>
      </c>
      <c r="N84" s="36">
        <v>2.37E-4</v>
      </c>
      <c r="O84" s="34">
        <v>7.411E-4</v>
      </c>
      <c r="P84" s="34">
        <v>7.411E-4</v>
      </c>
      <c r="Q84" s="32">
        <v>1596.0</v>
      </c>
      <c r="R84" s="34">
        <v>8.982E-4</v>
      </c>
      <c r="S84" s="34">
        <v>0.0</v>
      </c>
      <c r="T84" s="38"/>
    </row>
    <row r="85">
      <c r="A85" s="31" t="s">
        <v>1178</v>
      </c>
      <c r="B85" s="37">
        <v>46113.0</v>
      </c>
      <c r="C85" s="34">
        <v>12.0</v>
      </c>
      <c r="D85" s="34">
        <v>85.9</v>
      </c>
      <c r="E85" s="34">
        <v>6.4</v>
      </c>
      <c r="F85" s="32">
        <v>547.0</v>
      </c>
      <c r="G85" s="35">
        <v>0.794</v>
      </c>
      <c r="H85" s="35">
        <v>0.206</v>
      </c>
      <c r="I85" s="34">
        <v>5.0</v>
      </c>
      <c r="J85" s="35">
        <v>0.023</v>
      </c>
      <c r="K85" s="34">
        <v>216.0</v>
      </c>
      <c r="L85" s="34">
        <v>0.0012563</v>
      </c>
      <c r="M85" s="34">
        <v>7.814E-4</v>
      </c>
      <c r="N85" s="36">
        <v>9.372E-5</v>
      </c>
      <c r="O85" s="34">
        <v>3.722E-4</v>
      </c>
      <c r="P85" s="34">
        <v>3.722E-4</v>
      </c>
      <c r="Q85" s="32">
        <v>330.0</v>
      </c>
      <c r="R85" s="34">
        <v>8.712E-4</v>
      </c>
      <c r="S85" s="34">
        <v>1.0</v>
      </c>
      <c r="T85" s="34">
        <v>0.0014352</v>
      </c>
    </row>
    <row r="86">
      <c r="A86" s="31" t="s">
        <v>1191</v>
      </c>
      <c r="B86" s="37">
        <v>46113.0</v>
      </c>
      <c r="C86" s="34">
        <v>5.0</v>
      </c>
      <c r="D86" s="34">
        <v>6.8</v>
      </c>
      <c r="E86" s="34">
        <v>6.1</v>
      </c>
      <c r="F86" s="32">
        <v>42.0</v>
      </c>
      <c r="G86" s="35">
        <v>0.131</v>
      </c>
      <c r="H86" s="35">
        <v>0.869</v>
      </c>
      <c r="I86" s="34">
        <v>0.0</v>
      </c>
      <c r="J86" s="35">
        <v>0.0</v>
      </c>
      <c r="K86" s="34">
        <v>1.0</v>
      </c>
      <c r="L86" s="34">
        <v>7.87E-4</v>
      </c>
      <c r="M86" s="34">
        <v>7.87E-4</v>
      </c>
      <c r="N86" s="34">
        <v>0.0037847</v>
      </c>
      <c r="O86" s="34">
        <v>0.0</v>
      </c>
      <c r="P86" s="34">
        <v>0.0</v>
      </c>
      <c r="Q86" s="32">
        <v>41.0</v>
      </c>
      <c r="R86" s="34">
        <v>0.0011083</v>
      </c>
      <c r="S86" s="34">
        <v>0.0</v>
      </c>
      <c r="T86" s="38"/>
    </row>
    <row r="87">
      <c r="A87" s="31" t="s">
        <v>1472</v>
      </c>
      <c r="B87" s="37">
        <v>46113.0</v>
      </c>
      <c r="C87" s="34">
        <v>19.0</v>
      </c>
      <c r="D87" s="34">
        <v>95.5</v>
      </c>
      <c r="E87" s="34">
        <v>12.0</v>
      </c>
      <c r="F87" s="32">
        <v>1145.0</v>
      </c>
      <c r="G87" s="35">
        <v>0.602</v>
      </c>
      <c r="H87" s="35">
        <v>0.398</v>
      </c>
      <c r="I87" s="34">
        <v>32.0</v>
      </c>
      <c r="J87" s="35">
        <v>0.057</v>
      </c>
      <c r="K87" s="34">
        <v>560.0</v>
      </c>
      <c r="L87" s="34">
        <v>0.0018829</v>
      </c>
      <c r="M87" s="34">
        <v>0.0012174</v>
      </c>
      <c r="N87" s="34">
        <v>2.395E-4</v>
      </c>
      <c r="O87" s="34">
        <v>4.21E-4</v>
      </c>
      <c r="P87" s="34">
        <v>4.21E-4</v>
      </c>
      <c r="Q87" s="34">
        <v>585.0</v>
      </c>
      <c r="R87" s="34">
        <v>7.468E-4</v>
      </c>
      <c r="S87" s="34">
        <v>0.0</v>
      </c>
      <c r="T87" s="39"/>
    </row>
    <row r="88">
      <c r="A88" s="31" t="s">
        <v>1473</v>
      </c>
      <c r="B88" s="37">
        <v>46113.0</v>
      </c>
      <c r="C88" s="34">
        <v>21.0</v>
      </c>
      <c r="D88" s="34">
        <v>52.8</v>
      </c>
      <c r="E88" s="34">
        <v>11.3</v>
      </c>
      <c r="F88" s="32">
        <v>599.0</v>
      </c>
      <c r="G88" s="35">
        <v>0.667</v>
      </c>
      <c r="H88" s="35">
        <v>0.333</v>
      </c>
      <c r="I88" s="34">
        <v>11.0</v>
      </c>
      <c r="J88" s="35">
        <v>0.057</v>
      </c>
      <c r="K88" s="34">
        <v>193.0</v>
      </c>
      <c r="L88" s="34">
        <v>0.0017335</v>
      </c>
      <c r="M88" s="34">
        <v>0.0010083</v>
      </c>
      <c r="N88" s="36">
        <v>1.841E-5</v>
      </c>
      <c r="O88" s="34">
        <v>5.759E-4</v>
      </c>
      <c r="P88" s="34">
        <v>5.759E-4</v>
      </c>
      <c r="Q88" s="32">
        <v>406.0</v>
      </c>
      <c r="R88" s="34">
        <v>6.541E-4</v>
      </c>
      <c r="S88" s="34">
        <v>0.0</v>
      </c>
      <c r="T88" s="41"/>
    </row>
    <row r="89">
      <c r="A89" s="31" t="s">
        <v>1220</v>
      </c>
      <c r="B89" s="37">
        <v>46113.0</v>
      </c>
      <c r="C89" s="34">
        <v>13.0</v>
      </c>
      <c r="D89" s="34">
        <v>105.4</v>
      </c>
      <c r="E89" s="34">
        <v>7.6</v>
      </c>
      <c r="F89" s="34">
        <v>799.0</v>
      </c>
      <c r="G89" s="35">
        <v>0.879</v>
      </c>
      <c r="H89" s="35">
        <v>0.121</v>
      </c>
      <c r="I89" s="34">
        <v>40.0</v>
      </c>
      <c r="J89" s="35">
        <v>0.086</v>
      </c>
      <c r="K89" s="34">
        <v>467.0</v>
      </c>
      <c r="L89" s="34">
        <v>0.0018508</v>
      </c>
      <c r="M89" s="34">
        <v>0.0016427</v>
      </c>
      <c r="N89" s="36">
        <v>2.35E-5</v>
      </c>
      <c r="O89" s="34">
        <v>1.779E-4</v>
      </c>
      <c r="P89" s="34">
        <v>1.779E-4</v>
      </c>
      <c r="Q89" s="34">
        <v>330.0</v>
      </c>
      <c r="R89" s="34">
        <v>0.001091</v>
      </c>
      <c r="S89" s="34">
        <v>2.0</v>
      </c>
      <c r="T89" s="34">
        <v>0.0019444</v>
      </c>
    </row>
    <row r="90">
      <c r="A90" s="31" t="s">
        <v>1256</v>
      </c>
      <c r="B90" s="37">
        <v>46113.0</v>
      </c>
      <c r="C90" s="34">
        <v>16.0</v>
      </c>
      <c r="D90" s="34">
        <v>97.3</v>
      </c>
      <c r="E90" s="34">
        <v>5.5</v>
      </c>
      <c r="F90" s="34">
        <v>534.0</v>
      </c>
      <c r="G90" s="35">
        <v>0.456</v>
      </c>
      <c r="H90" s="35">
        <v>0.544</v>
      </c>
      <c r="I90" s="34">
        <v>1.0</v>
      </c>
      <c r="J90" s="35">
        <v>0.009</v>
      </c>
      <c r="K90" s="34">
        <v>116.0</v>
      </c>
      <c r="L90" s="34">
        <v>6.902E-4</v>
      </c>
      <c r="M90" s="34">
        <v>4.865E-4</v>
      </c>
      <c r="N90" s="34">
        <v>1.717E-4</v>
      </c>
      <c r="O90" s="34">
        <v>1.542E-4</v>
      </c>
      <c r="P90" s="34">
        <v>1.542E-4</v>
      </c>
      <c r="Q90" s="34">
        <v>417.0</v>
      </c>
      <c r="R90" s="34">
        <v>8.502E-4</v>
      </c>
      <c r="S90" s="34">
        <v>1.0</v>
      </c>
      <c r="T90" s="34">
        <v>3.472E-4</v>
      </c>
    </row>
    <row r="91">
      <c r="A91" s="31" t="s">
        <v>1270</v>
      </c>
      <c r="B91" s="37">
        <v>46113.0</v>
      </c>
      <c r="C91" s="34">
        <v>15.0</v>
      </c>
      <c r="D91" s="34">
        <v>106.0</v>
      </c>
      <c r="E91" s="34">
        <v>10.4</v>
      </c>
      <c r="F91" s="32">
        <v>1099.0</v>
      </c>
      <c r="G91" s="35">
        <v>0.548</v>
      </c>
      <c r="H91" s="35">
        <v>0.452</v>
      </c>
      <c r="I91" s="34">
        <v>13.0</v>
      </c>
      <c r="J91" s="35">
        <v>0.04</v>
      </c>
      <c r="K91" s="34">
        <v>321.0</v>
      </c>
      <c r="L91" s="34">
        <v>0.0016551</v>
      </c>
      <c r="M91" s="34">
        <v>0.0013395</v>
      </c>
      <c r="N91" s="34">
        <v>1.274E-4</v>
      </c>
      <c r="O91" s="34">
        <v>2.176E-4</v>
      </c>
      <c r="P91" s="34">
        <v>2.176E-4</v>
      </c>
      <c r="Q91" s="34">
        <v>776.0</v>
      </c>
      <c r="R91" s="34">
        <v>9.364E-4</v>
      </c>
      <c r="S91" s="34">
        <v>2.0</v>
      </c>
      <c r="T91" s="34">
        <v>9.722E-4</v>
      </c>
    </row>
    <row r="92">
      <c r="A92" s="31" t="s">
        <v>1279</v>
      </c>
      <c r="B92" s="37">
        <v>46113.0</v>
      </c>
      <c r="C92" s="34">
        <v>7.0</v>
      </c>
      <c r="D92" s="34">
        <v>44.1</v>
      </c>
      <c r="E92" s="34">
        <v>16.4</v>
      </c>
      <c r="F92" s="32">
        <v>723.0</v>
      </c>
      <c r="G92" s="35">
        <v>0.392</v>
      </c>
      <c r="H92" s="35">
        <v>0.608</v>
      </c>
      <c r="I92" s="34">
        <v>6.0</v>
      </c>
      <c r="J92" s="35">
        <v>0.036</v>
      </c>
      <c r="K92" s="34">
        <v>168.0</v>
      </c>
      <c r="L92" s="34">
        <v>0.0015709</v>
      </c>
      <c r="M92" s="34">
        <v>0.0011303</v>
      </c>
      <c r="N92" s="36">
        <v>2.605E-4</v>
      </c>
      <c r="O92" s="34">
        <v>2.617E-4</v>
      </c>
      <c r="P92" s="34">
        <v>2.617E-4</v>
      </c>
      <c r="Q92" s="32">
        <v>554.0</v>
      </c>
      <c r="R92" s="34">
        <v>9.128E-4</v>
      </c>
      <c r="S92" s="34">
        <v>1.0</v>
      </c>
      <c r="T92" s="34">
        <v>4.514E-4</v>
      </c>
    </row>
    <row r="93">
      <c r="A93" s="31" t="s">
        <v>1290</v>
      </c>
      <c r="B93" s="37">
        <v>46113.0</v>
      </c>
      <c r="C93" s="34">
        <v>5.0</v>
      </c>
      <c r="D93" s="34">
        <v>7.3</v>
      </c>
      <c r="E93" s="34">
        <v>3.0</v>
      </c>
      <c r="F93" s="34">
        <v>22.0</v>
      </c>
      <c r="G93" s="35">
        <v>0.427</v>
      </c>
      <c r="H93" s="35">
        <v>0.573</v>
      </c>
      <c r="I93" s="34">
        <v>0.0</v>
      </c>
      <c r="J93" s="40"/>
      <c r="K93" s="34">
        <v>0.0</v>
      </c>
      <c r="L93" s="39"/>
      <c r="M93" s="39"/>
      <c r="N93" s="38"/>
      <c r="O93" s="39"/>
      <c r="P93" s="39"/>
      <c r="Q93" s="34">
        <v>22.0</v>
      </c>
      <c r="R93" s="36">
        <v>8.933E-4</v>
      </c>
      <c r="S93" s="34">
        <v>0.0</v>
      </c>
      <c r="T93" s="39"/>
    </row>
    <row r="94">
      <c r="A94" s="31" t="s">
        <v>1298</v>
      </c>
      <c r="B94" s="37">
        <v>46113.0</v>
      </c>
      <c r="C94" s="34">
        <v>14.0</v>
      </c>
      <c r="D94" s="34">
        <v>120.3</v>
      </c>
      <c r="E94" s="34">
        <v>15.3</v>
      </c>
      <c r="F94" s="32">
        <v>1840.0</v>
      </c>
      <c r="G94" s="35">
        <v>0.279</v>
      </c>
      <c r="H94" s="35">
        <v>0.721</v>
      </c>
      <c r="I94" s="34">
        <v>17.0</v>
      </c>
      <c r="J94" s="35">
        <v>0.052</v>
      </c>
      <c r="K94" s="34">
        <v>330.0</v>
      </c>
      <c r="L94" s="34">
        <v>0.0013694</v>
      </c>
      <c r="M94" s="34">
        <v>8.868E-4</v>
      </c>
      <c r="N94" s="36">
        <v>2.707E-4</v>
      </c>
      <c r="O94" s="34">
        <v>2.848E-4</v>
      </c>
      <c r="P94" s="34">
        <v>2.848E-4</v>
      </c>
      <c r="Q94" s="32">
        <v>1510.0</v>
      </c>
      <c r="R94" s="34">
        <v>6.533E-4</v>
      </c>
      <c r="S94" s="34">
        <v>0.0</v>
      </c>
      <c r="T94" s="41"/>
    </row>
    <row r="95">
      <c r="A95" s="31" t="s">
        <v>1310</v>
      </c>
      <c r="B95" s="37">
        <v>46113.0</v>
      </c>
      <c r="C95" s="34">
        <v>7.0</v>
      </c>
      <c r="D95" s="34">
        <v>40.0</v>
      </c>
      <c r="E95" s="34">
        <v>10.1</v>
      </c>
      <c r="F95" s="34">
        <v>406.0</v>
      </c>
      <c r="G95" s="35">
        <v>0.729</v>
      </c>
      <c r="H95" s="35">
        <v>0.271</v>
      </c>
      <c r="I95" s="34">
        <v>3.0</v>
      </c>
      <c r="J95" s="35">
        <v>0.018</v>
      </c>
      <c r="K95" s="34">
        <v>166.0</v>
      </c>
      <c r="L95" s="34">
        <v>0.0019152</v>
      </c>
      <c r="M95" s="34">
        <v>0.0014582</v>
      </c>
      <c r="N95" s="36">
        <v>1.485E-5</v>
      </c>
      <c r="O95" s="34">
        <v>3.322E-4</v>
      </c>
      <c r="P95" s="34">
        <v>3.322E-4</v>
      </c>
      <c r="Q95" s="34">
        <v>240.0</v>
      </c>
      <c r="R95" s="34">
        <v>9.383E-4</v>
      </c>
      <c r="S95" s="34">
        <v>0.0</v>
      </c>
      <c r="T95" s="41"/>
    </row>
    <row r="96">
      <c r="A96" s="31" t="s">
        <v>1335</v>
      </c>
      <c r="B96" s="37">
        <v>46113.0</v>
      </c>
      <c r="C96" s="34">
        <v>15.0</v>
      </c>
      <c r="D96" s="34">
        <v>89.6</v>
      </c>
      <c r="E96" s="34">
        <v>13.2</v>
      </c>
      <c r="F96" s="32">
        <v>1182.0</v>
      </c>
      <c r="G96" s="35">
        <v>0.544</v>
      </c>
      <c r="H96" s="35">
        <v>0.456</v>
      </c>
      <c r="I96" s="34">
        <v>3.0</v>
      </c>
      <c r="J96" s="35">
        <v>0.007</v>
      </c>
      <c r="K96" s="34">
        <v>414.0</v>
      </c>
      <c r="L96" s="34">
        <v>0.0010503</v>
      </c>
      <c r="M96" s="34">
        <v>6.931E-4</v>
      </c>
      <c r="N96" s="36">
        <v>7.593E-5</v>
      </c>
      <c r="O96" s="34">
        <v>2.654E-4</v>
      </c>
      <c r="P96" s="34">
        <v>2.654E-4</v>
      </c>
      <c r="Q96" s="34">
        <v>768.0</v>
      </c>
      <c r="R96" s="34">
        <v>7.969E-4</v>
      </c>
      <c r="S96" s="34">
        <v>0.0</v>
      </c>
      <c r="T96" s="39"/>
    </row>
    <row r="97">
      <c r="A97" s="31" t="s">
        <v>1346</v>
      </c>
      <c r="B97" s="37">
        <v>46113.0</v>
      </c>
      <c r="C97" s="34">
        <v>12.0</v>
      </c>
      <c r="D97" s="34">
        <v>76.9</v>
      </c>
      <c r="E97" s="34">
        <v>6.8</v>
      </c>
      <c r="F97" s="34">
        <v>526.0</v>
      </c>
      <c r="G97" s="35">
        <v>0.816</v>
      </c>
      <c r="H97" s="35">
        <v>0.184</v>
      </c>
      <c r="I97" s="34">
        <v>5.0</v>
      </c>
      <c r="J97" s="35">
        <v>0.051</v>
      </c>
      <c r="K97" s="34">
        <v>99.0</v>
      </c>
      <c r="L97" s="34">
        <v>0.0021945</v>
      </c>
      <c r="M97" s="34">
        <v>0.0011657</v>
      </c>
      <c r="N97" s="36">
        <v>3.367E-5</v>
      </c>
      <c r="O97" s="34">
        <v>9.366E-4</v>
      </c>
      <c r="P97" s="34">
        <v>9.366E-4</v>
      </c>
      <c r="Q97" s="34">
        <v>426.0</v>
      </c>
      <c r="R97" s="34">
        <v>0.0010956</v>
      </c>
      <c r="S97" s="34">
        <v>1.0</v>
      </c>
      <c r="T97" s="34">
        <v>3.935E-4</v>
      </c>
    </row>
    <row r="98">
      <c r="A98" s="31" t="s">
        <v>1357</v>
      </c>
      <c r="B98" s="37">
        <v>46113.0</v>
      </c>
      <c r="C98" s="34">
        <v>16.0</v>
      </c>
      <c r="D98" s="34">
        <v>126.5</v>
      </c>
      <c r="E98" s="34">
        <v>11.7</v>
      </c>
      <c r="F98" s="32">
        <v>1479.0</v>
      </c>
      <c r="G98" s="35">
        <v>0.811</v>
      </c>
      <c r="H98" s="35">
        <v>0.189</v>
      </c>
      <c r="I98" s="34">
        <v>8.0</v>
      </c>
      <c r="J98" s="35">
        <v>0.02</v>
      </c>
      <c r="K98" s="34">
        <v>403.0</v>
      </c>
      <c r="L98" s="34">
        <v>0.0023262</v>
      </c>
      <c r="M98" s="34">
        <v>0.0017216</v>
      </c>
      <c r="N98" s="36">
        <v>3.435E-5</v>
      </c>
      <c r="O98" s="34">
        <v>5.348E-4</v>
      </c>
      <c r="P98" s="34">
        <v>5.348E-4</v>
      </c>
      <c r="Q98" s="32">
        <v>1075.0</v>
      </c>
      <c r="R98" s="34">
        <v>0.0011782</v>
      </c>
      <c r="S98" s="34">
        <v>1.0</v>
      </c>
      <c r="T98" s="34">
        <v>3.009E-4</v>
      </c>
    </row>
    <row r="99">
      <c r="A99" s="31" t="s">
        <v>1370</v>
      </c>
      <c r="B99" s="37">
        <v>46113.0</v>
      </c>
      <c r="C99" s="34">
        <v>19.0</v>
      </c>
      <c r="D99" s="34">
        <v>82.4</v>
      </c>
      <c r="E99" s="34">
        <v>9.0</v>
      </c>
      <c r="F99" s="32">
        <v>745.0</v>
      </c>
      <c r="G99" s="35">
        <v>0.78</v>
      </c>
      <c r="H99" s="35">
        <v>0.22</v>
      </c>
      <c r="I99" s="34">
        <v>10.0</v>
      </c>
      <c r="J99" s="35">
        <v>0.06</v>
      </c>
      <c r="K99" s="34">
        <v>167.0</v>
      </c>
      <c r="L99" s="34">
        <v>0.0017539</v>
      </c>
      <c r="M99" s="34">
        <v>9.723E-4</v>
      </c>
      <c r="N99" s="34">
        <v>1.257E-4</v>
      </c>
      <c r="O99" s="34">
        <v>6.786E-4</v>
      </c>
      <c r="P99" s="34">
        <v>6.786E-4</v>
      </c>
      <c r="Q99" s="32">
        <v>576.0</v>
      </c>
      <c r="R99" s="34">
        <v>8.719E-4</v>
      </c>
      <c r="S99" s="34">
        <v>2.0</v>
      </c>
      <c r="T99" s="34">
        <v>0.0015336</v>
      </c>
    </row>
    <row r="100">
      <c r="A100" s="31" t="s">
        <v>1382</v>
      </c>
      <c r="B100" s="37">
        <v>46113.0</v>
      </c>
      <c r="C100" s="34">
        <v>8.0</v>
      </c>
      <c r="D100" s="34">
        <v>7.2</v>
      </c>
      <c r="E100" s="34">
        <v>5.4</v>
      </c>
      <c r="F100" s="32">
        <v>39.0</v>
      </c>
      <c r="G100" s="35">
        <v>0.027</v>
      </c>
      <c r="H100" s="35">
        <v>0.973</v>
      </c>
      <c r="I100" s="34">
        <v>0.0</v>
      </c>
      <c r="J100" s="40"/>
      <c r="K100" s="34">
        <v>0.0</v>
      </c>
      <c r="L100" s="39"/>
      <c r="M100" s="39"/>
      <c r="N100" s="38"/>
      <c r="O100" s="39"/>
      <c r="P100" s="39"/>
      <c r="Q100" s="32">
        <v>38.0</v>
      </c>
      <c r="R100" s="34">
        <v>0.001194</v>
      </c>
      <c r="S100" s="34">
        <v>1.0</v>
      </c>
      <c r="T100" s="36">
        <v>1.157E-5</v>
      </c>
    </row>
    <row r="101">
      <c r="A101" s="31" t="s">
        <v>1401</v>
      </c>
      <c r="B101" s="37">
        <v>46113.0</v>
      </c>
      <c r="C101" s="34">
        <v>15.0</v>
      </c>
      <c r="D101" s="34">
        <v>110.9</v>
      </c>
      <c r="E101" s="34">
        <v>8.2</v>
      </c>
      <c r="F101" s="32">
        <v>912.0</v>
      </c>
      <c r="G101" s="35">
        <v>0.573</v>
      </c>
      <c r="H101" s="35">
        <v>0.427</v>
      </c>
      <c r="I101" s="34">
        <v>5.0</v>
      </c>
      <c r="J101" s="35">
        <v>0.021</v>
      </c>
      <c r="K101" s="34">
        <v>243.0</v>
      </c>
      <c r="L101" s="34">
        <v>0.002022</v>
      </c>
      <c r="M101" s="34">
        <v>0.0012517</v>
      </c>
      <c r="N101" s="36">
        <v>3.386E-5</v>
      </c>
      <c r="O101" s="34">
        <v>7.516E-4</v>
      </c>
      <c r="P101" s="34">
        <v>7.516E-4</v>
      </c>
      <c r="Q101" s="32">
        <v>669.0</v>
      </c>
      <c r="R101" s="34">
        <v>6.991E-4</v>
      </c>
      <c r="S101" s="34">
        <v>0.0</v>
      </c>
      <c r="T101" s="41"/>
    </row>
    <row r="102">
      <c r="A102" s="31" t="s">
        <v>1413</v>
      </c>
      <c r="B102" s="37">
        <v>46113.0</v>
      </c>
      <c r="C102" s="34">
        <v>16.0</v>
      </c>
      <c r="D102" s="34">
        <v>138.9</v>
      </c>
      <c r="E102" s="34">
        <v>6.5</v>
      </c>
      <c r="F102" s="32">
        <v>899.0</v>
      </c>
      <c r="G102" s="35">
        <v>0.734</v>
      </c>
      <c r="H102" s="35">
        <v>0.266</v>
      </c>
      <c r="I102" s="34">
        <v>0.0</v>
      </c>
      <c r="J102" s="35">
        <v>0.0</v>
      </c>
      <c r="K102" s="34">
        <v>161.0</v>
      </c>
      <c r="L102" s="34">
        <v>0.0014608</v>
      </c>
      <c r="M102" s="34">
        <v>0.0010623</v>
      </c>
      <c r="N102" s="34">
        <v>0.0</v>
      </c>
      <c r="O102" s="34">
        <v>3.758E-4</v>
      </c>
      <c r="P102" s="34">
        <v>3.758E-4</v>
      </c>
      <c r="Q102" s="32">
        <v>738.0</v>
      </c>
      <c r="R102" s="34">
        <v>6.668E-4</v>
      </c>
      <c r="S102" s="34">
        <v>0.0</v>
      </c>
      <c r="T102" s="38"/>
    </row>
    <row r="103">
      <c r="A103" s="31" t="s">
        <v>1424</v>
      </c>
      <c r="B103" s="37">
        <v>46113.0</v>
      </c>
      <c r="C103" s="34">
        <v>8.0</v>
      </c>
      <c r="D103" s="34">
        <v>59.3</v>
      </c>
      <c r="E103" s="34">
        <v>18.2</v>
      </c>
      <c r="F103" s="32">
        <v>1080.0</v>
      </c>
      <c r="G103" s="35">
        <v>0.155</v>
      </c>
      <c r="H103" s="35">
        <v>0.845</v>
      </c>
      <c r="I103" s="34">
        <v>3.0</v>
      </c>
      <c r="J103" s="35">
        <v>0.031</v>
      </c>
      <c r="K103" s="34">
        <v>96.0</v>
      </c>
      <c r="L103" s="34">
        <v>0.0020155</v>
      </c>
      <c r="M103" s="34">
        <v>0.0011965</v>
      </c>
      <c r="N103" s="34">
        <v>3.206E-4</v>
      </c>
      <c r="O103" s="34">
        <v>6.583E-4</v>
      </c>
      <c r="P103" s="34">
        <v>6.583E-4</v>
      </c>
      <c r="Q103" s="34">
        <v>983.0</v>
      </c>
      <c r="R103" s="34">
        <v>8.579E-4</v>
      </c>
      <c r="S103" s="34">
        <v>1.0</v>
      </c>
      <c r="T103" s="34">
        <v>2.894E-4</v>
      </c>
    </row>
    <row r="104">
      <c r="A104" s="31"/>
      <c r="B104" s="37"/>
      <c r="C104" s="34"/>
      <c r="D104" s="34"/>
      <c r="E104" s="34"/>
      <c r="F104" s="34"/>
      <c r="G104" s="35"/>
      <c r="H104" s="35"/>
      <c r="I104" s="34"/>
      <c r="J104" s="35"/>
      <c r="K104" s="34"/>
      <c r="L104" s="34"/>
      <c r="M104" s="34"/>
      <c r="N104" s="34"/>
      <c r="O104" s="36"/>
      <c r="P104" s="36"/>
      <c r="Q104" s="34"/>
      <c r="R104" s="34"/>
      <c r="S104" s="34"/>
      <c r="T104" s="41"/>
    </row>
    <row r="105">
      <c r="A105" s="31"/>
      <c r="B105" s="37"/>
      <c r="C105" s="34"/>
      <c r="D105" s="34"/>
      <c r="E105" s="34"/>
      <c r="F105" s="32"/>
      <c r="G105" s="35"/>
      <c r="H105" s="35"/>
      <c r="I105" s="34"/>
      <c r="J105" s="35"/>
      <c r="K105" s="34"/>
      <c r="L105" s="34"/>
      <c r="M105" s="34"/>
      <c r="N105" s="34"/>
      <c r="O105" s="34"/>
      <c r="P105" s="34"/>
      <c r="Q105" s="34"/>
      <c r="R105" s="34"/>
      <c r="S105" s="34"/>
      <c r="T105" s="41"/>
    </row>
    <row r="106">
      <c r="A106" s="31"/>
      <c r="B106" s="37"/>
      <c r="C106" s="34"/>
      <c r="D106" s="34"/>
      <c r="E106" s="34"/>
      <c r="F106" s="32"/>
      <c r="G106" s="35"/>
      <c r="H106" s="35"/>
      <c r="I106" s="34"/>
      <c r="J106" s="35"/>
      <c r="K106" s="34"/>
      <c r="L106" s="34"/>
      <c r="M106" s="34"/>
      <c r="N106" s="34"/>
      <c r="O106" s="34"/>
      <c r="P106" s="34"/>
      <c r="Q106" s="34"/>
      <c r="R106" s="34"/>
      <c r="S106" s="34"/>
      <c r="T106" s="34"/>
    </row>
    <row r="107">
      <c r="A107" s="31"/>
      <c r="B107" s="37"/>
      <c r="C107" s="34"/>
      <c r="D107" s="34"/>
      <c r="E107" s="34"/>
      <c r="F107" s="32"/>
      <c r="G107" s="35"/>
      <c r="H107" s="35"/>
      <c r="I107" s="34"/>
      <c r="J107" s="35"/>
      <c r="K107" s="34"/>
      <c r="L107" s="34"/>
      <c r="M107" s="34"/>
      <c r="N107" s="34"/>
      <c r="O107" s="34"/>
      <c r="P107" s="34"/>
      <c r="Q107" s="32"/>
      <c r="R107" s="34"/>
      <c r="S107" s="34"/>
      <c r="T107" s="41"/>
    </row>
    <row r="108">
      <c r="A108" s="31"/>
      <c r="B108" s="37"/>
      <c r="C108" s="34"/>
      <c r="D108" s="34"/>
      <c r="E108" s="34"/>
      <c r="F108" s="32"/>
      <c r="G108" s="35"/>
      <c r="H108" s="35"/>
      <c r="I108" s="34"/>
      <c r="J108" s="35"/>
      <c r="K108" s="34"/>
      <c r="L108" s="34"/>
      <c r="M108" s="34"/>
      <c r="N108" s="36"/>
      <c r="O108" s="34"/>
      <c r="P108" s="34"/>
      <c r="Q108" s="34"/>
      <c r="R108" s="34"/>
      <c r="S108" s="34"/>
      <c r="T108" s="41"/>
    </row>
    <row r="109">
      <c r="A109" s="31"/>
      <c r="B109" s="37"/>
      <c r="C109" s="34"/>
      <c r="D109" s="34"/>
      <c r="E109" s="34"/>
      <c r="F109" s="32"/>
      <c r="G109" s="35"/>
      <c r="H109" s="35"/>
      <c r="I109" s="34"/>
      <c r="J109" s="35"/>
      <c r="K109" s="34"/>
      <c r="L109" s="34"/>
      <c r="M109" s="34"/>
      <c r="N109" s="34"/>
      <c r="O109" s="34"/>
      <c r="P109" s="34"/>
      <c r="Q109" s="32"/>
      <c r="R109" s="34"/>
      <c r="S109" s="34"/>
      <c r="T109" s="41"/>
    </row>
    <row r="110">
      <c r="A110" s="31"/>
      <c r="B110" s="37"/>
      <c r="C110" s="34"/>
      <c r="D110" s="34"/>
      <c r="E110" s="34"/>
      <c r="F110" s="34"/>
      <c r="G110" s="35"/>
      <c r="H110" s="35"/>
      <c r="I110" s="34"/>
      <c r="J110" s="35"/>
      <c r="K110" s="34"/>
      <c r="L110" s="34"/>
      <c r="M110" s="34"/>
      <c r="N110" s="36"/>
      <c r="O110" s="34"/>
      <c r="P110" s="34"/>
      <c r="Q110" s="34"/>
      <c r="R110" s="34"/>
      <c r="S110" s="34"/>
      <c r="T110" s="41"/>
    </row>
    <row r="111">
      <c r="A111" s="31"/>
      <c r="B111" s="37"/>
      <c r="C111" s="34"/>
      <c r="D111" s="34"/>
      <c r="E111" s="34"/>
      <c r="F111" s="32"/>
      <c r="G111" s="35"/>
      <c r="H111" s="35"/>
      <c r="I111" s="34"/>
      <c r="J111" s="35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>
      <c r="A112" s="31"/>
      <c r="B112" s="37"/>
      <c r="C112" s="34"/>
      <c r="D112" s="34"/>
      <c r="E112" s="34"/>
      <c r="F112" s="32"/>
      <c r="G112" s="35"/>
      <c r="H112" s="35"/>
      <c r="I112" s="34"/>
      <c r="J112" s="35"/>
      <c r="K112" s="34"/>
      <c r="L112" s="34"/>
      <c r="M112" s="34"/>
      <c r="N112" s="34"/>
      <c r="O112" s="34"/>
      <c r="P112" s="34"/>
      <c r="Q112" s="34"/>
      <c r="R112" s="34"/>
      <c r="S112" s="34"/>
      <c r="T112" s="34"/>
    </row>
    <row r="113">
      <c r="A113" s="31"/>
      <c r="B113" s="37"/>
      <c r="C113" s="34"/>
      <c r="D113" s="34"/>
      <c r="E113" s="34"/>
      <c r="F113" s="34"/>
      <c r="G113" s="35"/>
      <c r="H113" s="35"/>
      <c r="I113" s="34"/>
      <c r="J113" s="35"/>
      <c r="K113" s="34"/>
      <c r="L113" s="34"/>
      <c r="M113" s="34"/>
      <c r="N113" s="36"/>
      <c r="O113" s="34"/>
      <c r="P113" s="34"/>
      <c r="Q113" s="34"/>
      <c r="R113" s="34"/>
      <c r="S113" s="34"/>
      <c r="T113" s="34"/>
    </row>
    <row r="114">
      <c r="A114" s="31"/>
      <c r="B114" s="37"/>
      <c r="C114" s="34"/>
      <c r="D114" s="34"/>
      <c r="E114" s="34"/>
      <c r="F114" s="34"/>
      <c r="G114" s="35"/>
      <c r="H114" s="35"/>
      <c r="I114" s="34"/>
      <c r="J114" s="35"/>
      <c r="K114" s="34"/>
      <c r="L114" s="34"/>
      <c r="M114" s="34"/>
      <c r="N114" s="34"/>
      <c r="O114" s="34"/>
      <c r="P114" s="34"/>
      <c r="Q114" s="34"/>
      <c r="R114" s="34"/>
      <c r="S114" s="34"/>
      <c r="T114" s="41"/>
    </row>
    <row r="115">
      <c r="A115" s="31"/>
      <c r="B115" s="37"/>
      <c r="C115" s="34"/>
      <c r="D115" s="34"/>
      <c r="E115" s="34"/>
      <c r="F115" s="34"/>
      <c r="G115" s="35"/>
      <c r="H115" s="35"/>
      <c r="I115" s="34"/>
      <c r="J115" s="35"/>
      <c r="K115" s="34"/>
      <c r="L115" s="34"/>
      <c r="M115" s="34"/>
      <c r="N115" s="36"/>
      <c r="O115" s="34"/>
      <c r="P115" s="34"/>
      <c r="Q115" s="34"/>
      <c r="R115" s="34"/>
      <c r="S115" s="34"/>
      <c r="T115" s="34"/>
    </row>
    <row r="116">
      <c r="A116" s="31"/>
      <c r="B116" s="37"/>
      <c r="C116" s="34"/>
      <c r="D116" s="34"/>
      <c r="E116" s="34"/>
      <c r="F116" s="34"/>
      <c r="G116" s="35"/>
      <c r="H116" s="35"/>
      <c r="I116" s="34"/>
      <c r="J116" s="35"/>
      <c r="K116" s="34"/>
      <c r="L116" s="34"/>
      <c r="M116" s="34"/>
      <c r="N116" s="34"/>
      <c r="O116" s="34"/>
      <c r="P116" s="34"/>
      <c r="Q116" s="34"/>
      <c r="R116" s="34"/>
      <c r="S116" s="34"/>
      <c r="T116" s="34"/>
    </row>
    <row r="117">
      <c r="A117" s="31"/>
      <c r="B117" s="37"/>
      <c r="C117" s="34"/>
      <c r="D117" s="34"/>
      <c r="E117" s="34"/>
      <c r="F117" s="34"/>
      <c r="G117" s="35"/>
      <c r="H117" s="35"/>
      <c r="I117" s="34"/>
      <c r="J117" s="35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>
      <c r="A118" s="31"/>
      <c r="B118" s="37"/>
      <c r="C118" s="34"/>
      <c r="D118" s="34"/>
      <c r="E118" s="34"/>
      <c r="F118" s="34"/>
      <c r="G118" s="35"/>
      <c r="H118" s="35"/>
      <c r="I118" s="34"/>
      <c r="J118" s="41"/>
      <c r="K118" s="34"/>
      <c r="L118" s="41"/>
      <c r="M118" s="41"/>
      <c r="N118" s="41"/>
      <c r="O118" s="41"/>
      <c r="P118" s="41"/>
      <c r="Q118" s="34"/>
      <c r="R118" s="34"/>
      <c r="S118" s="34"/>
      <c r="T118" s="41"/>
    </row>
    <row r="119">
      <c r="A119" s="31"/>
      <c r="B119" s="37"/>
      <c r="C119" s="34"/>
      <c r="D119" s="34"/>
      <c r="E119" s="34"/>
      <c r="F119" s="34"/>
      <c r="G119" s="35"/>
      <c r="H119" s="35"/>
      <c r="I119" s="34"/>
      <c r="J119" s="35"/>
      <c r="K119" s="34"/>
      <c r="L119" s="34"/>
      <c r="M119" s="34"/>
      <c r="N119" s="36"/>
      <c r="O119" s="34"/>
      <c r="P119" s="34"/>
      <c r="Q119" s="34"/>
      <c r="R119" s="34"/>
      <c r="S119" s="34"/>
      <c r="T119" s="41"/>
    </row>
    <row r="120">
      <c r="A120" s="31"/>
      <c r="B120" s="37"/>
      <c r="C120" s="34"/>
      <c r="D120" s="34"/>
      <c r="E120" s="34"/>
      <c r="F120" s="34"/>
      <c r="G120" s="35"/>
      <c r="H120" s="35"/>
      <c r="I120" s="34"/>
      <c r="J120" s="35"/>
      <c r="K120" s="34"/>
      <c r="L120" s="34"/>
      <c r="M120" s="34"/>
      <c r="N120" s="34"/>
      <c r="O120" s="34"/>
      <c r="P120" s="34"/>
      <c r="Q120" s="34"/>
      <c r="R120" s="34"/>
      <c r="S120" s="34"/>
      <c r="T120" s="41"/>
    </row>
    <row r="121">
      <c r="A121" s="31"/>
      <c r="B121" s="37"/>
      <c r="C121" s="34"/>
      <c r="D121" s="34"/>
      <c r="E121" s="34"/>
      <c r="F121" s="32"/>
      <c r="G121" s="35"/>
      <c r="H121" s="35"/>
      <c r="I121" s="34"/>
      <c r="J121" s="35"/>
      <c r="K121" s="34"/>
      <c r="L121" s="34"/>
      <c r="M121" s="34"/>
      <c r="N121" s="34"/>
      <c r="O121" s="34"/>
      <c r="P121" s="34"/>
      <c r="Q121" s="34"/>
      <c r="R121" s="34"/>
      <c r="S121" s="34"/>
      <c r="T121" s="34"/>
    </row>
    <row r="122">
      <c r="A122" s="31"/>
      <c r="B122" s="37"/>
      <c r="C122" s="34"/>
      <c r="D122" s="34"/>
      <c r="E122" s="34"/>
      <c r="F122" s="34"/>
      <c r="G122" s="35"/>
      <c r="H122" s="35"/>
      <c r="I122" s="34"/>
      <c r="J122" s="35"/>
      <c r="K122" s="34"/>
      <c r="L122" s="34"/>
      <c r="M122" s="34"/>
      <c r="N122" s="34"/>
      <c r="O122" s="34"/>
      <c r="P122" s="34"/>
      <c r="Q122" s="34"/>
      <c r="R122" s="34"/>
      <c r="S122" s="34"/>
      <c r="T122" s="41"/>
    </row>
    <row r="123">
      <c r="A123" s="31"/>
      <c r="B123" s="37"/>
      <c r="C123" s="34"/>
      <c r="D123" s="34"/>
      <c r="E123" s="34"/>
      <c r="F123" s="32"/>
      <c r="G123" s="35"/>
      <c r="H123" s="35"/>
      <c r="I123" s="34"/>
      <c r="J123" s="35"/>
      <c r="K123" s="34"/>
      <c r="L123" s="34"/>
      <c r="M123" s="34"/>
      <c r="N123" s="34"/>
      <c r="O123" s="34"/>
      <c r="P123" s="34"/>
      <c r="Q123" s="32"/>
      <c r="R123" s="34"/>
      <c r="S123" s="34"/>
      <c r="T123" s="41"/>
    </row>
    <row r="124">
      <c r="A124" s="31"/>
      <c r="B124" s="37"/>
      <c r="C124" s="34"/>
      <c r="D124" s="34"/>
      <c r="E124" s="34"/>
      <c r="F124" s="34"/>
      <c r="G124" s="35"/>
      <c r="H124" s="35"/>
      <c r="I124" s="34"/>
      <c r="J124" s="35"/>
      <c r="K124" s="34"/>
      <c r="L124" s="34"/>
      <c r="M124" s="34"/>
      <c r="N124" s="34"/>
      <c r="O124" s="34"/>
      <c r="P124" s="34"/>
      <c r="Q124" s="34"/>
      <c r="R124" s="34"/>
      <c r="S124" s="34"/>
      <c r="T124" s="41"/>
    </row>
    <row r="125">
      <c r="A125" s="31"/>
      <c r="B125" s="37"/>
      <c r="C125" s="34"/>
      <c r="D125" s="34"/>
      <c r="E125" s="34"/>
      <c r="F125" s="32"/>
      <c r="G125" s="35"/>
      <c r="H125" s="35"/>
      <c r="I125" s="34"/>
      <c r="J125" s="35"/>
      <c r="K125" s="34"/>
      <c r="L125" s="34"/>
      <c r="M125" s="34"/>
      <c r="N125" s="36"/>
      <c r="O125" s="34"/>
      <c r="P125" s="34"/>
      <c r="Q125" s="34"/>
      <c r="R125" s="34"/>
      <c r="S125" s="34"/>
      <c r="T125" s="41"/>
    </row>
    <row r="126">
      <c r="A126" s="31"/>
      <c r="B126" s="37"/>
      <c r="C126" s="34"/>
      <c r="D126" s="34"/>
      <c r="E126" s="34"/>
      <c r="F126" s="34"/>
      <c r="G126" s="35"/>
      <c r="H126" s="35"/>
      <c r="I126" s="34"/>
      <c r="J126" s="35"/>
      <c r="K126" s="34"/>
      <c r="L126" s="34"/>
      <c r="M126" s="34"/>
      <c r="N126" s="36"/>
      <c r="O126" s="34"/>
      <c r="P126" s="34"/>
      <c r="Q126" s="34"/>
      <c r="R126" s="34"/>
      <c r="S126" s="34"/>
      <c r="T126" s="41"/>
    </row>
    <row r="127">
      <c r="A127" s="31"/>
      <c r="B127" s="37"/>
      <c r="C127" s="34"/>
      <c r="D127" s="34"/>
      <c r="E127" s="34"/>
      <c r="F127" s="34"/>
      <c r="G127" s="35"/>
      <c r="H127" s="35"/>
      <c r="I127" s="34"/>
      <c r="J127" s="35"/>
      <c r="K127" s="34"/>
      <c r="L127" s="34"/>
      <c r="M127" s="34"/>
      <c r="N127" s="36"/>
      <c r="O127" s="34"/>
      <c r="P127" s="34"/>
      <c r="Q127" s="34"/>
      <c r="R127" s="34"/>
      <c r="S127" s="34"/>
      <c r="T127" s="41"/>
    </row>
    <row r="128">
      <c r="A128" s="31"/>
      <c r="B128" s="37"/>
      <c r="C128" s="34"/>
      <c r="D128" s="34"/>
      <c r="E128" s="34"/>
      <c r="F128" s="34"/>
      <c r="G128" s="35"/>
      <c r="H128" s="35"/>
      <c r="I128" s="34"/>
      <c r="J128" s="35"/>
      <c r="K128" s="34"/>
      <c r="L128" s="34"/>
      <c r="M128" s="34"/>
      <c r="N128" s="34"/>
      <c r="O128" s="34"/>
      <c r="P128" s="34"/>
      <c r="Q128" s="34"/>
      <c r="R128" s="34"/>
      <c r="S128" s="34"/>
      <c r="T128" s="34"/>
    </row>
    <row r="129">
      <c r="A129" s="31"/>
      <c r="B129" s="37"/>
      <c r="C129" s="34"/>
      <c r="D129" s="34"/>
      <c r="E129" s="34"/>
      <c r="F129" s="34"/>
      <c r="G129" s="35"/>
      <c r="H129" s="35"/>
      <c r="I129" s="34"/>
      <c r="J129" s="35"/>
      <c r="K129" s="34"/>
      <c r="L129" s="34"/>
      <c r="M129" s="34"/>
      <c r="N129" s="36"/>
      <c r="O129" s="34"/>
      <c r="P129" s="34"/>
      <c r="Q129" s="34"/>
      <c r="R129" s="34"/>
      <c r="S129" s="34"/>
      <c r="T129" s="41"/>
    </row>
    <row r="130">
      <c r="A130" s="31"/>
      <c r="B130" s="37"/>
      <c r="C130" s="34"/>
      <c r="D130" s="34"/>
      <c r="E130" s="34"/>
      <c r="F130" s="34"/>
      <c r="G130" s="35"/>
      <c r="H130" s="35"/>
      <c r="I130" s="34"/>
      <c r="J130" s="35"/>
      <c r="K130" s="34"/>
      <c r="L130" s="34"/>
      <c r="M130" s="34"/>
      <c r="N130" s="34"/>
      <c r="O130" s="34"/>
      <c r="P130" s="34"/>
      <c r="Q130" s="34"/>
      <c r="R130" s="34"/>
      <c r="S130" s="34"/>
      <c r="T130" s="41"/>
    </row>
    <row r="131">
      <c r="A131" s="31"/>
      <c r="B131" s="37"/>
      <c r="C131" s="34"/>
      <c r="D131" s="34"/>
      <c r="E131" s="34"/>
      <c r="F131" s="32"/>
      <c r="G131" s="35"/>
      <c r="H131" s="35"/>
      <c r="I131" s="34"/>
      <c r="J131" s="35"/>
      <c r="K131" s="34"/>
      <c r="L131" s="34"/>
      <c r="M131" s="34"/>
      <c r="N131" s="34"/>
      <c r="O131" s="34"/>
      <c r="P131" s="34"/>
      <c r="Q131" s="34"/>
      <c r="R131" s="34"/>
      <c r="S131" s="34"/>
      <c r="T131" s="34"/>
    </row>
    <row r="132">
      <c r="A132" s="31"/>
      <c r="B132" s="37"/>
      <c r="C132" s="34"/>
      <c r="D132" s="34"/>
      <c r="E132" s="34"/>
      <c r="F132" s="32"/>
      <c r="G132" s="35"/>
      <c r="H132" s="35"/>
      <c r="I132" s="34"/>
      <c r="J132" s="35"/>
      <c r="K132" s="34"/>
      <c r="L132" s="34"/>
      <c r="M132" s="34"/>
      <c r="N132" s="34"/>
      <c r="O132" s="34"/>
      <c r="P132" s="34"/>
      <c r="Q132" s="32"/>
      <c r="R132" s="34"/>
      <c r="S132" s="34"/>
      <c r="T132" s="36"/>
    </row>
    <row r="133">
      <c r="A133" s="31"/>
      <c r="B133" s="37"/>
      <c r="C133" s="34"/>
      <c r="D133" s="34"/>
      <c r="E133" s="34"/>
      <c r="F133" s="34"/>
      <c r="G133" s="35"/>
      <c r="H133" s="35"/>
      <c r="I133" s="34"/>
      <c r="J133" s="35"/>
      <c r="K133" s="34"/>
      <c r="L133" s="34"/>
      <c r="M133" s="34"/>
      <c r="N133" s="34"/>
      <c r="O133" s="34"/>
      <c r="P133" s="34"/>
      <c r="Q133" s="34"/>
      <c r="R133" s="34"/>
      <c r="S133" s="34"/>
      <c r="T133" s="34"/>
    </row>
    <row r="134">
      <c r="A134" s="31"/>
      <c r="B134" s="37"/>
      <c r="C134" s="34"/>
      <c r="D134" s="34"/>
      <c r="E134" s="34"/>
      <c r="F134" s="32"/>
      <c r="G134" s="35"/>
      <c r="H134" s="35"/>
      <c r="I134" s="34"/>
      <c r="J134" s="41"/>
      <c r="K134" s="34"/>
      <c r="L134" s="41"/>
      <c r="M134" s="41"/>
      <c r="N134" s="41"/>
      <c r="O134" s="41"/>
      <c r="P134" s="41"/>
      <c r="Q134" s="32"/>
      <c r="R134" s="34"/>
      <c r="S134" s="34"/>
      <c r="T134" s="41"/>
    </row>
    <row r="135">
      <c r="A135" s="31"/>
      <c r="B135" s="37"/>
      <c r="C135" s="34"/>
      <c r="D135" s="34"/>
      <c r="E135" s="34"/>
      <c r="F135" s="34"/>
      <c r="G135" s="35"/>
      <c r="H135" s="35"/>
      <c r="I135" s="34"/>
      <c r="J135" s="35"/>
      <c r="K135" s="34"/>
      <c r="L135" s="34"/>
      <c r="M135" s="34"/>
      <c r="N135" s="34"/>
      <c r="O135" s="34"/>
      <c r="P135" s="34"/>
      <c r="Q135" s="34"/>
      <c r="R135" s="34"/>
      <c r="S135" s="34"/>
      <c r="T135" s="34"/>
    </row>
  </sheetData>
  <mergeCells count="1"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132</v>
      </c>
      <c r="B1" s="29" t="s">
        <v>1435</v>
      </c>
      <c r="C1" s="30" t="s">
        <v>1436</v>
      </c>
      <c r="D1" s="30" t="s">
        <v>1437</v>
      </c>
      <c r="E1" s="30" t="s">
        <v>1438</v>
      </c>
      <c r="F1" s="30" t="s">
        <v>1439</v>
      </c>
      <c r="G1" s="30" t="s">
        <v>1440</v>
      </c>
      <c r="H1" s="30" t="s">
        <v>1441</v>
      </c>
      <c r="I1" s="30" t="s">
        <v>1442</v>
      </c>
      <c r="J1" s="30" t="s">
        <v>1443</v>
      </c>
      <c r="K1" s="30" t="s">
        <v>1444</v>
      </c>
      <c r="L1" s="30" t="s">
        <v>1445</v>
      </c>
      <c r="M1" s="30" t="s">
        <v>1446</v>
      </c>
      <c r="N1" s="30" t="s">
        <v>1447</v>
      </c>
      <c r="O1" s="30" t="s">
        <v>1448</v>
      </c>
      <c r="P1" s="30" t="s">
        <v>1449</v>
      </c>
      <c r="Q1" s="30" t="s">
        <v>1450</v>
      </c>
      <c r="R1" s="30" t="s">
        <v>1451</v>
      </c>
      <c r="S1" s="30" t="s">
        <v>1452</v>
      </c>
      <c r="T1" s="30" t="s">
        <v>1453</v>
      </c>
    </row>
    <row r="2">
      <c r="A2" s="31" t="s">
        <v>1454</v>
      </c>
      <c r="C2" s="32">
        <v>798.0</v>
      </c>
      <c r="D2" s="33">
        <v>5076.5</v>
      </c>
      <c r="E2" s="34">
        <v>12.3</v>
      </c>
      <c r="F2" s="32">
        <v>62348.0</v>
      </c>
      <c r="G2" s="35">
        <v>0.619</v>
      </c>
      <c r="H2" s="35">
        <v>0.381</v>
      </c>
      <c r="I2" s="32">
        <v>655.0</v>
      </c>
      <c r="J2" s="35">
        <v>0.043</v>
      </c>
      <c r="K2" s="32">
        <v>15102.0</v>
      </c>
      <c r="L2" s="34">
        <v>0.0017467</v>
      </c>
      <c r="M2" s="34">
        <v>0.0011889</v>
      </c>
      <c r="N2" s="36">
        <v>1.49E-4</v>
      </c>
      <c r="O2" s="34">
        <v>4.129E-4</v>
      </c>
      <c r="P2" s="34">
        <v>4.129E-4</v>
      </c>
      <c r="Q2" s="32">
        <v>47190.0</v>
      </c>
      <c r="R2" s="34">
        <v>8.475E-4</v>
      </c>
      <c r="S2" s="34">
        <v>56.0</v>
      </c>
      <c r="T2" s="34">
        <v>0.001577</v>
      </c>
    </row>
    <row r="3">
      <c r="A3" s="31" t="s">
        <v>79</v>
      </c>
      <c r="B3" s="37">
        <v>46113.0</v>
      </c>
      <c r="C3" s="34">
        <v>9.0</v>
      </c>
      <c r="D3" s="34">
        <v>82.2</v>
      </c>
      <c r="E3" s="34">
        <v>15.0</v>
      </c>
      <c r="F3" s="32">
        <v>1230.0</v>
      </c>
      <c r="G3" s="35">
        <v>0.595</v>
      </c>
      <c r="H3" s="35">
        <v>0.405</v>
      </c>
      <c r="I3" s="34">
        <v>26.0</v>
      </c>
      <c r="J3" s="35">
        <v>0.053</v>
      </c>
      <c r="K3" s="34">
        <v>494.0</v>
      </c>
      <c r="L3" s="34">
        <v>0.0017665</v>
      </c>
      <c r="M3" s="34">
        <v>0.0012762</v>
      </c>
      <c r="N3" s="36">
        <v>3.716E-4</v>
      </c>
      <c r="O3" s="34">
        <v>1.689E-4</v>
      </c>
      <c r="P3" s="34">
        <v>1.689E-4</v>
      </c>
      <c r="Q3" s="32">
        <v>736.0</v>
      </c>
      <c r="R3" s="34">
        <v>7.694E-4</v>
      </c>
      <c r="S3" s="34">
        <v>0.0</v>
      </c>
      <c r="T3" s="38"/>
    </row>
    <row r="4">
      <c r="A4" s="31" t="s">
        <v>122</v>
      </c>
      <c r="B4" s="37">
        <v>46113.0</v>
      </c>
      <c r="C4" s="34">
        <v>9.0</v>
      </c>
      <c r="D4" s="34">
        <v>73.1</v>
      </c>
      <c r="E4" s="34">
        <v>10.2</v>
      </c>
      <c r="F4" s="32">
        <v>749.0</v>
      </c>
      <c r="G4" s="35">
        <v>0.699</v>
      </c>
      <c r="H4" s="35">
        <v>0.301</v>
      </c>
      <c r="I4" s="34">
        <v>14.0</v>
      </c>
      <c r="J4" s="35">
        <v>0.064</v>
      </c>
      <c r="K4" s="34">
        <v>219.0</v>
      </c>
      <c r="L4" s="34">
        <v>0.0014458</v>
      </c>
      <c r="M4" s="34">
        <v>0.0010665</v>
      </c>
      <c r="N4" s="36">
        <v>1.216E-4</v>
      </c>
      <c r="O4" s="34">
        <v>2.956E-4</v>
      </c>
      <c r="P4" s="34">
        <v>2.956E-4</v>
      </c>
      <c r="Q4" s="32">
        <v>530.0</v>
      </c>
      <c r="R4" s="34">
        <v>8.306E-4</v>
      </c>
      <c r="S4" s="34">
        <v>0.0</v>
      </c>
      <c r="T4" s="39"/>
    </row>
    <row r="5">
      <c r="A5" s="31" t="s">
        <v>137</v>
      </c>
      <c r="B5" s="37">
        <v>46113.0</v>
      </c>
      <c r="C5" s="34">
        <v>13.0</v>
      </c>
      <c r="D5" s="34">
        <v>64.7</v>
      </c>
      <c r="E5" s="34">
        <v>6.3</v>
      </c>
      <c r="F5" s="32">
        <v>407.0</v>
      </c>
      <c r="G5" s="35">
        <v>0.651</v>
      </c>
      <c r="H5" s="35">
        <v>0.349</v>
      </c>
      <c r="I5" s="34">
        <v>1.0</v>
      </c>
      <c r="J5" s="35">
        <v>0.012</v>
      </c>
      <c r="K5" s="34">
        <v>85.0</v>
      </c>
      <c r="L5" s="34">
        <v>0.0018521</v>
      </c>
      <c r="M5" s="34">
        <v>0.0011541</v>
      </c>
      <c r="N5" s="36">
        <v>4.1E-4</v>
      </c>
      <c r="O5" s="34">
        <v>2.888E-4</v>
      </c>
      <c r="P5" s="34">
        <v>2.888E-4</v>
      </c>
      <c r="Q5" s="32">
        <v>320.0</v>
      </c>
      <c r="R5" s="34">
        <v>7.124E-4</v>
      </c>
      <c r="S5" s="34">
        <v>2.0</v>
      </c>
      <c r="T5" s="34">
        <v>5.498E-4</v>
      </c>
    </row>
    <row r="6">
      <c r="A6" s="31" t="s">
        <v>152</v>
      </c>
      <c r="B6" s="37">
        <v>46113.0</v>
      </c>
      <c r="C6" s="34">
        <v>8.0</v>
      </c>
      <c r="D6" s="34">
        <v>62.0</v>
      </c>
      <c r="E6" s="34">
        <v>14.5</v>
      </c>
      <c r="F6" s="32">
        <v>897.0</v>
      </c>
      <c r="G6" s="35">
        <v>0.366</v>
      </c>
      <c r="H6" s="35">
        <v>0.634</v>
      </c>
      <c r="I6" s="34">
        <v>8.0</v>
      </c>
      <c r="J6" s="35">
        <v>0.06</v>
      </c>
      <c r="K6" s="34">
        <v>133.0</v>
      </c>
      <c r="L6" s="34">
        <v>0.0019573</v>
      </c>
      <c r="M6" s="34">
        <v>0.001188</v>
      </c>
      <c r="N6" s="36">
        <v>2.085E-4</v>
      </c>
      <c r="O6" s="36">
        <v>6.1E-4</v>
      </c>
      <c r="P6" s="36">
        <v>6.1E-4</v>
      </c>
      <c r="Q6" s="32">
        <v>764.0</v>
      </c>
      <c r="R6" s="34">
        <v>9.002E-4</v>
      </c>
      <c r="S6" s="34">
        <v>0.0</v>
      </c>
      <c r="T6" s="39"/>
    </row>
    <row r="7">
      <c r="A7" s="31" t="s">
        <v>164</v>
      </c>
      <c r="B7" s="37">
        <v>46113.0</v>
      </c>
      <c r="C7" s="34">
        <v>14.0</v>
      </c>
      <c r="D7" s="34">
        <v>60.3</v>
      </c>
      <c r="E7" s="34">
        <v>12.3</v>
      </c>
      <c r="F7" s="32">
        <v>741.0</v>
      </c>
      <c r="G7" s="35">
        <v>0.906</v>
      </c>
      <c r="H7" s="35">
        <v>0.094</v>
      </c>
      <c r="I7" s="34">
        <v>2.0</v>
      </c>
      <c r="J7" s="35">
        <v>0.03</v>
      </c>
      <c r="K7" s="34">
        <v>66.0</v>
      </c>
      <c r="L7" s="34">
        <v>0.0015837</v>
      </c>
      <c r="M7" s="34">
        <v>0.0012949</v>
      </c>
      <c r="N7" s="36">
        <v>2.632E-4</v>
      </c>
      <c r="O7" s="34">
        <v>1.563E-4</v>
      </c>
      <c r="P7" s="34">
        <v>1.563E-4</v>
      </c>
      <c r="Q7" s="32">
        <v>674.0</v>
      </c>
      <c r="R7" s="34">
        <v>8.689E-4</v>
      </c>
      <c r="S7" s="34">
        <v>1.0</v>
      </c>
      <c r="T7" s="34">
        <v>0.0015625</v>
      </c>
    </row>
    <row r="8">
      <c r="A8" s="31" t="s">
        <v>177</v>
      </c>
      <c r="B8" s="37">
        <v>46113.0</v>
      </c>
      <c r="C8" s="34">
        <v>10.0</v>
      </c>
      <c r="D8" s="34">
        <v>76.8</v>
      </c>
      <c r="E8" s="34">
        <v>10.6</v>
      </c>
      <c r="F8" s="32">
        <v>815.0</v>
      </c>
      <c r="G8" s="35">
        <v>0.732</v>
      </c>
      <c r="H8" s="35">
        <v>0.268</v>
      </c>
      <c r="I8" s="34">
        <v>7.0</v>
      </c>
      <c r="J8" s="35">
        <v>0.026</v>
      </c>
      <c r="K8" s="34">
        <v>270.0</v>
      </c>
      <c r="L8" s="34">
        <v>0.0014504</v>
      </c>
      <c r="M8" s="34">
        <v>0.0010293</v>
      </c>
      <c r="N8" s="36">
        <v>1.878E-5</v>
      </c>
      <c r="O8" s="34">
        <v>3.721E-4</v>
      </c>
      <c r="P8" s="34">
        <v>3.721E-4</v>
      </c>
      <c r="Q8" s="32">
        <v>545.0</v>
      </c>
      <c r="R8" s="34">
        <v>8.561E-4</v>
      </c>
      <c r="S8" s="34">
        <v>0.0</v>
      </c>
      <c r="T8" s="38"/>
    </row>
    <row r="9">
      <c r="A9" s="31" t="s">
        <v>1455</v>
      </c>
      <c r="B9" s="37">
        <v>46113.0</v>
      </c>
      <c r="C9" s="34">
        <v>8.0</v>
      </c>
      <c r="D9" s="34">
        <v>73.0</v>
      </c>
      <c r="E9" s="34">
        <v>17.2</v>
      </c>
      <c r="F9" s="32">
        <v>1258.0</v>
      </c>
      <c r="G9" s="35">
        <v>0.133</v>
      </c>
      <c r="H9" s="35">
        <v>0.867</v>
      </c>
      <c r="I9" s="34">
        <v>3.0</v>
      </c>
      <c r="J9" s="35">
        <v>0.068</v>
      </c>
      <c r="K9" s="34">
        <v>44.0</v>
      </c>
      <c r="L9" s="34">
        <v>0.0028806</v>
      </c>
      <c r="M9" s="34">
        <v>0.0016627</v>
      </c>
      <c r="N9" s="36">
        <v>0.0023593</v>
      </c>
      <c r="O9" s="34">
        <v>3.801E-4</v>
      </c>
      <c r="P9" s="34">
        <v>3.801E-4</v>
      </c>
      <c r="Q9" s="32">
        <v>1212.0</v>
      </c>
      <c r="R9" s="34">
        <v>0.0011389</v>
      </c>
      <c r="S9" s="34">
        <v>2.0</v>
      </c>
      <c r="T9" s="34">
        <v>0.0021354</v>
      </c>
    </row>
    <row r="10">
      <c r="A10" s="31" t="s">
        <v>225</v>
      </c>
      <c r="B10" s="37">
        <v>46113.0</v>
      </c>
      <c r="C10" s="34">
        <v>6.0</v>
      </c>
      <c r="D10" s="34">
        <v>46.9</v>
      </c>
      <c r="E10" s="34">
        <v>19.7</v>
      </c>
      <c r="F10" s="32">
        <v>922.0</v>
      </c>
      <c r="G10" s="35">
        <v>0.625</v>
      </c>
      <c r="H10" s="35">
        <v>0.375</v>
      </c>
      <c r="I10" s="34">
        <v>1.0</v>
      </c>
      <c r="J10" s="35">
        <v>0.043</v>
      </c>
      <c r="K10" s="34">
        <v>23.0</v>
      </c>
      <c r="L10" s="34">
        <v>0.0022459</v>
      </c>
      <c r="M10" s="34">
        <v>0.0019213</v>
      </c>
      <c r="N10" s="36">
        <v>5.5E-4</v>
      </c>
      <c r="O10" s="36">
        <v>2.687E-4</v>
      </c>
      <c r="P10" s="36">
        <v>2.687E-4</v>
      </c>
      <c r="Q10" s="32">
        <v>898.0</v>
      </c>
      <c r="R10" s="34">
        <v>9.676E-4</v>
      </c>
      <c r="S10" s="34">
        <v>1.0</v>
      </c>
      <c r="T10" s="34">
        <v>4.282E-4</v>
      </c>
    </row>
    <row r="11">
      <c r="A11" s="31" t="s">
        <v>260</v>
      </c>
      <c r="B11" s="37">
        <v>46113.0</v>
      </c>
      <c r="C11" s="34">
        <v>7.0</v>
      </c>
      <c r="D11" s="34">
        <v>49.9</v>
      </c>
      <c r="E11" s="34">
        <v>11.2</v>
      </c>
      <c r="F11" s="32">
        <v>558.0</v>
      </c>
      <c r="G11" s="35">
        <v>0.829</v>
      </c>
      <c r="H11" s="35">
        <v>0.171</v>
      </c>
      <c r="I11" s="34">
        <v>12.0</v>
      </c>
      <c r="J11" s="35">
        <v>0.032</v>
      </c>
      <c r="K11" s="34">
        <v>371.0</v>
      </c>
      <c r="L11" s="34">
        <v>0.0025946</v>
      </c>
      <c r="M11" s="34">
        <v>0.001762</v>
      </c>
      <c r="N11" s="36">
        <v>1.511E-4</v>
      </c>
      <c r="O11" s="34">
        <v>6.479E-4</v>
      </c>
      <c r="P11" s="34">
        <v>6.479E-4</v>
      </c>
      <c r="Q11" s="34">
        <v>184.0</v>
      </c>
      <c r="R11" s="34">
        <v>9.822E-4</v>
      </c>
      <c r="S11" s="34">
        <v>3.0</v>
      </c>
      <c r="T11" s="34">
        <v>5.594E-4</v>
      </c>
    </row>
    <row r="12">
      <c r="A12" s="31" t="s">
        <v>1456</v>
      </c>
      <c r="B12" s="37">
        <v>46113.0</v>
      </c>
      <c r="C12" s="34">
        <v>2.0</v>
      </c>
      <c r="D12" s="34">
        <v>0.1</v>
      </c>
      <c r="E12" s="34">
        <v>24.6</v>
      </c>
      <c r="F12" s="32">
        <v>2.0</v>
      </c>
      <c r="G12" s="35">
        <v>0.0</v>
      </c>
      <c r="H12" s="35">
        <v>1.0</v>
      </c>
      <c r="I12" s="34">
        <v>0.0</v>
      </c>
      <c r="J12" s="40"/>
      <c r="K12" s="34">
        <v>0.0</v>
      </c>
      <c r="L12" s="39"/>
      <c r="M12" s="39"/>
      <c r="N12" s="38"/>
      <c r="O12" s="39"/>
      <c r="P12" s="39"/>
      <c r="Q12" s="32">
        <v>1.0</v>
      </c>
      <c r="R12" s="34">
        <v>3.241E-4</v>
      </c>
      <c r="S12" s="34">
        <v>1.0</v>
      </c>
      <c r="T12" s="34">
        <v>3.125E-4</v>
      </c>
    </row>
    <row r="13">
      <c r="A13" s="31" t="s">
        <v>273</v>
      </c>
      <c r="B13" s="37">
        <v>46113.0</v>
      </c>
      <c r="C13" s="34">
        <v>9.0</v>
      </c>
      <c r="D13" s="34">
        <v>66.6</v>
      </c>
      <c r="E13" s="34">
        <v>7.0</v>
      </c>
      <c r="F13" s="32">
        <v>463.0</v>
      </c>
      <c r="G13" s="35">
        <v>0.515</v>
      </c>
      <c r="H13" s="35">
        <v>0.485</v>
      </c>
      <c r="I13" s="34">
        <v>7.0</v>
      </c>
      <c r="J13" s="35">
        <v>0.055</v>
      </c>
      <c r="K13" s="34">
        <v>128.0</v>
      </c>
      <c r="L13" s="34">
        <v>0.0025617</v>
      </c>
      <c r="M13" s="34">
        <v>0.0019273</v>
      </c>
      <c r="N13" s="36">
        <v>5.561E-5</v>
      </c>
      <c r="O13" s="34">
        <v>4.66E-4</v>
      </c>
      <c r="P13" s="34">
        <v>4.66E-4</v>
      </c>
      <c r="Q13" s="32">
        <v>335.0</v>
      </c>
      <c r="R13" s="34">
        <v>0.0011696</v>
      </c>
      <c r="S13" s="34">
        <v>0.0</v>
      </c>
      <c r="T13" s="39"/>
    </row>
    <row r="14">
      <c r="A14" s="31" t="s">
        <v>289</v>
      </c>
      <c r="B14" s="37">
        <v>46113.0</v>
      </c>
      <c r="C14" s="34">
        <v>9.0</v>
      </c>
      <c r="D14" s="34">
        <v>85.9</v>
      </c>
      <c r="E14" s="34">
        <v>20.9</v>
      </c>
      <c r="F14" s="32">
        <v>1792.0</v>
      </c>
      <c r="G14" s="35">
        <v>0.26</v>
      </c>
      <c r="H14" s="35">
        <v>0.74</v>
      </c>
      <c r="I14" s="34">
        <v>16.0</v>
      </c>
      <c r="J14" s="35">
        <v>0.064</v>
      </c>
      <c r="K14" s="34">
        <v>251.0</v>
      </c>
      <c r="L14" s="34">
        <v>0.0017433</v>
      </c>
      <c r="M14" s="34">
        <v>7.682E-4</v>
      </c>
      <c r="N14" s="36">
        <v>1.446E-4</v>
      </c>
      <c r="O14" s="34">
        <v>7.254E-4</v>
      </c>
      <c r="P14" s="34">
        <v>7.254E-4</v>
      </c>
      <c r="Q14" s="32">
        <v>1540.0</v>
      </c>
      <c r="R14" s="34">
        <v>4.599E-4</v>
      </c>
      <c r="S14" s="34">
        <v>1.0</v>
      </c>
      <c r="T14" s="34">
        <v>1.505E-4</v>
      </c>
    </row>
    <row r="15">
      <c r="A15" s="31" t="s">
        <v>1457</v>
      </c>
      <c r="B15" s="37">
        <v>46113.0</v>
      </c>
      <c r="C15" s="34">
        <v>8.0</v>
      </c>
      <c r="D15" s="34">
        <v>55.3</v>
      </c>
      <c r="E15" s="34">
        <v>10.7</v>
      </c>
      <c r="F15" s="32">
        <v>593.0</v>
      </c>
      <c r="G15" s="35">
        <v>0.937</v>
      </c>
      <c r="H15" s="35">
        <v>0.063</v>
      </c>
      <c r="I15" s="34">
        <v>30.0</v>
      </c>
      <c r="J15" s="35">
        <v>0.088</v>
      </c>
      <c r="K15" s="34">
        <v>340.0</v>
      </c>
      <c r="L15" s="34">
        <v>0.0018292</v>
      </c>
      <c r="M15" s="34">
        <v>0.0012425</v>
      </c>
      <c r="N15" s="36">
        <v>2.272E-4</v>
      </c>
      <c r="O15" s="34">
        <v>3.439E-4</v>
      </c>
      <c r="P15" s="34">
        <v>3.439E-4</v>
      </c>
      <c r="Q15" s="32">
        <v>252.0</v>
      </c>
      <c r="R15" s="34">
        <v>8.763E-4</v>
      </c>
      <c r="S15" s="34">
        <v>1.0</v>
      </c>
      <c r="T15" s="34">
        <v>4.745E-4</v>
      </c>
    </row>
    <row r="16">
      <c r="A16" s="31" t="s">
        <v>321</v>
      </c>
      <c r="B16" s="37">
        <v>46113.0</v>
      </c>
      <c r="C16" s="34">
        <v>9.0</v>
      </c>
      <c r="D16" s="34">
        <v>58.0</v>
      </c>
      <c r="E16" s="34">
        <v>15.9</v>
      </c>
      <c r="F16" s="32">
        <v>925.0</v>
      </c>
      <c r="G16" s="35">
        <v>0.189</v>
      </c>
      <c r="H16" s="35">
        <v>0.811</v>
      </c>
      <c r="I16" s="34">
        <v>8.0</v>
      </c>
      <c r="J16" s="35">
        <v>0.09</v>
      </c>
      <c r="K16" s="34">
        <v>89.0</v>
      </c>
      <c r="L16" s="34">
        <v>0.001988</v>
      </c>
      <c r="M16" s="34">
        <v>0.0015289</v>
      </c>
      <c r="N16" s="36">
        <v>5.951E-4</v>
      </c>
      <c r="O16" s="34">
        <v>1.875E-4</v>
      </c>
      <c r="P16" s="34">
        <v>1.875E-4</v>
      </c>
      <c r="Q16" s="32">
        <v>836.0</v>
      </c>
      <c r="R16" s="34">
        <v>9.032E-4</v>
      </c>
      <c r="S16" s="34">
        <v>0.0</v>
      </c>
      <c r="T16" s="39"/>
    </row>
    <row r="17">
      <c r="A17" s="31" t="s">
        <v>333</v>
      </c>
      <c r="B17" s="37">
        <v>46113.0</v>
      </c>
      <c r="C17" s="34">
        <v>8.0</v>
      </c>
      <c r="D17" s="34">
        <v>73.8</v>
      </c>
      <c r="E17" s="34">
        <v>11.1</v>
      </c>
      <c r="F17" s="32">
        <v>822.0</v>
      </c>
      <c r="G17" s="35">
        <v>0.648</v>
      </c>
      <c r="H17" s="35">
        <v>0.352</v>
      </c>
      <c r="I17" s="34">
        <v>6.0</v>
      </c>
      <c r="J17" s="35">
        <v>0.017</v>
      </c>
      <c r="K17" s="34">
        <v>349.0</v>
      </c>
      <c r="L17" s="34">
        <v>0.0019464</v>
      </c>
      <c r="M17" s="34">
        <v>0.0011315</v>
      </c>
      <c r="N17" s="34">
        <v>1.006E-4</v>
      </c>
      <c r="O17" s="34">
        <v>7.131E-4</v>
      </c>
      <c r="P17" s="34">
        <v>7.131E-4</v>
      </c>
      <c r="Q17" s="32">
        <v>473.0</v>
      </c>
      <c r="R17" s="34">
        <v>9.914E-4</v>
      </c>
      <c r="S17" s="34">
        <v>0.0</v>
      </c>
      <c r="T17" s="39"/>
    </row>
    <row r="18">
      <c r="A18" s="31" t="s">
        <v>1458</v>
      </c>
      <c r="B18" s="37">
        <v>46113.0</v>
      </c>
      <c r="C18" s="34">
        <v>9.0</v>
      </c>
      <c r="D18" s="34">
        <v>61.7</v>
      </c>
      <c r="E18" s="34">
        <v>16.0</v>
      </c>
      <c r="F18" s="32">
        <v>986.0</v>
      </c>
      <c r="G18" s="35">
        <v>0.514</v>
      </c>
      <c r="H18" s="35">
        <v>0.486</v>
      </c>
      <c r="I18" s="34">
        <v>22.0</v>
      </c>
      <c r="J18" s="35">
        <v>0.058</v>
      </c>
      <c r="K18" s="34">
        <v>381.0</v>
      </c>
      <c r="L18" s="34">
        <v>0.0014224</v>
      </c>
      <c r="M18" s="34">
        <v>8.504E-4</v>
      </c>
      <c r="N18" s="36">
        <v>9.651E-5</v>
      </c>
      <c r="O18" s="36">
        <v>4.585E-4</v>
      </c>
      <c r="P18" s="36">
        <v>4.585E-4</v>
      </c>
      <c r="Q18" s="32">
        <v>605.0</v>
      </c>
      <c r="R18" s="36">
        <v>8.112E-4</v>
      </c>
      <c r="S18" s="34">
        <v>0.0</v>
      </c>
      <c r="T18" s="39"/>
    </row>
    <row r="19">
      <c r="A19" s="31" t="s">
        <v>352</v>
      </c>
      <c r="B19" s="37">
        <v>46113.0</v>
      </c>
      <c r="C19" s="34">
        <v>11.0</v>
      </c>
      <c r="D19" s="34">
        <v>87.6</v>
      </c>
      <c r="E19" s="34">
        <v>14.9</v>
      </c>
      <c r="F19" s="32">
        <v>1309.0</v>
      </c>
      <c r="G19" s="35">
        <v>0.549</v>
      </c>
      <c r="H19" s="35">
        <v>0.451</v>
      </c>
      <c r="I19" s="34">
        <v>7.0</v>
      </c>
      <c r="J19" s="35">
        <v>0.079</v>
      </c>
      <c r="K19" s="34">
        <v>89.0</v>
      </c>
      <c r="L19" s="34">
        <v>0.0031921</v>
      </c>
      <c r="M19" s="34">
        <v>0.0019641</v>
      </c>
      <c r="N19" s="36">
        <v>4.267E-4</v>
      </c>
      <c r="O19" s="36">
        <v>9.902E-4</v>
      </c>
      <c r="P19" s="36">
        <v>9.902E-4</v>
      </c>
      <c r="Q19" s="32">
        <v>1220.0</v>
      </c>
      <c r="R19" s="34">
        <v>8.36E-4</v>
      </c>
      <c r="S19" s="34">
        <v>0.0</v>
      </c>
      <c r="T19" s="39"/>
    </row>
    <row r="20">
      <c r="A20" s="31" t="s">
        <v>1474</v>
      </c>
      <c r="B20" s="37">
        <v>46113.0</v>
      </c>
      <c r="C20" s="34">
        <v>3.0</v>
      </c>
      <c r="D20" s="34">
        <v>3.2</v>
      </c>
      <c r="E20" s="34">
        <v>0.3</v>
      </c>
      <c r="F20" s="32">
        <v>1.0</v>
      </c>
      <c r="G20" s="35">
        <v>0.0</v>
      </c>
      <c r="H20" s="35">
        <v>1.0</v>
      </c>
      <c r="I20" s="34">
        <v>0.0</v>
      </c>
      <c r="J20" s="40"/>
      <c r="K20" s="34">
        <v>0.0</v>
      </c>
      <c r="L20" s="39"/>
      <c r="M20" s="39"/>
      <c r="N20" s="38"/>
      <c r="O20" s="39"/>
      <c r="P20" s="39"/>
      <c r="Q20" s="32">
        <v>1.0</v>
      </c>
      <c r="R20" s="34">
        <v>1.157E-4</v>
      </c>
      <c r="S20" s="34">
        <v>0.0</v>
      </c>
      <c r="T20" s="39"/>
    </row>
    <row r="21">
      <c r="A21" s="31" t="s">
        <v>377</v>
      </c>
      <c r="B21" s="37">
        <v>46113.0</v>
      </c>
      <c r="C21" s="34">
        <v>8.0</v>
      </c>
      <c r="D21" s="34">
        <v>52.2</v>
      </c>
      <c r="E21" s="34">
        <v>16.3</v>
      </c>
      <c r="F21" s="32">
        <v>849.0</v>
      </c>
      <c r="G21" s="35">
        <v>0.239</v>
      </c>
      <c r="H21" s="35">
        <v>0.761</v>
      </c>
      <c r="I21" s="34">
        <v>9.0</v>
      </c>
      <c r="J21" s="35">
        <v>0.176</v>
      </c>
      <c r="K21" s="34">
        <v>51.0</v>
      </c>
      <c r="L21" s="34">
        <v>0.0024483</v>
      </c>
      <c r="M21" s="34">
        <v>0.0017202</v>
      </c>
      <c r="N21" s="36">
        <v>0.0010296</v>
      </c>
      <c r="O21" s="34">
        <v>3.334E-4</v>
      </c>
      <c r="P21" s="34">
        <v>3.334E-4</v>
      </c>
      <c r="Q21" s="32">
        <v>797.0</v>
      </c>
      <c r="R21" s="34">
        <v>9.254E-4</v>
      </c>
      <c r="S21" s="34">
        <v>1.0</v>
      </c>
      <c r="T21" s="34">
        <v>3.819E-4</v>
      </c>
    </row>
    <row r="22">
      <c r="A22" s="31" t="s">
        <v>1459</v>
      </c>
      <c r="B22" s="37">
        <v>46113.0</v>
      </c>
      <c r="C22" s="34">
        <v>6.0</v>
      </c>
      <c r="D22" s="34">
        <v>22.5</v>
      </c>
      <c r="E22" s="34">
        <v>16.9</v>
      </c>
      <c r="F22" s="32">
        <v>379.0</v>
      </c>
      <c r="G22" s="35">
        <v>0.059</v>
      </c>
      <c r="H22" s="35">
        <v>0.941</v>
      </c>
      <c r="I22" s="34">
        <v>1.0</v>
      </c>
      <c r="J22" s="35">
        <v>0.091</v>
      </c>
      <c r="K22" s="34">
        <v>11.0</v>
      </c>
      <c r="L22" s="34">
        <v>0.001572</v>
      </c>
      <c r="M22" s="34">
        <v>8.154E-4</v>
      </c>
      <c r="N22" s="36">
        <v>2.82E-4</v>
      </c>
      <c r="O22" s="34">
        <v>6.587E-4</v>
      </c>
      <c r="P22" s="34">
        <v>6.587E-4</v>
      </c>
      <c r="Q22" s="32">
        <v>366.0</v>
      </c>
      <c r="R22" s="34">
        <v>7.547E-4</v>
      </c>
      <c r="S22" s="34">
        <v>2.0</v>
      </c>
      <c r="T22" s="34">
        <v>3.877E-4</v>
      </c>
    </row>
    <row r="23">
      <c r="A23" s="31" t="s">
        <v>1460</v>
      </c>
      <c r="B23" s="37">
        <v>46113.0</v>
      </c>
      <c r="C23" s="34">
        <v>15.0</v>
      </c>
      <c r="D23" s="34">
        <v>68.5</v>
      </c>
      <c r="E23" s="34">
        <v>9.1</v>
      </c>
      <c r="F23" s="32">
        <v>621.0</v>
      </c>
      <c r="G23" s="35">
        <v>0.8</v>
      </c>
      <c r="H23" s="35">
        <v>0.2</v>
      </c>
      <c r="I23" s="34">
        <v>0.0</v>
      </c>
      <c r="J23" s="35">
        <v>0.0</v>
      </c>
      <c r="K23" s="34">
        <v>385.0</v>
      </c>
      <c r="L23" s="34">
        <v>0.0013475</v>
      </c>
      <c r="M23" s="34">
        <v>0.0011071</v>
      </c>
      <c r="N23" s="36">
        <v>9.921E-7</v>
      </c>
      <c r="O23" s="34">
        <v>1.975E-4</v>
      </c>
      <c r="P23" s="34">
        <v>1.975E-4</v>
      </c>
      <c r="Q23" s="32">
        <v>236.0</v>
      </c>
      <c r="R23" s="34">
        <v>8.566E-4</v>
      </c>
      <c r="S23" s="34">
        <v>0.0</v>
      </c>
      <c r="T23" s="38"/>
    </row>
    <row r="24">
      <c r="A24" s="31" t="s">
        <v>412</v>
      </c>
      <c r="B24" s="37">
        <v>46113.0</v>
      </c>
      <c r="C24" s="34">
        <v>7.0</v>
      </c>
      <c r="D24" s="34">
        <v>44.6</v>
      </c>
      <c r="E24" s="34">
        <v>15.9</v>
      </c>
      <c r="F24" s="32">
        <v>710.0</v>
      </c>
      <c r="G24" s="35">
        <v>0.413</v>
      </c>
      <c r="H24" s="35">
        <v>0.587</v>
      </c>
      <c r="I24" s="34">
        <v>4.0</v>
      </c>
      <c r="J24" s="35">
        <v>0.038</v>
      </c>
      <c r="K24" s="34">
        <v>106.0</v>
      </c>
      <c r="L24" s="34">
        <v>0.0022647</v>
      </c>
      <c r="M24" s="34">
        <v>0.0012657</v>
      </c>
      <c r="N24" s="36">
        <v>1.6E-4</v>
      </c>
      <c r="O24" s="34">
        <v>8.741E-4</v>
      </c>
      <c r="P24" s="34">
        <v>8.741E-4</v>
      </c>
      <c r="Q24" s="32">
        <v>603.0</v>
      </c>
      <c r="R24" s="34">
        <v>8.294E-4</v>
      </c>
      <c r="S24" s="34">
        <v>1.0</v>
      </c>
      <c r="T24" s="34">
        <v>2.083E-4</v>
      </c>
    </row>
    <row r="25">
      <c r="A25" s="31" t="s">
        <v>426</v>
      </c>
      <c r="B25" s="37">
        <v>46113.0</v>
      </c>
      <c r="C25" s="34">
        <v>12.0</v>
      </c>
      <c r="D25" s="34">
        <v>72.1</v>
      </c>
      <c r="E25" s="34">
        <v>20.9</v>
      </c>
      <c r="F25" s="32">
        <v>1503.0</v>
      </c>
      <c r="G25" s="35">
        <v>0.936</v>
      </c>
      <c r="H25" s="35">
        <v>0.064</v>
      </c>
      <c r="I25" s="34">
        <v>0.0</v>
      </c>
      <c r="J25" s="35">
        <v>0.0</v>
      </c>
      <c r="K25" s="34">
        <v>51.0</v>
      </c>
      <c r="L25" s="34">
        <v>0.0015525</v>
      </c>
      <c r="M25" s="34">
        <v>0.0011007</v>
      </c>
      <c r="N25" s="36">
        <v>2.483E-4</v>
      </c>
      <c r="O25" s="34">
        <v>3.504E-4</v>
      </c>
      <c r="P25" s="34">
        <v>3.504E-4</v>
      </c>
      <c r="Q25" s="32">
        <v>1452.0</v>
      </c>
      <c r="R25" s="34">
        <v>7.587E-4</v>
      </c>
      <c r="S25" s="34">
        <v>0.0</v>
      </c>
      <c r="T25" s="39"/>
    </row>
    <row r="26">
      <c r="A26" s="31" t="s">
        <v>440</v>
      </c>
      <c r="B26" s="37">
        <v>46113.0</v>
      </c>
      <c r="C26" s="34">
        <v>15.0</v>
      </c>
      <c r="D26" s="34">
        <v>79.8</v>
      </c>
      <c r="E26" s="34">
        <v>19.3</v>
      </c>
      <c r="F26" s="32">
        <v>1537.0</v>
      </c>
      <c r="G26" s="35">
        <v>0.49</v>
      </c>
      <c r="H26" s="35">
        <v>0.51</v>
      </c>
      <c r="I26" s="34">
        <v>17.0</v>
      </c>
      <c r="J26" s="35">
        <v>0.036</v>
      </c>
      <c r="K26" s="34">
        <v>469.0</v>
      </c>
      <c r="L26" s="34">
        <v>0.0013931</v>
      </c>
      <c r="M26" s="34">
        <v>9.178E-4</v>
      </c>
      <c r="N26" s="36">
        <v>3.781E-5</v>
      </c>
      <c r="O26" s="34">
        <v>4.384E-4</v>
      </c>
      <c r="P26" s="34">
        <v>4.384E-4</v>
      </c>
      <c r="Q26" s="32">
        <v>1068.0</v>
      </c>
      <c r="R26" s="34">
        <v>8.062E-4</v>
      </c>
      <c r="S26" s="34">
        <v>0.0</v>
      </c>
      <c r="T26" s="39"/>
    </row>
    <row r="27">
      <c r="A27" s="31" t="s">
        <v>489</v>
      </c>
      <c r="B27" s="37">
        <v>46113.0</v>
      </c>
      <c r="C27" s="34">
        <v>10.0</v>
      </c>
      <c r="D27" s="34">
        <v>75.6</v>
      </c>
      <c r="E27" s="34">
        <v>16.9</v>
      </c>
      <c r="F27" s="32">
        <v>1274.0</v>
      </c>
      <c r="G27" s="35">
        <v>0.373</v>
      </c>
      <c r="H27" s="35">
        <v>0.627</v>
      </c>
      <c r="I27" s="34">
        <v>5.0</v>
      </c>
      <c r="J27" s="35">
        <v>0.022</v>
      </c>
      <c r="K27" s="34">
        <v>227.0</v>
      </c>
      <c r="L27" s="34">
        <v>0.0019688</v>
      </c>
      <c r="M27" s="34">
        <v>0.0011954</v>
      </c>
      <c r="N27" s="34">
        <v>1.175E-4</v>
      </c>
      <c r="O27" s="34">
        <v>6.552E-4</v>
      </c>
      <c r="P27" s="34">
        <v>6.552E-4</v>
      </c>
      <c r="Q27" s="32">
        <v>1047.0</v>
      </c>
      <c r="R27" s="34">
        <v>8.652E-4</v>
      </c>
      <c r="S27" s="34">
        <v>0.0</v>
      </c>
      <c r="T27" s="39"/>
    </row>
    <row r="28">
      <c r="A28" s="31" t="s">
        <v>497</v>
      </c>
      <c r="B28" s="37">
        <v>46113.0</v>
      </c>
      <c r="C28" s="34">
        <v>5.0</v>
      </c>
      <c r="D28" s="34">
        <v>30.3</v>
      </c>
      <c r="E28" s="34">
        <v>10.9</v>
      </c>
      <c r="F28" s="32">
        <v>330.0</v>
      </c>
      <c r="G28" s="35">
        <v>0.867</v>
      </c>
      <c r="H28" s="35">
        <v>0.133</v>
      </c>
      <c r="I28" s="34">
        <v>5.0</v>
      </c>
      <c r="J28" s="35">
        <v>0.098</v>
      </c>
      <c r="K28" s="34">
        <v>51.0</v>
      </c>
      <c r="L28" s="34">
        <v>0.0021262</v>
      </c>
      <c r="M28" s="34">
        <v>0.0010242</v>
      </c>
      <c r="N28" s="36">
        <v>0.0011222</v>
      </c>
      <c r="O28" s="36">
        <v>2.685E-4</v>
      </c>
      <c r="P28" s="36">
        <v>2.685E-4</v>
      </c>
      <c r="Q28" s="32">
        <v>278.0</v>
      </c>
      <c r="R28" s="34">
        <v>8.073E-4</v>
      </c>
      <c r="S28" s="34">
        <v>1.0</v>
      </c>
      <c r="T28" s="36">
        <v>1.273E-4</v>
      </c>
    </row>
    <row r="29">
      <c r="A29" s="31" t="s">
        <v>515</v>
      </c>
      <c r="B29" s="37">
        <v>46113.0</v>
      </c>
      <c r="C29" s="34">
        <v>8.0</v>
      </c>
      <c r="D29" s="34">
        <v>52.5</v>
      </c>
      <c r="E29" s="34">
        <v>7.5</v>
      </c>
      <c r="F29" s="32">
        <v>392.0</v>
      </c>
      <c r="G29" s="35">
        <v>0.397</v>
      </c>
      <c r="H29" s="35">
        <v>0.603</v>
      </c>
      <c r="I29" s="34">
        <v>2.0</v>
      </c>
      <c r="J29" s="35">
        <v>0.031</v>
      </c>
      <c r="K29" s="34">
        <v>65.0</v>
      </c>
      <c r="L29" s="34">
        <v>0.0018408</v>
      </c>
      <c r="M29" s="34">
        <v>0.0011163</v>
      </c>
      <c r="N29" s="36">
        <v>8.743E-5</v>
      </c>
      <c r="O29" s="34">
        <v>6.385E-4</v>
      </c>
      <c r="P29" s="34">
        <v>6.385E-4</v>
      </c>
      <c r="Q29" s="32">
        <v>327.0</v>
      </c>
      <c r="R29" s="36">
        <v>8.363E-4</v>
      </c>
      <c r="S29" s="34">
        <v>0.0</v>
      </c>
      <c r="T29" s="39"/>
    </row>
    <row r="30">
      <c r="A30" s="31" t="s">
        <v>526</v>
      </c>
      <c r="B30" s="37">
        <v>46113.0</v>
      </c>
      <c r="C30" s="34">
        <v>9.0</v>
      </c>
      <c r="D30" s="34">
        <v>43.1</v>
      </c>
      <c r="E30" s="34">
        <v>9.0</v>
      </c>
      <c r="F30" s="32">
        <v>387.0</v>
      </c>
      <c r="G30" s="35">
        <v>0.948</v>
      </c>
      <c r="H30" s="35">
        <v>0.052</v>
      </c>
      <c r="I30" s="34">
        <v>17.0</v>
      </c>
      <c r="J30" s="35">
        <v>0.103</v>
      </c>
      <c r="K30" s="34">
        <v>165.0</v>
      </c>
      <c r="L30" s="34">
        <v>0.001607</v>
      </c>
      <c r="M30" s="34">
        <v>0.0013122</v>
      </c>
      <c r="N30" s="36">
        <v>1.978E-4</v>
      </c>
      <c r="O30" s="36">
        <v>9.989E-5</v>
      </c>
      <c r="P30" s="36">
        <v>9.989E-5</v>
      </c>
      <c r="Q30" s="32">
        <v>222.0</v>
      </c>
      <c r="R30" s="34">
        <v>8.985E-4</v>
      </c>
      <c r="S30" s="34">
        <v>0.0</v>
      </c>
      <c r="T30" s="39"/>
    </row>
    <row r="31">
      <c r="A31" s="31" t="s">
        <v>538</v>
      </c>
      <c r="B31" s="37">
        <v>46113.0</v>
      </c>
      <c r="C31" s="34">
        <v>7.0</v>
      </c>
      <c r="D31" s="34">
        <v>51.3</v>
      </c>
      <c r="E31" s="34">
        <v>6.1</v>
      </c>
      <c r="F31" s="32">
        <v>314.0</v>
      </c>
      <c r="G31" s="35">
        <v>0.632</v>
      </c>
      <c r="H31" s="35">
        <v>0.368</v>
      </c>
      <c r="I31" s="34">
        <v>0.0</v>
      </c>
      <c r="J31" s="35">
        <v>0.0</v>
      </c>
      <c r="K31" s="34">
        <v>64.0</v>
      </c>
      <c r="L31" s="34">
        <v>6.491E-4</v>
      </c>
      <c r="M31" s="34">
        <v>4.34E-4</v>
      </c>
      <c r="N31" s="36">
        <v>6.872E-6</v>
      </c>
      <c r="O31" s="34">
        <v>2.148E-4</v>
      </c>
      <c r="P31" s="34">
        <v>2.148E-4</v>
      </c>
      <c r="Q31" s="32">
        <v>247.0</v>
      </c>
      <c r="R31" s="34">
        <v>7.303E-4</v>
      </c>
      <c r="S31" s="34">
        <v>3.0</v>
      </c>
      <c r="T31" s="34">
        <v>4.09E-4</v>
      </c>
    </row>
    <row r="32">
      <c r="A32" s="31" t="s">
        <v>553</v>
      </c>
      <c r="B32" s="37">
        <v>46113.0</v>
      </c>
      <c r="C32" s="34">
        <v>7.0</v>
      </c>
      <c r="D32" s="34">
        <v>23.8</v>
      </c>
      <c r="E32" s="34">
        <v>6.4</v>
      </c>
      <c r="F32" s="32">
        <v>153.0</v>
      </c>
      <c r="G32" s="35">
        <v>0.868</v>
      </c>
      <c r="H32" s="35">
        <v>0.132</v>
      </c>
      <c r="I32" s="34">
        <v>3.0</v>
      </c>
      <c r="J32" s="35">
        <v>0.063</v>
      </c>
      <c r="K32" s="34">
        <v>48.0</v>
      </c>
      <c r="L32" s="34">
        <v>0.0018687</v>
      </c>
      <c r="M32" s="34">
        <v>0.0016264</v>
      </c>
      <c r="N32" s="36">
        <v>1.329E-4</v>
      </c>
      <c r="O32" s="36">
        <v>1.502E-4</v>
      </c>
      <c r="P32" s="36">
        <v>1.502E-4</v>
      </c>
      <c r="Q32" s="32">
        <v>105.0</v>
      </c>
      <c r="R32" s="34">
        <v>9.976E-4</v>
      </c>
      <c r="S32" s="34">
        <v>0.0</v>
      </c>
      <c r="T32" s="39"/>
    </row>
    <row r="33">
      <c r="A33" s="31" t="s">
        <v>566</v>
      </c>
      <c r="B33" s="37">
        <v>46113.0</v>
      </c>
      <c r="C33" s="34">
        <v>11.0</v>
      </c>
      <c r="D33" s="34">
        <v>72.0</v>
      </c>
      <c r="E33" s="34">
        <v>7.1</v>
      </c>
      <c r="F33" s="32">
        <v>509.0</v>
      </c>
      <c r="G33" s="35">
        <v>0.693</v>
      </c>
      <c r="H33" s="35">
        <v>0.307</v>
      </c>
      <c r="I33" s="34">
        <v>0.0</v>
      </c>
      <c r="J33" s="35">
        <v>0.0</v>
      </c>
      <c r="K33" s="34">
        <v>108.0</v>
      </c>
      <c r="L33" s="34">
        <v>0.0021088</v>
      </c>
      <c r="M33" s="34">
        <v>0.0019955</v>
      </c>
      <c r="N33" s="36">
        <v>4.555E-5</v>
      </c>
      <c r="O33" s="36">
        <v>7.823E-5</v>
      </c>
      <c r="P33" s="36">
        <v>7.823E-5</v>
      </c>
      <c r="Q33" s="32">
        <v>400.0</v>
      </c>
      <c r="R33" s="34">
        <v>9.007E-4</v>
      </c>
      <c r="S33" s="34">
        <v>1.0</v>
      </c>
      <c r="T33" s="34">
        <v>0.0086227</v>
      </c>
    </row>
    <row r="34">
      <c r="A34" s="31" t="s">
        <v>579</v>
      </c>
      <c r="B34" s="37">
        <v>46113.0</v>
      </c>
      <c r="C34" s="34">
        <v>8.0</v>
      </c>
      <c r="D34" s="34">
        <v>39.5</v>
      </c>
      <c r="E34" s="34">
        <v>2.9</v>
      </c>
      <c r="F34" s="32">
        <v>116.0</v>
      </c>
      <c r="G34" s="35">
        <v>0.855</v>
      </c>
      <c r="H34" s="35">
        <v>0.145</v>
      </c>
      <c r="I34" s="34">
        <v>1.0</v>
      </c>
      <c r="J34" s="35">
        <v>0.04</v>
      </c>
      <c r="K34" s="34">
        <v>25.0</v>
      </c>
      <c r="L34" s="34">
        <v>0.0026699</v>
      </c>
      <c r="M34" s="34">
        <v>0.0019417</v>
      </c>
      <c r="N34" s="36">
        <v>3.204E-4</v>
      </c>
      <c r="O34" s="36">
        <v>3.838E-4</v>
      </c>
      <c r="P34" s="36">
        <v>3.838E-4</v>
      </c>
      <c r="Q34" s="32">
        <v>91.0</v>
      </c>
      <c r="R34" s="34">
        <v>0.0011143</v>
      </c>
      <c r="S34" s="34">
        <v>0.0</v>
      </c>
      <c r="T34" s="39"/>
    </row>
    <row r="35">
      <c r="A35" s="31" t="s">
        <v>591</v>
      </c>
      <c r="B35" s="37">
        <v>46113.0</v>
      </c>
      <c r="C35" s="34">
        <v>3.0</v>
      </c>
      <c r="D35" s="34">
        <v>1.8</v>
      </c>
      <c r="E35" s="34">
        <v>0.6</v>
      </c>
      <c r="F35" s="32">
        <v>1.0</v>
      </c>
      <c r="G35" s="35">
        <v>0.498</v>
      </c>
      <c r="H35" s="35">
        <v>0.502</v>
      </c>
      <c r="I35" s="34">
        <v>0.0</v>
      </c>
      <c r="J35" s="40"/>
      <c r="K35" s="34">
        <v>0.0</v>
      </c>
      <c r="L35" s="39"/>
      <c r="M35" s="39"/>
      <c r="N35" s="38"/>
      <c r="O35" s="39"/>
      <c r="P35" s="39"/>
      <c r="Q35" s="32">
        <v>1.0</v>
      </c>
      <c r="R35" s="34">
        <v>1.62E-4</v>
      </c>
      <c r="S35" s="34">
        <v>0.0</v>
      </c>
      <c r="T35" s="39"/>
    </row>
    <row r="36">
      <c r="A36" s="31" t="s">
        <v>1461</v>
      </c>
      <c r="B36" s="37">
        <v>46113.0</v>
      </c>
      <c r="C36" s="34">
        <v>9.0</v>
      </c>
      <c r="D36" s="34">
        <v>55.8</v>
      </c>
      <c r="E36" s="34">
        <v>15.0</v>
      </c>
      <c r="F36" s="32">
        <v>835.0</v>
      </c>
      <c r="G36" s="35">
        <v>1.0</v>
      </c>
      <c r="H36" s="35">
        <v>0.0</v>
      </c>
      <c r="I36" s="34">
        <v>2.0</v>
      </c>
      <c r="J36" s="35">
        <v>0.022</v>
      </c>
      <c r="K36" s="34">
        <v>92.0</v>
      </c>
      <c r="L36" s="34">
        <v>0.0025298</v>
      </c>
      <c r="M36" s="34">
        <v>0.0012393</v>
      </c>
      <c r="N36" s="36">
        <v>1.412E-4</v>
      </c>
      <c r="O36" s="36">
        <v>3.909E-4</v>
      </c>
      <c r="P36" s="36">
        <v>3.909E-4</v>
      </c>
      <c r="Q36" s="32">
        <v>741.0</v>
      </c>
      <c r="R36" s="34">
        <v>0.0010563</v>
      </c>
      <c r="S36" s="34">
        <v>2.0</v>
      </c>
      <c r="T36" s="34">
        <v>1.273E-4</v>
      </c>
    </row>
    <row r="37">
      <c r="A37" s="31" t="s">
        <v>599</v>
      </c>
      <c r="B37" s="37">
        <v>46113.0</v>
      </c>
      <c r="C37" s="34">
        <v>6.0</v>
      </c>
      <c r="D37" s="34">
        <v>49.1</v>
      </c>
      <c r="E37" s="34">
        <v>11.0</v>
      </c>
      <c r="F37" s="32">
        <v>540.0</v>
      </c>
      <c r="G37" s="35">
        <v>0.7</v>
      </c>
      <c r="H37" s="35">
        <v>0.3</v>
      </c>
      <c r="I37" s="34">
        <v>10.0</v>
      </c>
      <c r="J37" s="35">
        <v>0.038</v>
      </c>
      <c r="K37" s="34">
        <v>266.0</v>
      </c>
      <c r="L37" s="34">
        <v>0.002028</v>
      </c>
      <c r="M37" s="34">
        <v>0.0013063</v>
      </c>
      <c r="N37" s="36">
        <v>2.48E-4</v>
      </c>
      <c r="O37" s="36">
        <v>5.06E-4</v>
      </c>
      <c r="P37" s="36">
        <v>5.06E-4</v>
      </c>
      <c r="Q37" s="32">
        <v>274.0</v>
      </c>
      <c r="R37" s="34">
        <v>9.907E-4</v>
      </c>
      <c r="S37" s="34">
        <v>0.0</v>
      </c>
      <c r="T37" s="38"/>
    </row>
    <row r="38">
      <c r="A38" s="31" t="s">
        <v>1462</v>
      </c>
      <c r="B38" s="37">
        <v>46113.0</v>
      </c>
      <c r="C38" s="34">
        <v>7.0</v>
      </c>
      <c r="D38" s="34">
        <v>51.1</v>
      </c>
      <c r="E38" s="34">
        <v>12.1</v>
      </c>
      <c r="F38" s="32">
        <v>619.0</v>
      </c>
      <c r="G38" s="35">
        <v>0.336</v>
      </c>
      <c r="H38" s="35">
        <v>0.664</v>
      </c>
      <c r="I38" s="34">
        <v>0.0</v>
      </c>
      <c r="J38" s="35">
        <v>0.0</v>
      </c>
      <c r="K38" s="34">
        <v>33.0</v>
      </c>
      <c r="L38" s="34">
        <v>0.001143</v>
      </c>
      <c r="M38" s="34">
        <v>8.631E-4</v>
      </c>
      <c r="N38" s="36">
        <v>1.838E-4</v>
      </c>
      <c r="O38" s="36">
        <v>2.799E-4</v>
      </c>
      <c r="P38" s="36">
        <v>2.799E-4</v>
      </c>
      <c r="Q38" s="32">
        <v>585.0</v>
      </c>
      <c r="R38" s="34">
        <v>9.041E-4</v>
      </c>
      <c r="S38" s="34">
        <v>1.0</v>
      </c>
      <c r="T38" s="34">
        <v>6.366E-4</v>
      </c>
    </row>
    <row r="39">
      <c r="A39" s="31" t="s">
        <v>622</v>
      </c>
      <c r="B39" s="37">
        <v>46113.0</v>
      </c>
      <c r="C39" s="34">
        <v>9.0</v>
      </c>
      <c r="D39" s="34">
        <v>77.6</v>
      </c>
      <c r="E39" s="34">
        <v>10.9</v>
      </c>
      <c r="F39" s="32">
        <v>845.0</v>
      </c>
      <c r="G39" s="35">
        <v>0.713</v>
      </c>
      <c r="H39" s="35">
        <v>0.287</v>
      </c>
      <c r="I39" s="34">
        <v>5.0</v>
      </c>
      <c r="J39" s="35">
        <v>0.045</v>
      </c>
      <c r="K39" s="34">
        <v>112.0</v>
      </c>
      <c r="L39" s="34">
        <v>0.0023082</v>
      </c>
      <c r="M39" s="34">
        <v>0.0013612</v>
      </c>
      <c r="N39" s="36">
        <v>8.231E-4</v>
      </c>
      <c r="O39" s="36">
        <v>5.125E-4</v>
      </c>
      <c r="P39" s="36">
        <v>5.125E-4</v>
      </c>
      <c r="Q39" s="34">
        <v>733.0</v>
      </c>
      <c r="R39" s="34">
        <v>0.0012442</v>
      </c>
      <c r="S39" s="34">
        <v>0.0</v>
      </c>
      <c r="T39" s="39"/>
    </row>
    <row r="40">
      <c r="A40" s="31" t="s">
        <v>635</v>
      </c>
      <c r="B40" s="37">
        <v>46113.0</v>
      </c>
      <c r="C40" s="34">
        <v>5.0</v>
      </c>
      <c r="D40" s="34">
        <v>36.3</v>
      </c>
      <c r="E40" s="34">
        <v>10.5</v>
      </c>
      <c r="F40" s="34">
        <v>380.0</v>
      </c>
      <c r="G40" s="35">
        <v>0.855</v>
      </c>
      <c r="H40" s="35">
        <v>0.145</v>
      </c>
      <c r="I40" s="34">
        <v>10.0</v>
      </c>
      <c r="J40" s="35">
        <v>0.042</v>
      </c>
      <c r="K40" s="34">
        <v>236.0</v>
      </c>
      <c r="L40" s="34">
        <v>0.002252</v>
      </c>
      <c r="M40" s="34">
        <v>0.0015495</v>
      </c>
      <c r="N40" s="36">
        <v>2.255E-4</v>
      </c>
      <c r="O40" s="34">
        <v>4.886E-4</v>
      </c>
      <c r="P40" s="34">
        <v>4.886E-4</v>
      </c>
      <c r="Q40" s="34">
        <v>144.0</v>
      </c>
      <c r="R40" s="34">
        <v>9.641E-4</v>
      </c>
      <c r="S40" s="34">
        <v>0.0</v>
      </c>
      <c r="T40" s="39"/>
    </row>
    <row r="41">
      <c r="A41" s="31" t="s">
        <v>1463</v>
      </c>
      <c r="B41" s="37">
        <v>46113.0</v>
      </c>
      <c r="C41" s="34">
        <v>9.0</v>
      </c>
      <c r="D41" s="34">
        <v>69.0</v>
      </c>
      <c r="E41" s="34">
        <v>9.0</v>
      </c>
      <c r="F41" s="32">
        <v>619.0</v>
      </c>
      <c r="G41" s="35">
        <v>0.504</v>
      </c>
      <c r="H41" s="35">
        <v>0.496</v>
      </c>
      <c r="I41" s="34">
        <v>18.0</v>
      </c>
      <c r="J41" s="35">
        <v>0.081</v>
      </c>
      <c r="K41" s="34">
        <v>223.0</v>
      </c>
      <c r="L41" s="34">
        <v>0.0013802</v>
      </c>
      <c r="M41" s="34">
        <v>9.457E-4</v>
      </c>
      <c r="N41" s="36">
        <v>4.282E-5</v>
      </c>
      <c r="O41" s="34">
        <v>3.718E-4</v>
      </c>
      <c r="P41" s="34">
        <v>3.718E-4</v>
      </c>
      <c r="Q41" s="32">
        <v>396.0</v>
      </c>
      <c r="R41" s="34">
        <v>8.477E-4</v>
      </c>
      <c r="S41" s="34">
        <v>0.0</v>
      </c>
      <c r="T41" s="39"/>
    </row>
    <row r="42">
      <c r="A42" s="31" t="s">
        <v>657</v>
      </c>
      <c r="B42" s="37">
        <v>46113.0</v>
      </c>
      <c r="C42" s="34">
        <v>7.0</v>
      </c>
      <c r="D42" s="34">
        <v>60.2</v>
      </c>
      <c r="E42" s="34">
        <v>6.5</v>
      </c>
      <c r="F42" s="32">
        <v>391.0</v>
      </c>
      <c r="G42" s="35">
        <v>0.756</v>
      </c>
      <c r="H42" s="35">
        <v>0.244</v>
      </c>
      <c r="I42" s="34">
        <v>0.0</v>
      </c>
      <c r="J42" s="35">
        <v>0.0</v>
      </c>
      <c r="K42" s="34">
        <v>152.0</v>
      </c>
      <c r="L42" s="34">
        <v>8.331E-4</v>
      </c>
      <c r="M42" s="34">
        <v>7.605E-4</v>
      </c>
      <c r="N42" s="36">
        <v>7.127E-5</v>
      </c>
      <c r="O42" s="36">
        <v>7.257E-5</v>
      </c>
      <c r="P42" s="36">
        <v>7.257E-5</v>
      </c>
      <c r="Q42" s="32">
        <v>239.0</v>
      </c>
      <c r="R42" s="34">
        <v>8.754E-4</v>
      </c>
      <c r="S42" s="34">
        <v>0.0</v>
      </c>
      <c r="T42" s="38"/>
    </row>
    <row r="43">
      <c r="A43" s="31" t="s">
        <v>1464</v>
      </c>
      <c r="B43" s="37">
        <v>46113.0</v>
      </c>
      <c r="C43" s="34">
        <v>9.0</v>
      </c>
      <c r="D43" s="34">
        <v>64.6</v>
      </c>
      <c r="E43" s="34">
        <v>6.8</v>
      </c>
      <c r="F43" s="32">
        <v>438.0</v>
      </c>
      <c r="G43" s="35">
        <v>0.482</v>
      </c>
      <c r="H43" s="35">
        <v>0.518</v>
      </c>
      <c r="I43" s="34">
        <v>0.0</v>
      </c>
      <c r="J43" s="35">
        <v>0.0</v>
      </c>
      <c r="K43" s="34">
        <v>122.0</v>
      </c>
      <c r="L43" s="34">
        <v>0.0012535</v>
      </c>
      <c r="M43" s="34">
        <v>8.551E-4</v>
      </c>
      <c r="N43" s="36">
        <v>9.098E-5</v>
      </c>
      <c r="O43" s="36">
        <v>3.013E-4</v>
      </c>
      <c r="P43" s="36">
        <v>3.013E-4</v>
      </c>
      <c r="Q43" s="32">
        <v>316.0</v>
      </c>
      <c r="R43" s="34">
        <v>6.458E-4</v>
      </c>
      <c r="S43" s="34">
        <v>0.0</v>
      </c>
      <c r="T43" s="39"/>
    </row>
    <row r="44">
      <c r="A44" s="31" t="s">
        <v>707</v>
      </c>
      <c r="B44" s="37">
        <v>46113.0</v>
      </c>
      <c r="C44" s="34">
        <v>9.0</v>
      </c>
      <c r="D44" s="34">
        <v>61.7</v>
      </c>
      <c r="E44" s="34">
        <v>10.2</v>
      </c>
      <c r="F44" s="32">
        <v>632.0</v>
      </c>
      <c r="G44" s="35">
        <v>0.706</v>
      </c>
      <c r="H44" s="35">
        <v>0.294</v>
      </c>
      <c r="I44" s="34">
        <v>17.0</v>
      </c>
      <c r="J44" s="35">
        <v>0.068</v>
      </c>
      <c r="K44" s="34">
        <v>251.0</v>
      </c>
      <c r="L44" s="34">
        <v>0.0019266</v>
      </c>
      <c r="M44" s="34">
        <v>0.0011722</v>
      </c>
      <c r="N44" s="36">
        <v>1.037E-4</v>
      </c>
      <c r="O44" s="36">
        <v>6.142E-4</v>
      </c>
      <c r="P44" s="36">
        <v>6.142E-4</v>
      </c>
      <c r="Q44" s="32">
        <v>381.0</v>
      </c>
      <c r="R44" s="34">
        <v>8.839E-4</v>
      </c>
      <c r="S44" s="34">
        <v>0.0</v>
      </c>
      <c r="T44" s="39"/>
    </row>
    <row r="45">
      <c r="A45" s="31" t="s">
        <v>738</v>
      </c>
      <c r="B45" s="37">
        <v>46113.0</v>
      </c>
      <c r="C45" s="34">
        <v>12.0</v>
      </c>
      <c r="D45" s="34">
        <v>54.4</v>
      </c>
      <c r="E45" s="34">
        <v>6.0</v>
      </c>
      <c r="F45" s="32">
        <v>327.0</v>
      </c>
      <c r="G45" s="35">
        <v>0.833</v>
      </c>
      <c r="H45" s="35">
        <v>0.167</v>
      </c>
      <c r="I45" s="34">
        <v>1.0</v>
      </c>
      <c r="J45" s="35">
        <v>0.009</v>
      </c>
      <c r="K45" s="34">
        <v>106.0</v>
      </c>
      <c r="L45" s="34">
        <v>0.0011338</v>
      </c>
      <c r="M45" s="34">
        <v>8.336E-4</v>
      </c>
      <c r="N45" s="36">
        <v>1.376E-5</v>
      </c>
      <c r="O45" s="34">
        <v>2.754E-4</v>
      </c>
      <c r="P45" s="34">
        <v>2.754E-4</v>
      </c>
      <c r="Q45" s="34">
        <v>221.0</v>
      </c>
      <c r="R45" s="34">
        <v>6.912E-4</v>
      </c>
      <c r="S45" s="34">
        <v>0.0</v>
      </c>
      <c r="T45" s="38"/>
    </row>
    <row r="46">
      <c r="A46" s="31" t="s">
        <v>1465</v>
      </c>
      <c r="B46" s="37">
        <v>46113.0</v>
      </c>
      <c r="C46" s="34">
        <v>15.0</v>
      </c>
      <c r="D46" s="34">
        <v>62.9</v>
      </c>
      <c r="E46" s="34">
        <v>16.4</v>
      </c>
      <c r="F46" s="32">
        <v>1030.0</v>
      </c>
      <c r="G46" s="35">
        <v>0.571</v>
      </c>
      <c r="H46" s="35">
        <v>0.429</v>
      </c>
      <c r="I46" s="34">
        <v>0.0</v>
      </c>
      <c r="J46" s="35">
        <v>0.0</v>
      </c>
      <c r="K46" s="34">
        <v>18.0</v>
      </c>
      <c r="L46" s="34">
        <v>0.0021515</v>
      </c>
      <c r="M46" s="34">
        <v>0.0019888</v>
      </c>
      <c r="N46" s="36">
        <v>9.999E-4</v>
      </c>
      <c r="O46" s="36">
        <v>6.237E-5</v>
      </c>
      <c r="P46" s="36">
        <v>6.237E-5</v>
      </c>
      <c r="Q46" s="32">
        <v>1012.0</v>
      </c>
      <c r="R46" s="34">
        <v>8.986E-4</v>
      </c>
      <c r="S46" s="34">
        <v>0.0</v>
      </c>
      <c r="T46" s="39"/>
    </row>
    <row r="47">
      <c r="A47" s="31" t="s">
        <v>1466</v>
      </c>
      <c r="B47" s="37">
        <v>46113.0</v>
      </c>
      <c r="C47" s="34">
        <v>8.0</v>
      </c>
      <c r="D47" s="34">
        <v>66.2</v>
      </c>
      <c r="E47" s="34">
        <v>13.1</v>
      </c>
      <c r="F47" s="32">
        <v>867.0</v>
      </c>
      <c r="G47" s="35">
        <v>0.695</v>
      </c>
      <c r="H47" s="35">
        <v>0.305</v>
      </c>
      <c r="I47" s="34">
        <v>42.0</v>
      </c>
      <c r="J47" s="35">
        <v>0.086</v>
      </c>
      <c r="K47" s="34">
        <v>488.0</v>
      </c>
      <c r="L47" s="34">
        <v>0.0011481</v>
      </c>
      <c r="M47" s="34">
        <v>9.742E-4</v>
      </c>
      <c r="N47" s="36">
        <v>8.571E-5</v>
      </c>
      <c r="O47" s="36">
        <v>9.181E-5</v>
      </c>
      <c r="P47" s="36">
        <v>9.181E-5</v>
      </c>
      <c r="Q47" s="32">
        <v>379.0</v>
      </c>
      <c r="R47" s="34">
        <v>7.936E-4</v>
      </c>
      <c r="S47" s="34">
        <v>0.0</v>
      </c>
      <c r="T47" s="39"/>
    </row>
    <row r="48">
      <c r="A48" s="31" t="s">
        <v>758</v>
      </c>
      <c r="B48" s="37">
        <v>46113.0</v>
      </c>
      <c r="C48" s="34">
        <v>15.0</v>
      </c>
      <c r="D48" s="34">
        <v>79.5</v>
      </c>
      <c r="E48" s="34">
        <v>15.2</v>
      </c>
      <c r="F48" s="32">
        <v>1207.0</v>
      </c>
      <c r="G48" s="35">
        <v>0.894</v>
      </c>
      <c r="H48" s="35">
        <v>0.106</v>
      </c>
      <c r="I48" s="34">
        <v>9.0</v>
      </c>
      <c r="J48" s="35">
        <v>0.025</v>
      </c>
      <c r="K48" s="34">
        <v>353.0</v>
      </c>
      <c r="L48" s="34">
        <v>0.0015922</v>
      </c>
      <c r="M48" s="34">
        <v>0.0012226</v>
      </c>
      <c r="N48" s="36">
        <v>6.915E-5</v>
      </c>
      <c r="O48" s="34">
        <v>2.446E-4</v>
      </c>
      <c r="P48" s="34">
        <v>2.446E-4</v>
      </c>
      <c r="Q48" s="32">
        <v>854.0</v>
      </c>
      <c r="R48" s="34">
        <v>8.856E-4</v>
      </c>
      <c r="S48" s="34">
        <v>0.0</v>
      </c>
      <c r="T48" s="39"/>
    </row>
    <row r="49">
      <c r="A49" s="31" t="s">
        <v>1467</v>
      </c>
      <c r="B49" s="37">
        <v>46113.0</v>
      </c>
      <c r="C49" s="34">
        <v>4.0</v>
      </c>
      <c r="D49" s="34">
        <v>21.5</v>
      </c>
      <c r="E49" s="34">
        <v>10.3</v>
      </c>
      <c r="F49" s="32">
        <v>221.0</v>
      </c>
      <c r="G49" s="35">
        <v>0.131</v>
      </c>
      <c r="H49" s="35">
        <v>0.869</v>
      </c>
      <c r="I49" s="34">
        <v>0.0</v>
      </c>
      <c r="J49" s="35">
        <v>0.0</v>
      </c>
      <c r="K49" s="34">
        <v>3.0</v>
      </c>
      <c r="L49" s="34">
        <v>0.0010725</v>
      </c>
      <c r="M49" s="34">
        <v>9.722E-4</v>
      </c>
      <c r="N49" s="36">
        <v>3.202E-4</v>
      </c>
      <c r="O49" s="36">
        <v>9.259E-5</v>
      </c>
      <c r="P49" s="36">
        <v>9.259E-5</v>
      </c>
      <c r="Q49" s="32">
        <v>218.0</v>
      </c>
      <c r="R49" s="34">
        <v>8.275E-4</v>
      </c>
      <c r="S49" s="34">
        <v>0.0</v>
      </c>
      <c r="T49" s="39"/>
    </row>
    <row r="50">
      <c r="A50" s="31" t="s">
        <v>791</v>
      </c>
      <c r="B50" s="37">
        <v>46113.0</v>
      </c>
      <c r="C50" s="34">
        <v>10.0</v>
      </c>
      <c r="D50" s="34">
        <v>62.5</v>
      </c>
      <c r="E50" s="34">
        <v>8.5</v>
      </c>
      <c r="F50" s="32">
        <v>534.0</v>
      </c>
      <c r="G50" s="35">
        <v>0.743</v>
      </c>
      <c r="H50" s="35">
        <v>0.257</v>
      </c>
      <c r="I50" s="34">
        <v>11.0</v>
      </c>
      <c r="J50" s="35">
        <v>0.164</v>
      </c>
      <c r="K50" s="34">
        <v>67.0</v>
      </c>
      <c r="L50" s="34">
        <v>0.0018641</v>
      </c>
      <c r="M50" s="34">
        <v>0.0013448</v>
      </c>
      <c r="N50" s="36">
        <v>2.665E-4</v>
      </c>
      <c r="O50" s="36">
        <v>1.32E-4</v>
      </c>
      <c r="P50" s="36">
        <v>1.32E-4</v>
      </c>
      <c r="Q50" s="32">
        <v>465.0</v>
      </c>
      <c r="R50" s="34">
        <v>7.688E-4</v>
      </c>
      <c r="S50" s="34">
        <v>2.0</v>
      </c>
      <c r="T50" s="36">
        <v>2.662E-4</v>
      </c>
    </row>
    <row r="51">
      <c r="A51" s="31" t="s">
        <v>802</v>
      </c>
      <c r="B51" s="37">
        <v>46113.0</v>
      </c>
      <c r="C51" s="34">
        <v>2.0</v>
      </c>
      <c r="D51" s="34">
        <v>0.1</v>
      </c>
      <c r="E51" s="34">
        <v>49.1</v>
      </c>
      <c r="F51" s="32">
        <v>4.0</v>
      </c>
      <c r="G51" s="35">
        <v>1.0</v>
      </c>
      <c r="H51" s="35">
        <v>0.0</v>
      </c>
      <c r="I51" s="34">
        <v>0.0</v>
      </c>
      <c r="J51" s="40"/>
      <c r="K51" s="34">
        <v>0.0</v>
      </c>
      <c r="L51" s="39"/>
      <c r="M51" s="39"/>
      <c r="N51" s="38"/>
      <c r="O51" s="39"/>
      <c r="P51" s="39"/>
      <c r="Q51" s="32">
        <v>4.0</v>
      </c>
      <c r="R51" s="34">
        <v>6.684E-4</v>
      </c>
      <c r="S51" s="34">
        <v>0.0</v>
      </c>
      <c r="T51" s="39"/>
    </row>
    <row r="52">
      <c r="A52" s="31" t="s">
        <v>817</v>
      </c>
      <c r="B52" s="37">
        <v>46113.0</v>
      </c>
      <c r="C52" s="34">
        <v>9.0</v>
      </c>
      <c r="D52" s="34">
        <v>78.9</v>
      </c>
      <c r="E52" s="34">
        <v>12.1</v>
      </c>
      <c r="F52" s="32">
        <v>951.0</v>
      </c>
      <c r="G52" s="35">
        <v>0.692</v>
      </c>
      <c r="H52" s="35">
        <v>0.308</v>
      </c>
      <c r="I52" s="34">
        <v>0.0</v>
      </c>
      <c r="J52" s="35">
        <v>0.0</v>
      </c>
      <c r="K52" s="34">
        <v>36.0</v>
      </c>
      <c r="L52" s="34">
        <v>0.0025367</v>
      </c>
      <c r="M52" s="34">
        <v>0.0017605</v>
      </c>
      <c r="N52" s="36">
        <v>7.51E-4</v>
      </c>
      <c r="O52" s="34">
        <v>2.331E-4</v>
      </c>
      <c r="P52" s="34">
        <v>2.331E-4</v>
      </c>
      <c r="Q52" s="32">
        <v>914.0</v>
      </c>
      <c r="R52" s="34">
        <v>9.029E-4</v>
      </c>
      <c r="S52" s="34">
        <v>1.0</v>
      </c>
      <c r="T52" s="36">
        <v>2.778E-4</v>
      </c>
    </row>
    <row r="53">
      <c r="A53" s="31" t="s">
        <v>1468</v>
      </c>
      <c r="B53" s="37">
        <v>46113.0</v>
      </c>
      <c r="C53" s="34">
        <v>1.0</v>
      </c>
      <c r="D53" s="34">
        <v>1.2</v>
      </c>
      <c r="E53" s="34">
        <v>0.9</v>
      </c>
      <c r="F53" s="32">
        <v>1.0</v>
      </c>
      <c r="G53" s="35">
        <v>0.002</v>
      </c>
      <c r="H53" s="35">
        <v>0.998</v>
      </c>
      <c r="I53" s="34">
        <v>0.0</v>
      </c>
      <c r="J53" s="40"/>
      <c r="K53" s="34">
        <v>0.0</v>
      </c>
      <c r="L53" s="39"/>
      <c r="M53" s="39"/>
      <c r="N53" s="38"/>
      <c r="O53" s="38"/>
      <c r="P53" s="38"/>
      <c r="Q53" s="32">
        <v>1.0</v>
      </c>
      <c r="R53" s="34">
        <v>2.546E-4</v>
      </c>
      <c r="S53" s="34">
        <v>0.0</v>
      </c>
      <c r="T53" s="39"/>
    </row>
    <row r="54">
      <c r="A54" s="31" t="s">
        <v>829</v>
      </c>
      <c r="B54" s="37">
        <v>46113.0</v>
      </c>
      <c r="C54" s="34">
        <v>2.0</v>
      </c>
      <c r="D54" s="34">
        <v>0.2</v>
      </c>
      <c r="E54" s="34">
        <v>8.7</v>
      </c>
      <c r="F54" s="32">
        <v>2.0</v>
      </c>
      <c r="G54" s="35">
        <v>0.001</v>
      </c>
      <c r="H54" s="35">
        <v>0.999</v>
      </c>
      <c r="I54" s="34">
        <v>0.0</v>
      </c>
      <c r="J54" s="40"/>
      <c r="K54" s="34">
        <v>0.0</v>
      </c>
      <c r="L54" s="39"/>
      <c r="M54" s="39"/>
      <c r="N54" s="38"/>
      <c r="O54" s="39"/>
      <c r="P54" s="39"/>
      <c r="Q54" s="32">
        <v>1.0</v>
      </c>
      <c r="R54" s="34">
        <v>2.431E-4</v>
      </c>
      <c r="S54" s="34">
        <v>1.0</v>
      </c>
      <c r="T54" s="34">
        <v>5.44E-4</v>
      </c>
    </row>
    <row r="55">
      <c r="A55" s="31" t="s">
        <v>837</v>
      </c>
      <c r="B55" s="37">
        <v>46113.0</v>
      </c>
      <c r="C55" s="34">
        <v>1.0</v>
      </c>
      <c r="D55" s="34">
        <v>0.1</v>
      </c>
      <c r="E55" s="34">
        <v>10.7</v>
      </c>
      <c r="F55" s="32">
        <v>1.0</v>
      </c>
      <c r="G55" s="35">
        <v>0.0</v>
      </c>
      <c r="H55" s="35">
        <v>1.0</v>
      </c>
      <c r="I55" s="34">
        <v>0.0</v>
      </c>
      <c r="J55" s="40"/>
      <c r="K55" s="32">
        <v>0.0</v>
      </c>
      <c r="L55" s="39"/>
      <c r="M55" s="39"/>
      <c r="N55" s="38"/>
      <c r="O55" s="38"/>
      <c r="P55" s="38"/>
      <c r="Q55" s="32">
        <v>1.0</v>
      </c>
      <c r="R55" s="34">
        <v>3.125E-4</v>
      </c>
      <c r="S55" s="34">
        <v>0.0</v>
      </c>
      <c r="T55" s="39"/>
    </row>
    <row r="56">
      <c r="A56" s="31" t="s">
        <v>1469</v>
      </c>
      <c r="B56" s="37">
        <v>46113.0</v>
      </c>
      <c r="C56" s="34">
        <v>2.0</v>
      </c>
      <c r="D56" s="34">
        <v>0.3</v>
      </c>
      <c r="E56" s="34">
        <v>5.7</v>
      </c>
      <c r="F56" s="32">
        <v>2.0</v>
      </c>
      <c r="G56" s="35">
        <v>0.0</v>
      </c>
      <c r="H56" s="35">
        <v>1.0</v>
      </c>
      <c r="I56" s="34">
        <v>0.0</v>
      </c>
      <c r="J56" s="40"/>
      <c r="K56" s="34">
        <v>0.0</v>
      </c>
      <c r="L56" s="39"/>
      <c r="M56" s="39"/>
      <c r="N56" s="38"/>
      <c r="O56" s="39"/>
      <c r="P56" s="39"/>
      <c r="Q56" s="32">
        <v>1.0</v>
      </c>
      <c r="R56" s="34">
        <v>7.755E-4</v>
      </c>
      <c r="S56" s="34">
        <v>1.0</v>
      </c>
      <c r="T56" s="34">
        <v>3.356E-4</v>
      </c>
    </row>
    <row r="57">
      <c r="A57" s="31" t="s">
        <v>844</v>
      </c>
      <c r="B57" s="37">
        <v>46113.0</v>
      </c>
      <c r="C57" s="34">
        <v>6.0</v>
      </c>
      <c r="D57" s="34">
        <v>47.3</v>
      </c>
      <c r="E57" s="34">
        <v>5.6</v>
      </c>
      <c r="F57" s="32">
        <v>263.0</v>
      </c>
      <c r="G57" s="35">
        <v>0.68</v>
      </c>
      <c r="H57" s="35">
        <v>0.32</v>
      </c>
      <c r="I57" s="34">
        <v>3.0</v>
      </c>
      <c r="J57" s="35">
        <v>0.091</v>
      </c>
      <c r="K57" s="34">
        <v>33.0</v>
      </c>
      <c r="L57" s="34">
        <v>0.0038724</v>
      </c>
      <c r="M57" s="34">
        <v>0.0019413</v>
      </c>
      <c r="N57" s="36">
        <v>2.585E-4</v>
      </c>
      <c r="O57" s="34">
        <v>0.0014513</v>
      </c>
      <c r="P57" s="34">
        <v>0.0014513</v>
      </c>
      <c r="Q57" s="32">
        <v>227.0</v>
      </c>
      <c r="R57" s="34">
        <v>0.0010275</v>
      </c>
      <c r="S57" s="34">
        <v>3.0</v>
      </c>
      <c r="T57" s="36">
        <v>0.0013349</v>
      </c>
    </row>
    <row r="58">
      <c r="A58" s="31" t="s">
        <v>856</v>
      </c>
      <c r="B58" s="37">
        <v>46113.0</v>
      </c>
      <c r="C58" s="34">
        <v>10.0</v>
      </c>
      <c r="D58" s="34">
        <v>80.3</v>
      </c>
      <c r="E58" s="34">
        <v>16.4</v>
      </c>
      <c r="F58" s="32">
        <v>1320.0</v>
      </c>
      <c r="G58" s="35">
        <v>0.332</v>
      </c>
      <c r="H58" s="35">
        <v>0.668</v>
      </c>
      <c r="I58" s="34">
        <v>9.0</v>
      </c>
      <c r="J58" s="35">
        <v>0.038</v>
      </c>
      <c r="K58" s="34">
        <v>240.0</v>
      </c>
      <c r="L58" s="34">
        <v>0.0021785</v>
      </c>
      <c r="M58" s="34">
        <v>0.0012991</v>
      </c>
      <c r="N58" s="36">
        <v>6.65E-5</v>
      </c>
      <c r="O58" s="34">
        <v>7.102E-4</v>
      </c>
      <c r="P58" s="34">
        <v>7.102E-4</v>
      </c>
      <c r="Q58" s="32">
        <v>1080.0</v>
      </c>
      <c r="R58" s="34">
        <v>9.414E-4</v>
      </c>
      <c r="S58" s="34">
        <v>0.0</v>
      </c>
      <c r="T58" s="38"/>
    </row>
    <row r="59">
      <c r="A59" s="31" t="s">
        <v>864</v>
      </c>
      <c r="B59" s="37">
        <v>46113.0</v>
      </c>
      <c r="C59" s="34">
        <v>9.0</v>
      </c>
      <c r="D59" s="34">
        <v>29.3</v>
      </c>
      <c r="E59" s="34">
        <v>12.4</v>
      </c>
      <c r="F59" s="32">
        <v>363.0</v>
      </c>
      <c r="G59" s="35">
        <v>0.404</v>
      </c>
      <c r="H59" s="35">
        <v>0.596</v>
      </c>
      <c r="I59" s="34">
        <v>0.0</v>
      </c>
      <c r="J59" s="35">
        <v>0.0</v>
      </c>
      <c r="K59" s="34">
        <v>15.0</v>
      </c>
      <c r="L59" s="34">
        <v>0.0017716</v>
      </c>
      <c r="M59" s="34">
        <v>7.168E-4</v>
      </c>
      <c r="N59" s="36">
        <v>1.937E-4</v>
      </c>
      <c r="O59" s="36">
        <v>7.955E-4</v>
      </c>
      <c r="P59" s="36">
        <v>7.955E-4</v>
      </c>
      <c r="Q59" s="32">
        <v>348.0</v>
      </c>
      <c r="R59" s="34">
        <v>8.11E-4</v>
      </c>
      <c r="S59" s="34">
        <v>0.0</v>
      </c>
      <c r="T59" s="38"/>
    </row>
    <row r="60">
      <c r="A60" s="31" t="s">
        <v>1470</v>
      </c>
      <c r="B60" s="37">
        <v>46113.0</v>
      </c>
      <c r="C60" s="34">
        <v>4.0</v>
      </c>
      <c r="D60" s="34">
        <v>25.9</v>
      </c>
      <c r="E60" s="34">
        <v>11.3</v>
      </c>
      <c r="F60" s="32">
        <v>292.0</v>
      </c>
      <c r="G60" s="35">
        <v>0.837</v>
      </c>
      <c r="H60" s="35">
        <v>0.163</v>
      </c>
      <c r="I60" s="34">
        <v>7.0</v>
      </c>
      <c r="J60" s="35">
        <v>0.042</v>
      </c>
      <c r="K60" s="34">
        <v>166.0</v>
      </c>
      <c r="L60" s="34">
        <v>0.001795</v>
      </c>
      <c r="M60" s="34">
        <v>9.575E-4</v>
      </c>
      <c r="N60" s="36">
        <v>2.05E-4</v>
      </c>
      <c r="O60" s="34">
        <v>6.295E-4</v>
      </c>
      <c r="P60" s="34">
        <v>6.295E-4</v>
      </c>
      <c r="Q60" s="34">
        <v>126.0</v>
      </c>
      <c r="R60" s="34">
        <v>8.564E-4</v>
      </c>
      <c r="S60" s="34">
        <v>0.0</v>
      </c>
      <c r="T60" s="41"/>
    </row>
    <row r="61">
      <c r="A61" s="31" t="s">
        <v>888</v>
      </c>
      <c r="B61" s="37">
        <v>46113.0</v>
      </c>
      <c r="C61" s="34">
        <v>9.0</v>
      </c>
      <c r="D61" s="34">
        <v>66.1</v>
      </c>
      <c r="E61" s="34">
        <v>36.3</v>
      </c>
      <c r="F61" s="32">
        <v>2401.0</v>
      </c>
      <c r="G61" s="35">
        <v>0.471</v>
      </c>
      <c r="H61" s="35">
        <v>0.529</v>
      </c>
      <c r="I61" s="34">
        <v>0.0</v>
      </c>
      <c r="J61" s="35">
        <v>0.0</v>
      </c>
      <c r="K61" s="34">
        <v>17.0</v>
      </c>
      <c r="L61" s="34">
        <v>0.0015264</v>
      </c>
      <c r="M61" s="34">
        <v>0.0011901</v>
      </c>
      <c r="N61" s="36">
        <v>3.901E-4</v>
      </c>
      <c r="O61" s="36">
        <v>1.934E-4</v>
      </c>
      <c r="P61" s="36">
        <v>1.934E-4</v>
      </c>
      <c r="Q61" s="32">
        <v>2383.0</v>
      </c>
      <c r="R61" s="34">
        <v>5.89E-4</v>
      </c>
      <c r="S61" s="34">
        <v>1.0</v>
      </c>
      <c r="T61" s="36">
        <v>1.968E-4</v>
      </c>
    </row>
    <row r="62">
      <c r="A62" s="31" t="s">
        <v>900</v>
      </c>
      <c r="B62" s="37">
        <v>46113.0</v>
      </c>
      <c r="C62" s="34">
        <v>11.0</v>
      </c>
      <c r="D62" s="34">
        <v>86.3</v>
      </c>
      <c r="E62" s="34">
        <v>9.7</v>
      </c>
      <c r="F62" s="32">
        <v>835.0</v>
      </c>
      <c r="G62" s="35">
        <v>0.609</v>
      </c>
      <c r="H62" s="35">
        <v>0.391</v>
      </c>
      <c r="I62" s="34">
        <v>7.0</v>
      </c>
      <c r="J62" s="35">
        <v>0.023</v>
      </c>
      <c r="K62" s="34">
        <v>306.0</v>
      </c>
      <c r="L62" s="34">
        <v>0.0027839</v>
      </c>
      <c r="M62" s="34">
        <v>0.0011026</v>
      </c>
      <c r="N62" s="36">
        <v>3.173E-5</v>
      </c>
      <c r="O62" s="34">
        <v>0.0015684</v>
      </c>
      <c r="P62" s="34">
        <v>0.0015684</v>
      </c>
      <c r="Q62" s="32">
        <v>528.0</v>
      </c>
      <c r="R62" s="34">
        <v>9.208E-4</v>
      </c>
      <c r="S62" s="34">
        <v>1.0</v>
      </c>
      <c r="T62" s="34">
        <v>0.0018287</v>
      </c>
    </row>
    <row r="63">
      <c r="A63" s="31" t="s">
        <v>908</v>
      </c>
      <c r="B63" s="37">
        <v>46113.0</v>
      </c>
      <c r="C63" s="34">
        <v>2.0</v>
      </c>
      <c r="D63" s="34">
        <v>0.2</v>
      </c>
      <c r="E63" s="34">
        <v>13.5</v>
      </c>
      <c r="F63" s="32">
        <v>3.0</v>
      </c>
      <c r="G63" s="35">
        <v>0.042</v>
      </c>
      <c r="H63" s="35">
        <v>0.958</v>
      </c>
      <c r="I63" s="34">
        <v>0.0</v>
      </c>
      <c r="J63" s="40"/>
      <c r="K63" s="34">
        <v>0.0</v>
      </c>
      <c r="L63" s="39"/>
      <c r="M63" s="39"/>
      <c r="N63" s="38"/>
      <c r="O63" s="38"/>
      <c r="P63" s="38"/>
      <c r="Q63" s="32">
        <v>1.0</v>
      </c>
      <c r="R63" s="34">
        <v>2.546E-4</v>
      </c>
      <c r="S63" s="34">
        <v>2.0</v>
      </c>
      <c r="T63" s="36">
        <v>0.0010938</v>
      </c>
    </row>
    <row r="64">
      <c r="A64" s="31" t="s">
        <v>916</v>
      </c>
      <c r="B64" s="37">
        <v>46113.0</v>
      </c>
      <c r="C64" s="34">
        <v>11.0</v>
      </c>
      <c r="D64" s="34">
        <v>75.7</v>
      </c>
      <c r="E64" s="34">
        <v>9.3</v>
      </c>
      <c r="F64" s="32">
        <v>700.0</v>
      </c>
      <c r="G64" s="35">
        <v>0.665</v>
      </c>
      <c r="H64" s="35">
        <v>0.335</v>
      </c>
      <c r="I64" s="34">
        <v>6.0</v>
      </c>
      <c r="J64" s="35">
        <v>0.016</v>
      </c>
      <c r="K64" s="34">
        <v>379.0</v>
      </c>
      <c r="L64" s="34">
        <v>0.0012945</v>
      </c>
      <c r="M64" s="34">
        <v>0.0011518</v>
      </c>
      <c r="N64" s="36">
        <v>2.321E-5</v>
      </c>
      <c r="O64" s="36">
        <v>1.176E-4</v>
      </c>
      <c r="P64" s="36">
        <v>1.176E-4</v>
      </c>
      <c r="Q64" s="32">
        <v>321.0</v>
      </c>
      <c r="R64" s="34">
        <v>7.723E-4</v>
      </c>
      <c r="S64" s="34">
        <v>0.0</v>
      </c>
      <c r="T64" s="39"/>
    </row>
    <row r="65">
      <c r="A65" s="31" t="s">
        <v>924</v>
      </c>
      <c r="B65" s="37">
        <v>46113.0</v>
      </c>
      <c r="C65" s="34">
        <v>9.0</v>
      </c>
      <c r="D65" s="34">
        <v>56.5</v>
      </c>
      <c r="E65" s="34">
        <v>17.9</v>
      </c>
      <c r="F65" s="32">
        <v>1012.0</v>
      </c>
      <c r="G65" s="35">
        <v>0.574</v>
      </c>
      <c r="H65" s="35">
        <v>0.426</v>
      </c>
      <c r="I65" s="34">
        <v>10.0</v>
      </c>
      <c r="J65" s="35">
        <v>0.06</v>
      </c>
      <c r="K65" s="34">
        <v>168.0</v>
      </c>
      <c r="L65" s="34">
        <v>0.0014747</v>
      </c>
      <c r="M65" s="34">
        <v>8.246E-4</v>
      </c>
      <c r="N65" s="36">
        <v>3.858E-6</v>
      </c>
      <c r="O65" s="34">
        <v>5.368E-4</v>
      </c>
      <c r="P65" s="34">
        <v>5.368E-4</v>
      </c>
      <c r="Q65" s="32">
        <v>844.0</v>
      </c>
      <c r="R65" s="34">
        <v>6.316E-4</v>
      </c>
      <c r="S65" s="34">
        <v>0.0</v>
      </c>
      <c r="T65" s="39"/>
    </row>
    <row r="66">
      <c r="A66" s="31" t="s">
        <v>936</v>
      </c>
      <c r="B66" s="37">
        <v>46113.0</v>
      </c>
      <c r="C66" s="34">
        <v>10.0</v>
      </c>
      <c r="D66" s="34">
        <v>82.4</v>
      </c>
      <c r="E66" s="34">
        <v>16.9</v>
      </c>
      <c r="F66" s="32">
        <v>1390.0</v>
      </c>
      <c r="G66" s="35">
        <v>0.519</v>
      </c>
      <c r="H66" s="35">
        <v>0.481</v>
      </c>
      <c r="I66" s="34">
        <v>22.0</v>
      </c>
      <c r="J66" s="35">
        <v>0.052</v>
      </c>
      <c r="K66" s="34">
        <v>421.0</v>
      </c>
      <c r="L66" s="34">
        <v>0.0018814</v>
      </c>
      <c r="M66" s="34">
        <v>0.001418</v>
      </c>
      <c r="N66" s="36">
        <v>7.709E-5</v>
      </c>
      <c r="O66" s="36">
        <v>3.346E-4</v>
      </c>
      <c r="P66" s="36">
        <v>3.346E-4</v>
      </c>
      <c r="Q66" s="32">
        <v>969.0</v>
      </c>
      <c r="R66" s="34">
        <v>9.992E-4</v>
      </c>
      <c r="S66" s="34">
        <v>0.0</v>
      </c>
      <c r="T66" s="39"/>
    </row>
    <row r="67">
      <c r="A67" s="31" t="s">
        <v>956</v>
      </c>
      <c r="B67" s="37">
        <v>46113.0</v>
      </c>
      <c r="C67" s="34">
        <v>10.0</v>
      </c>
      <c r="D67" s="34">
        <v>77.6</v>
      </c>
      <c r="E67" s="34">
        <v>9.8</v>
      </c>
      <c r="F67" s="32">
        <v>758.0</v>
      </c>
      <c r="G67" s="35">
        <v>0.909</v>
      </c>
      <c r="H67" s="35">
        <v>0.091</v>
      </c>
      <c r="I67" s="34">
        <v>8.0</v>
      </c>
      <c r="J67" s="35">
        <v>0.038</v>
      </c>
      <c r="K67" s="34">
        <v>210.0</v>
      </c>
      <c r="L67" s="34">
        <v>0.0018322</v>
      </c>
      <c r="M67" s="34">
        <v>9.983E-4</v>
      </c>
      <c r="N67" s="36">
        <v>1.594E-4</v>
      </c>
      <c r="O67" s="36">
        <v>6.93E-4</v>
      </c>
      <c r="P67" s="36">
        <v>6.93E-4</v>
      </c>
      <c r="Q67" s="34">
        <v>547.0</v>
      </c>
      <c r="R67" s="34">
        <v>8.011E-4</v>
      </c>
      <c r="S67" s="34">
        <v>1.0</v>
      </c>
      <c r="T67" s="34">
        <v>6.597E-4</v>
      </c>
    </row>
    <row r="68">
      <c r="A68" s="31" t="s">
        <v>966</v>
      </c>
      <c r="B68" s="37">
        <v>46113.0</v>
      </c>
      <c r="C68" s="34">
        <v>5.0</v>
      </c>
      <c r="D68" s="34">
        <v>40.2</v>
      </c>
      <c r="E68" s="34">
        <v>10.4</v>
      </c>
      <c r="F68" s="32">
        <v>419.0</v>
      </c>
      <c r="G68" s="35">
        <v>0.583</v>
      </c>
      <c r="H68" s="35">
        <v>0.417</v>
      </c>
      <c r="I68" s="34">
        <v>4.0</v>
      </c>
      <c r="J68" s="35">
        <v>0.053</v>
      </c>
      <c r="K68" s="34">
        <v>76.0</v>
      </c>
      <c r="L68" s="34">
        <v>0.0014615</v>
      </c>
      <c r="M68" s="34">
        <v>8.897E-4</v>
      </c>
      <c r="N68" s="36">
        <v>2.374E-4</v>
      </c>
      <c r="O68" s="34">
        <v>3.736E-4</v>
      </c>
      <c r="P68" s="34">
        <v>3.736E-4</v>
      </c>
      <c r="Q68" s="34">
        <v>340.0</v>
      </c>
      <c r="R68" s="34">
        <v>0.0010067</v>
      </c>
      <c r="S68" s="34">
        <v>3.0</v>
      </c>
      <c r="T68" s="34">
        <v>0.002446</v>
      </c>
    </row>
    <row r="69">
      <c r="A69" s="31" t="s">
        <v>978</v>
      </c>
      <c r="B69" s="37">
        <v>46113.0</v>
      </c>
      <c r="C69" s="34">
        <v>9.0</v>
      </c>
      <c r="D69" s="34">
        <v>70.4</v>
      </c>
      <c r="E69" s="34">
        <v>17.2</v>
      </c>
      <c r="F69" s="32">
        <v>1211.0</v>
      </c>
      <c r="G69" s="35">
        <v>0.414</v>
      </c>
      <c r="H69" s="35">
        <v>0.586</v>
      </c>
      <c r="I69" s="34">
        <v>23.0</v>
      </c>
      <c r="J69" s="35">
        <v>0.076</v>
      </c>
      <c r="K69" s="34">
        <v>303.0</v>
      </c>
      <c r="L69" s="34">
        <v>0.001842</v>
      </c>
      <c r="M69" s="34">
        <v>0.0011694</v>
      </c>
      <c r="N69" s="36">
        <v>7.422E-5</v>
      </c>
      <c r="O69" s="36">
        <v>5.254E-4</v>
      </c>
      <c r="P69" s="36">
        <v>5.254E-4</v>
      </c>
      <c r="Q69" s="32">
        <v>907.0</v>
      </c>
      <c r="R69" s="36">
        <v>9.458E-4</v>
      </c>
      <c r="S69" s="34">
        <v>1.0</v>
      </c>
      <c r="T69" s="34">
        <v>2.083E-4</v>
      </c>
    </row>
    <row r="70">
      <c r="A70" s="31" t="s">
        <v>1471</v>
      </c>
      <c r="B70" s="37">
        <v>46113.0</v>
      </c>
      <c r="C70" s="34">
        <v>8.0</v>
      </c>
      <c r="D70" s="34">
        <v>35.1</v>
      </c>
      <c r="E70" s="34">
        <v>10.7</v>
      </c>
      <c r="F70" s="32">
        <v>377.0</v>
      </c>
      <c r="G70" s="35">
        <v>0.96</v>
      </c>
      <c r="H70" s="35">
        <v>0.04</v>
      </c>
      <c r="I70" s="34">
        <v>2.0</v>
      </c>
      <c r="J70" s="35">
        <v>0.013</v>
      </c>
      <c r="K70" s="34">
        <v>157.0</v>
      </c>
      <c r="L70" s="34">
        <v>0.0020716</v>
      </c>
      <c r="M70" s="34">
        <v>0.0013255</v>
      </c>
      <c r="N70" s="36">
        <v>1.588E-4</v>
      </c>
      <c r="O70" s="36">
        <v>4.558E-4</v>
      </c>
      <c r="P70" s="36">
        <v>4.558E-4</v>
      </c>
      <c r="Q70" s="34">
        <v>220.0</v>
      </c>
      <c r="R70" s="34">
        <v>9.574E-4</v>
      </c>
      <c r="S70" s="34">
        <v>0.0</v>
      </c>
      <c r="T70" s="39"/>
    </row>
    <row r="71">
      <c r="A71" s="31" t="s">
        <v>1000</v>
      </c>
      <c r="B71" s="37">
        <v>46113.0</v>
      </c>
      <c r="C71" s="34">
        <v>9.0</v>
      </c>
      <c r="D71" s="34">
        <v>26.7</v>
      </c>
      <c r="E71" s="34">
        <v>10.2</v>
      </c>
      <c r="F71" s="34">
        <v>273.0</v>
      </c>
      <c r="G71" s="35">
        <v>0.773</v>
      </c>
      <c r="H71" s="35">
        <v>0.227</v>
      </c>
      <c r="I71" s="34">
        <v>2.0</v>
      </c>
      <c r="J71" s="35">
        <v>0.016</v>
      </c>
      <c r="K71" s="34">
        <v>123.0</v>
      </c>
      <c r="L71" s="34">
        <v>0.0015296</v>
      </c>
      <c r="M71" s="34">
        <v>0.0012105</v>
      </c>
      <c r="N71" s="36">
        <v>1.024E-4</v>
      </c>
      <c r="O71" s="36">
        <v>9.222E-5</v>
      </c>
      <c r="P71" s="36">
        <v>9.222E-5</v>
      </c>
      <c r="Q71" s="34">
        <v>149.0</v>
      </c>
      <c r="R71" s="34">
        <v>7.592E-4</v>
      </c>
      <c r="S71" s="34">
        <v>1.0</v>
      </c>
      <c r="T71" s="34">
        <v>1.968E-4</v>
      </c>
    </row>
    <row r="72">
      <c r="A72" s="31" t="s">
        <v>1012</v>
      </c>
      <c r="B72" s="37">
        <v>46113.0</v>
      </c>
      <c r="C72" s="34">
        <v>1.0</v>
      </c>
      <c r="D72" s="34">
        <v>0.1</v>
      </c>
      <c r="E72" s="34">
        <v>18.8</v>
      </c>
      <c r="F72" s="32">
        <v>1.0</v>
      </c>
      <c r="G72" s="35">
        <v>0.0</v>
      </c>
      <c r="H72" s="35">
        <v>1.0</v>
      </c>
      <c r="I72" s="34">
        <v>0.0</v>
      </c>
      <c r="J72" s="40"/>
      <c r="K72" s="34">
        <v>0.0</v>
      </c>
      <c r="L72" s="39"/>
      <c r="M72" s="39"/>
      <c r="N72" s="38"/>
      <c r="O72" s="39"/>
      <c r="P72" s="39"/>
      <c r="Q72" s="32">
        <v>1.0</v>
      </c>
      <c r="R72" s="34">
        <v>1.157E-4</v>
      </c>
      <c r="S72" s="34">
        <v>0.0</v>
      </c>
      <c r="T72" s="39"/>
    </row>
    <row r="73">
      <c r="A73" s="31" t="s">
        <v>1026</v>
      </c>
      <c r="B73" s="37">
        <v>46113.0</v>
      </c>
      <c r="C73" s="34">
        <v>9.0</v>
      </c>
      <c r="D73" s="34">
        <v>60.2</v>
      </c>
      <c r="E73" s="34">
        <v>15.9</v>
      </c>
      <c r="F73" s="32">
        <v>955.0</v>
      </c>
      <c r="G73" s="35">
        <v>0.572</v>
      </c>
      <c r="H73" s="35">
        <v>0.428</v>
      </c>
      <c r="I73" s="34">
        <v>17.0</v>
      </c>
      <c r="J73" s="35">
        <v>0.049</v>
      </c>
      <c r="K73" s="34">
        <v>349.0</v>
      </c>
      <c r="L73" s="34">
        <v>0.0017039</v>
      </c>
      <c r="M73" s="34">
        <v>0.0014049</v>
      </c>
      <c r="N73" s="36">
        <v>5.436E-5</v>
      </c>
      <c r="O73" s="36">
        <v>2.569E-4</v>
      </c>
      <c r="P73" s="36">
        <v>2.569E-4</v>
      </c>
      <c r="Q73" s="32">
        <v>605.0</v>
      </c>
      <c r="R73" s="34">
        <v>9.884E-4</v>
      </c>
      <c r="S73" s="34">
        <v>1.0</v>
      </c>
      <c r="T73" s="34">
        <v>2.662E-4</v>
      </c>
    </row>
    <row r="74">
      <c r="A74" s="31" t="s">
        <v>1036</v>
      </c>
      <c r="B74" s="37">
        <v>46113.0</v>
      </c>
      <c r="C74" s="34">
        <v>15.0</v>
      </c>
      <c r="D74" s="34">
        <v>77.3</v>
      </c>
      <c r="E74" s="34">
        <v>8.6</v>
      </c>
      <c r="F74" s="32">
        <v>663.0</v>
      </c>
      <c r="G74" s="35">
        <v>0.954</v>
      </c>
      <c r="H74" s="35">
        <v>0.046</v>
      </c>
      <c r="I74" s="34">
        <v>0.0</v>
      </c>
      <c r="J74" s="35">
        <v>0.0</v>
      </c>
      <c r="K74" s="34">
        <v>165.0</v>
      </c>
      <c r="L74" s="34">
        <v>0.0013251</v>
      </c>
      <c r="M74" s="34">
        <v>0.0012123</v>
      </c>
      <c r="N74" s="36">
        <v>7.877E-5</v>
      </c>
      <c r="O74" s="36">
        <v>7.611E-5</v>
      </c>
      <c r="P74" s="36">
        <v>7.611E-5</v>
      </c>
      <c r="Q74" s="34">
        <v>496.0</v>
      </c>
      <c r="R74" s="34">
        <v>9.519E-4</v>
      </c>
      <c r="S74" s="34">
        <v>2.0</v>
      </c>
      <c r="T74" s="36">
        <v>0.0184838</v>
      </c>
    </row>
    <row r="75">
      <c r="A75" s="31" t="s">
        <v>1055</v>
      </c>
      <c r="B75" s="37">
        <v>46113.0</v>
      </c>
      <c r="C75" s="34">
        <v>10.0</v>
      </c>
      <c r="D75" s="34">
        <v>72.0</v>
      </c>
      <c r="E75" s="34">
        <v>10.6</v>
      </c>
      <c r="F75" s="32">
        <v>761.0</v>
      </c>
      <c r="G75" s="35">
        <v>0.528</v>
      </c>
      <c r="H75" s="35">
        <v>0.472</v>
      </c>
      <c r="I75" s="34">
        <v>19.0</v>
      </c>
      <c r="J75" s="35">
        <v>0.057</v>
      </c>
      <c r="K75" s="34">
        <v>333.0</v>
      </c>
      <c r="L75" s="34">
        <v>0.0017426</v>
      </c>
      <c r="M75" s="34">
        <v>0.001213</v>
      </c>
      <c r="N75" s="36">
        <v>1.613E-4</v>
      </c>
      <c r="O75" s="36">
        <v>3.111E-4</v>
      </c>
      <c r="P75" s="36">
        <v>3.111E-4</v>
      </c>
      <c r="Q75" s="32">
        <v>426.0</v>
      </c>
      <c r="R75" s="34">
        <v>6.891E-4</v>
      </c>
      <c r="S75" s="34">
        <v>2.0</v>
      </c>
      <c r="T75" s="34">
        <v>3.53E-4</v>
      </c>
    </row>
    <row r="76">
      <c r="A76" s="31" t="s">
        <v>1065</v>
      </c>
      <c r="B76" s="37">
        <v>46113.0</v>
      </c>
      <c r="C76" s="34">
        <v>9.0</v>
      </c>
      <c r="D76" s="34">
        <v>53.0</v>
      </c>
      <c r="E76" s="34">
        <v>9.0</v>
      </c>
      <c r="F76" s="32">
        <v>475.0</v>
      </c>
      <c r="G76" s="35">
        <v>0.958</v>
      </c>
      <c r="H76" s="35">
        <v>0.042</v>
      </c>
      <c r="I76" s="34">
        <v>0.0</v>
      </c>
      <c r="J76" s="35">
        <v>0.0</v>
      </c>
      <c r="K76" s="34">
        <v>72.0</v>
      </c>
      <c r="L76" s="34">
        <v>7.303E-4</v>
      </c>
      <c r="M76" s="34">
        <v>6.552E-4</v>
      </c>
      <c r="N76" s="36">
        <v>7.073E-5</v>
      </c>
      <c r="O76" s="36">
        <v>6.961E-5</v>
      </c>
      <c r="P76" s="36">
        <v>6.961E-5</v>
      </c>
      <c r="Q76" s="32">
        <v>403.0</v>
      </c>
      <c r="R76" s="34">
        <v>6.496E-4</v>
      </c>
      <c r="S76" s="34">
        <v>0.0</v>
      </c>
      <c r="T76" s="39"/>
    </row>
    <row r="77">
      <c r="A77" s="31" t="s">
        <v>1084</v>
      </c>
      <c r="B77" s="37">
        <v>46113.0</v>
      </c>
      <c r="C77" s="34">
        <v>5.0</v>
      </c>
      <c r="D77" s="34">
        <v>34.0</v>
      </c>
      <c r="E77" s="34">
        <v>14.9</v>
      </c>
      <c r="F77" s="32">
        <v>505.0</v>
      </c>
      <c r="G77" s="35">
        <v>0.549</v>
      </c>
      <c r="H77" s="35">
        <v>0.451</v>
      </c>
      <c r="I77" s="34">
        <v>12.0</v>
      </c>
      <c r="J77" s="35">
        <v>0.053</v>
      </c>
      <c r="K77" s="34">
        <v>225.0</v>
      </c>
      <c r="L77" s="34">
        <v>0.0014818</v>
      </c>
      <c r="M77" s="34">
        <v>0.0010386</v>
      </c>
      <c r="N77" s="36">
        <v>1.102E-4</v>
      </c>
      <c r="O77" s="36">
        <v>3.441E-4</v>
      </c>
      <c r="P77" s="36">
        <v>3.441E-4</v>
      </c>
      <c r="Q77" s="34">
        <v>280.0</v>
      </c>
      <c r="R77" s="34">
        <v>9.247E-4</v>
      </c>
      <c r="S77" s="34">
        <v>0.0</v>
      </c>
      <c r="T77" s="39"/>
    </row>
    <row r="78">
      <c r="A78" s="31" t="s">
        <v>1096</v>
      </c>
      <c r="B78" s="37">
        <v>46113.0</v>
      </c>
      <c r="C78" s="34">
        <v>1.0</v>
      </c>
      <c r="D78" s="34">
        <v>0.1</v>
      </c>
      <c r="E78" s="34">
        <v>13.4</v>
      </c>
      <c r="F78" s="32">
        <v>1.0</v>
      </c>
      <c r="G78" s="35">
        <v>0.0</v>
      </c>
      <c r="H78" s="35">
        <v>1.0</v>
      </c>
      <c r="I78" s="34">
        <v>0.0</v>
      </c>
      <c r="J78" s="40"/>
      <c r="K78" s="34">
        <v>0.0</v>
      </c>
      <c r="L78" s="39"/>
      <c r="M78" s="39"/>
      <c r="N78" s="38"/>
      <c r="O78" s="38"/>
      <c r="P78" s="38"/>
      <c r="Q78" s="32">
        <v>1.0</v>
      </c>
      <c r="R78" s="34">
        <v>2.315E-4</v>
      </c>
      <c r="S78" s="34">
        <v>0.0</v>
      </c>
      <c r="T78" s="39"/>
    </row>
    <row r="79">
      <c r="A79" s="31" t="s">
        <v>1104</v>
      </c>
      <c r="B79" s="37">
        <v>46113.0</v>
      </c>
      <c r="C79" s="34">
        <v>10.0</v>
      </c>
      <c r="D79" s="34">
        <v>77.7</v>
      </c>
      <c r="E79" s="34">
        <v>18.5</v>
      </c>
      <c r="F79" s="32">
        <v>1435.0</v>
      </c>
      <c r="G79" s="35">
        <v>0.813</v>
      </c>
      <c r="H79" s="35">
        <v>0.187</v>
      </c>
      <c r="I79" s="34">
        <v>13.0</v>
      </c>
      <c r="J79" s="35">
        <v>0.048</v>
      </c>
      <c r="K79" s="34">
        <v>269.0</v>
      </c>
      <c r="L79" s="34">
        <v>0.0021065</v>
      </c>
      <c r="M79" s="34">
        <v>0.0014942</v>
      </c>
      <c r="N79" s="36">
        <v>3.313E-4</v>
      </c>
      <c r="O79" s="34">
        <v>3.275E-4</v>
      </c>
      <c r="P79" s="34">
        <v>3.275E-4</v>
      </c>
      <c r="Q79" s="32">
        <v>1166.0</v>
      </c>
      <c r="R79" s="34">
        <v>8.54E-4</v>
      </c>
      <c r="S79" s="34">
        <v>0.0</v>
      </c>
      <c r="T79" s="39"/>
    </row>
    <row r="80">
      <c r="A80" s="31" t="s">
        <v>1126</v>
      </c>
      <c r="B80" s="37">
        <v>46113.0</v>
      </c>
      <c r="C80" s="34">
        <v>9.0</v>
      </c>
      <c r="D80" s="34">
        <v>59.7</v>
      </c>
      <c r="E80" s="34">
        <v>5.3</v>
      </c>
      <c r="F80" s="32">
        <v>315.0</v>
      </c>
      <c r="G80" s="35">
        <v>0.887</v>
      </c>
      <c r="H80" s="35">
        <v>0.113</v>
      </c>
      <c r="I80" s="34">
        <v>0.0</v>
      </c>
      <c r="J80" s="35">
        <v>0.0</v>
      </c>
      <c r="K80" s="34">
        <v>124.0</v>
      </c>
      <c r="L80" s="34">
        <v>9.423E-4</v>
      </c>
      <c r="M80" s="34">
        <v>6.255E-4</v>
      </c>
      <c r="N80" s="36">
        <v>1.017E-5</v>
      </c>
      <c r="O80" s="34">
        <v>2.963E-4</v>
      </c>
      <c r="P80" s="34">
        <v>2.963E-4</v>
      </c>
      <c r="Q80" s="32">
        <v>191.0</v>
      </c>
      <c r="R80" s="34">
        <v>7.85E-4</v>
      </c>
      <c r="S80" s="34">
        <v>0.0</v>
      </c>
      <c r="T80" s="38"/>
    </row>
    <row r="81">
      <c r="A81" s="31" t="s">
        <v>1136</v>
      </c>
      <c r="B81" s="37">
        <v>46113.0</v>
      </c>
      <c r="C81" s="34">
        <v>11.0</v>
      </c>
      <c r="D81" s="34">
        <v>67.9</v>
      </c>
      <c r="E81" s="34">
        <v>15.7</v>
      </c>
      <c r="F81" s="32">
        <v>1067.0</v>
      </c>
      <c r="G81" s="35">
        <v>0.565</v>
      </c>
      <c r="H81" s="35">
        <v>0.435</v>
      </c>
      <c r="I81" s="34">
        <v>32.0</v>
      </c>
      <c r="J81" s="35">
        <v>0.072</v>
      </c>
      <c r="K81" s="34">
        <v>442.0</v>
      </c>
      <c r="L81" s="34">
        <v>0.001777</v>
      </c>
      <c r="M81" s="34">
        <v>0.0012655</v>
      </c>
      <c r="N81" s="36">
        <v>1.135E-4</v>
      </c>
      <c r="O81" s="36">
        <v>4.254E-4</v>
      </c>
      <c r="P81" s="36">
        <v>4.254E-4</v>
      </c>
      <c r="Q81" s="32">
        <v>624.0</v>
      </c>
      <c r="R81" s="34">
        <v>9.056E-4</v>
      </c>
      <c r="S81" s="34">
        <v>1.0</v>
      </c>
      <c r="T81" s="34">
        <v>7.176E-4</v>
      </c>
    </row>
    <row r="82">
      <c r="A82" s="31" t="s">
        <v>1146</v>
      </c>
      <c r="B82" s="37">
        <v>46113.0</v>
      </c>
      <c r="C82" s="34">
        <v>8.0</v>
      </c>
      <c r="D82" s="34">
        <v>52.4</v>
      </c>
      <c r="E82" s="34">
        <v>7.6</v>
      </c>
      <c r="F82" s="32">
        <v>397.0</v>
      </c>
      <c r="G82" s="35">
        <v>0.571</v>
      </c>
      <c r="H82" s="35">
        <v>0.429</v>
      </c>
      <c r="I82" s="34">
        <v>2.0</v>
      </c>
      <c r="J82" s="35">
        <v>0.02</v>
      </c>
      <c r="K82" s="34">
        <v>99.0</v>
      </c>
      <c r="L82" s="34">
        <v>0.0020366</v>
      </c>
      <c r="M82" s="34">
        <v>0.0016118</v>
      </c>
      <c r="N82" s="36">
        <v>1.348E-4</v>
      </c>
      <c r="O82" s="36">
        <v>2.902E-4</v>
      </c>
      <c r="P82" s="36">
        <v>2.902E-4</v>
      </c>
      <c r="Q82" s="32">
        <v>297.0</v>
      </c>
      <c r="R82" s="34">
        <v>7.839E-4</v>
      </c>
      <c r="S82" s="34">
        <v>1.0</v>
      </c>
      <c r="T82" s="34">
        <v>4.63E-4</v>
      </c>
    </row>
    <row r="83">
      <c r="A83" s="31" t="s">
        <v>1158</v>
      </c>
      <c r="B83" s="37">
        <v>46113.0</v>
      </c>
      <c r="C83" s="34">
        <v>9.0</v>
      </c>
      <c r="D83" s="34">
        <v>68.6</v>
      </c>
      <c r="E83" s="34">
        <v>11.7</v>
      </c>
      <c r="F83" s="32">
        <v>800.0</v>
      </c>
      <c r="G83" s="35">
        <v>0.778</v>
      </c>
      <c r="H83" s="35">
        <v>0.222</v>
      </c>
      <c r="I83" s="34">
        <v>5.0</v>
      </c>
      <c r="J83" s="35">
        <v>0.04</v>
      </c>
      <c r="K83" s="34">
        <v>124.0</v>
      </c>
      <c r="L83" s="34">
        <v>0.0016758</v>
      </c>
      <c r="M83" s="34">
        <v>0.0011786</v>
      </c>
      <c r="N83" s="34">
        <v>1.362E-4</v>
      </c>
      <c r="O83" s="34">
        <v>4.547E-4</v>
      </c>
      <c r="P83" s="34">
        <v>4.547E-4</v>
      </c>
      <c r="Q83" s="32">
        <v>676.0</v>
      </c>
      <c r="R83" s="34">
        <v>8.236E-4</v>
      </c>
      <c r="S83" s="34">
        <v>0.0</v>
      </c>
      <c r="T83" s="39"/>
    </row>
    <row r="84">
      <c r="A84" s="31" t="s">
        <v>1169</v>
      </c>
      <c r="B84" s="37">
        <v>46113.0</v>
      </c>
      <c r="C84" s="34">
        <v>10.0</v>
      </c>
      <c r="D84" s="34">
        <v>70.3</v>
      </c>
      <c r="E84" s="34">
        <v>16.7</v>
      </c>
      <c r="F84" s="32">
        <v>1172.0</v>
      </c>
      <c r="G84" s="35">
        <v>0.236</v>
      </c>
      <c r="H84" s="35">
        <v>0.764</v>
      </c>
      <c r="I84" s="34">
        <v>6.0</v>
      </c>
      <c r="J84" s="35">
        <v>0.043</v>
      </c>
      <c r="K84" s="34">
        <v>141.0</v>
      </c>
      <c r="L84" s="34">
        <v>0.0023543</v>
      </c>
      <c r="M84" s="34">
        <v>0.0014911</v>
      </c>
      <c r="N84" s="36">
        <v>3.257E-4</v>
      </c>
      <c r="O84" s="34">
        <v>6.717E-4</v>
      </c>
      <c r="P84" s="34">
        <v>6.717E-4</v>
      </c>
      <c r="Q84" s="32">
        <v>1031.0</v>
      </c>
      <c r="R84" s="34">
        <v>8.504E-4</v>
      </c>
      <c r="S84" s="34">
        <v>0.0</v>
      </c>
      <c r="T84" s="38"/>
    </row>
    <row r="85">
      <c r="A85" s="31" t="s">
        <v>1178</v>
      </c>
      <c r="B85" s="37">
        <v>46113.0</v>
      </c>
      <c r="C85" s="34">
        <v>7.0</v>
      </c>
      <c r="D85" s="34">
        <v>46.8</v>
      </c>
      <c r="E85" s="34">
        <v>6.6</v>
      </c>
      <c r="F85" s="32">
        <v>308.0</v>
      </c>
      <c r="G85" s="35">
        <v>0.699</v>
      </c>
      <c r="H85" s="35">
        <v>0.301</v>
      </c>
      <c r="I85" s="34">
        <v>0.0</v>
      </c>
      <c r="J85" s="35">
        <v>0.0</v>
      </c>
      <c r="K85" s="34">
        <v>90.0</v>
      </c>
      <c r="L85" s="34">
        <v>7.424E-4</v>
      </c>
      <c r="M85" s="34">
        <v>5.782E-4</v>
      </c>
      <c r="N85" s="36">
        <v>7.395E-5</v>
      </c>
      <c r="O85" s="34">
        <v>1.286E-4</v>
      </c>
      <c r="P85" s="34">
        <v>1.286E-4</v>
      </c>
      <c r="Q85" s="32">
        <v>218.0</v>
      </c>
      <c r="R85" s="34">
        <v>8.358E-4</v>
      </c>
      <c r="S85" s="34">
        <v>0.0</v>
      </c>
      <c r="T85" s="39"/>
    </row>
    <row r="86">
      <c r="A86" s="31" t="s">
        <v>1191</v>
      </c>
      <c r="B86" s="37">
        <v>46113.0</v>
      </c>
      <c r="C86" s="34">
        <v>2.0</v>
      </c>
      <c r="D86" s="34">
        <v>0.3</v>
      </c>
      <c r="E86" s="34">
        <v>3.7</v>
      </c>
      <c r="F86" s="32">
        <v>1.0</v>
      </c>
      <c r="G86" s="35">
        <v>0.0</v>
      </c>
      <c r="H86" s="35">
        <v>1.0</v>
      </c>
      <c r="I86" s="34">
        <v>0.0</v>
      </c>
      <c r="J86" s="40"/>
      <c r="K86" s="34">
        <v>0.0</v>
      </c>
      <c r="L86" s="39"/>
      <c r="M86" s="39"/>
      <c r="N86" s="39"/>
      <c r="O86" s="39"/>
      <c r="P86" s="39"/>
      <c r="Q86" s="32">
        <v>1.0</v>
      </c>
      <c r="R86" s="34">
        <v>1.042E-4</v>
      </c>
      <c r="S86" s="34">
        <v>0.0</v>
      </c>
      <c r="T86" s="38"/>
    </row>
    <row r="87">
      <c r="A87" s="31" t="s">
        <v>1472</v>
      </c>
      <c r="B87" s="37">
        <v>46113.0</v>
      </c>
      <c r="C87" s="34">
        <v>13.0</v>
      </c>
      <c r="D87" s="34">
        <v>69.6</v>
      </c>
      <c r="E87" s="34">
        <v>11.7</v>
      </c>
      <c r="F87" s="34">
        <v>818.0</v>
      </c>
      <c r="G87" s="35">
        <v>0.597</v>
      </c>
      <c r="H87" s="35">
        <v>0.403</v>
      </c>
      <c r="I87" s="34">
        <v>22.0</v>
      </c>
      <c r="J87" s="35">
        <v>0.053</v>
      </c>
      <c r="K87" s="34">
        <v>418.0</v>
      </c>
      <c r="L87" s="34">
        <v>0.0018283</v>
      </c>
      <c r="M87" s="34">
        <v>0.0012121</v>
      </c>
      <c r="N87" s="34">
        <v>1.907E-4</v>
      </c>
      <c r="O87" s="34">
        <v>4.202E-4</v>
      </c>
      <c r="P87" s="34">
        <v>4.202E-4</v>
      </c>
      <c r="Q87" s="34">
        <v>400.0</v>
      </c>
      <c r="R87" s="34">
        <v>7.897E-4</v>
      </c>
      <c r="S87" s="34">
        <v>0.0</v>
      </c>
      <c r="T87" s="39"/>
    </row>
    <row r="88">
      <c r="A88" s="31" t="s">
        <v>1473</v>
      </c>
      <c r="B88" s="37">
        <v>46113.0</v>
      </c>
      <c r="C88" s="34">
        <v>12.0</v>
      </c>
      <c r="D88" s="34">
        <v>31.5</v>
      </c>
      <c r="E88" s="34">
        <v>12.2</v>
      </c>
      <c r="F88" s="32">
        <v>383.0</v>
      </c>
      <c r="G88" s="35">
        <v>0.557</v>
      </c>
      <c r="H88" s="35">
        <v>0.443</v>
      </c>
      <c r="I88" s="34">
        <v>3.0</v>
      </c>
      <c r="J88" s="35">
        <v>0.027</v>
      </c>
      <c r="K88" s="34">
        <v>113.0</v>
      </c>
      <c r="L88" s="34">
        <v>0.0015847</v>
      </c>
      <c r="M88" s="34">
        <v>8.929E-4</v>
      </c>
      <c r="N88" s="36">
        <v>1.844E-6</v>
      </c>
      <c r="O88" s="34">
        <v>5.709E-4</v>
      </c>
      <c r="P88" s="34">
        <v>5.709E-4</v>
      </c>
      <c r="Q88" s="32">
        <v>270.0</v>
      </c>
      <c r="R88" s="34">
        <v>6.544E-4</v>
      </c>
      <c r="S88" s="34">
        <v>0.0</v>
      </c>
      <c r="T88" s="41"/>
    </row>
    <row r="89">
      <c r="A89" s="31" t="s">
        <v>1220</v>
      </c>
      <c r="B89" s="37">
        <v>46113.0</v>
      </c>
      <c r="C89" s="34">
        <v>8.0</v>
      </c>
      <c r="D89" s="34">
        <v>65.2</v>
      </c>
      <c r="E89" s="34">
        <v>6.2</v>
      </c>
      <c r="F89" s="34">
        <v>402.0</v>
      </c>
      <c r="G89" s="35">
        <v>0.909</v>
      </c>
      <c r="H89" s="35">
        <v>0.091</v>
      </c>
      <c r="I89" s="34">
        <v>19.0</v>
      </c>
      <c r="J89" s="35">
        <v>0.069</v>
      </c>
      <c r="K89" s="34">
        <v>275.0</v>
      </c>
      <c r="L89" s="34">
        <v>0.0017995</v>
      </c>
      <c r="M89" s="34">
        <v>0.0016407</v>
      </c>
      <c r="N89" s="36">
        <v>2.05E-5</v>
      </c>
      <c r="O89" s="34">
        <v>1.384E-4</v>
      </c>
      <c r="P89" s="34">
        <v>1.384E-4</v>
      </c>
      <c r="Q89" s="34">
        <v>125.0</v>
      </c>
      <c r="R89" s="34">
        <v>0.0010399</v>
      </c>
      <c r="S89" s="34">
        <v>2.0</v>
      </c>
      <c r="T89" s="34">
        <v>0.0019444</v>
      </c>
    </row>
    <row r="90">
      <c r="A90" s="31" t="s">
        <v>1256</v>
      </c>
      <c r="B90" s="37">
        <v>46113.0</v>
      </c>
      <c r="C90" s="34">
        <v>10.0</v>
      </c>
      <c r="D90" s="34">
        <v>67.1</v>
      </c>
      <c r="E90" s="34">
        <v>5.2</v>
      </c>
      <c r="F90" s="34">
        <v>350.0</v>
      </c>
      <c r="G90" s="35">
        <v>0.441</v>
      </c>
      <c r="H90" s="35">
        <v>0.559</v>
      </c>
      <c r="I90" s="34">
        <v>1.0</v>
      </c>
      <c r="J90" s="35">
        <v>0.012</v>
      </c>
      <c r="K90" s="34">
        <v>81.0</v>
      </c>
      <c r="L90" s="34">
        <v>7.692E-4</v>
      </c>
      <c r="M90" s="34">
        <v>4.927E-4</v>
      </c>
      <c r="N90" s="34">
        <v>1.85E-4</v>
      </c>
      <c r="O90" s="34">
        <v>2.056E-4</v>
      </c>
      <c r="P90" s="34">
        <v>2.056E-4</v>
      </c>
      <c r="Q90" s="34">
        <v>268.0</v>
      </c>
      <c r="R90" s="34">
        <v>8.637E-4</v>
      </c>
      <c r="S90" s="34">
        <v>1.0</v>
      </c>
      <c r="T90" s="34">
        <v>3.472E-4</v>
      </c>
    </row>
    <row r="91">
      <c r="A91" s="31" t="s">
        <v>1270</v>
      </c>
      <c r="B91" s="37">
        <v>46113.0</v>
      </c>
      <c r="C91" s="34">
        <v>9.0</v>
      </c>
      <c r="D91" s="34">
        <v>66.9</v>
      </c>
      <c r="E91" s="34">
        <v>11.2</v>
      </c>
      <c r="F91" s="34">
        <v>752.0</v>
      </c>
      <c r="G91" s="35">
        <v>0.505</v>
      </c>
      <c r="H91" s="35">
        <v>0.495</v>
      </c>
      <c r="I91" s="34">
        <v>8.0</v>
      </c>
      <c r="J91" s="35">
        <v>0.037</v>
      </c>
      <c r="K91" s="34">
        <v>217.0</v>
      </c>
      <c r="L91" s="34">
        <v>0.0016216</v>
      </c>
      <c r="M91" s="34">
        <v>0.0013082</v>
      </c>
      <c r="N91" s="34">
        <v>1.345E-4</v>
      </c>
      <c r="O91" s="34">
        <v>2.039E-4</v>
      </c>
      <c r="P91" s="34">
        <v>2.039E-4</v>
      </c>
      <c r="Q91" s="34">
        <v>533.0</v>
      </c>
      <c r="R91" s="34">
        <v>9.564E-4</v>
      </c>
      <c r="S91" s="34">
        <v>2.0</v>
      </c>
      <c r="T91" s="34">
        <v>9.722E-4</v>
      </c>
    </row>
    <row r="92">
      <c r="A92" s="31" t="s">
        <v>1279</v>
      </c>
      <c r="B92" s="37">
        <v>46113.0</v>
      </c>
      <c r="C92" s="34">
        <v>5.0</v>
      </c>
      <c r="D92" s="34">
        <v>31.4</v>
      </c>
      <c r="E92" s="34">
        <v>16.3</v>
      </c>
      <c r="F92" s="32">
        <v>510.0</v>
      </c>
      <c r="G92" s="35">
        <v>0.355</v>
      </c>
      <c r="H92" s="35">
        <v>0.645</v>
      </c>
      <c r="I92" s="34">
        <v>1.0</v>
      </c>
      <c r="J92" s="35">
        <v>0.009</v>
      </c>
      <c r="K92" s="34">
        <v>109.0</v>
      </c>
      <c r="L92" s="34">
        <v>0.0014987</v>
      </c>
      <c r="M92" s="34">
        <v>0.0011328</v>
      </c>
      <c r="N92" s="36">
        <v>2.301E-4</v>
      </c>
      <c r="O92" s="34">
        <v>2.613E-4</v>
      </c>
      <c r="P92" s="34">
        <v>2.613E-4</v>
      </c>
      <c r="Q92" s="32">
        <v>400.0</v>
      </c>
      <c r="R92" s="34">
        <v>9.171E-4</v>
      </c>
      <c r="S92" s="34">
        <v>1.0</v>
      </c>
      <c r="T92" s="34">
        <v>4.514E-4</v>
      </c>
    </row>
    <row r="93">
      <c r="A93" s="31" t="s">
        <v>1290</v>
      </c>
      <c r="B93" s="37">
        <v>46113.0</v>
      </c>
      <c r="C93" s="34">
        <v>1.0</v>
      </c>
      <c r="D93" s="34">
        <v>0.3</v>
      </c>
      <c r="E93" s="34">
        <v>3.3</v>
      </c>
      <c r="F93" s="34">
        <v>1.0</v>
      </c>
      <c r="G93" s="35">
        <v>0.0</v>
      </c>
      <c r="H93" s="35">
        <v>1.0</v>
      </c>
      <c r="I93" s="34">
        <v>0.0</v>
      </c>
      <c r="J93" s="40"/>
      <c r="K93" s="34">
        <v>0.0</v>
      </c>
      <c r="L93" s="39"/>
      <c r="M93" s="39"/>
      <c r="N93" s="38"/>
      <c r="O93" s="39"/>
      <c r="P93" s="39"/>
      <c r="Q93" s="34">
        <v>1.0</v>
      </c>
      <c r="R93" s="36">
        <v>5.787E-5</v>
      </c>
      <c r="S93" s="34">
        <v>0.0</v>
      </c>
      <c r="T93" s="39"/>
    </row>
    <row r="94">
      <c r="A94" s="31" t="s">
        <v>1298</v>
      </c>
      <c r="B94" s="37">
        <v>46113.0</v>
      </c>
      <c r="C94" s="34">
        <v>8.0</v>
      </c>
      <c r="D94" s="34">
        <v>74.6</v>
      </c>
      <c r="E94" s="34">
        <v>16.4</v>
      </c>
      <c r="F94" s="32">
        <v>1224.0</v>
      </c>
      <c r="G94" s="35">
        <v>0.308</v>
      </c>
      <c r="H94" s="35">
        <v>0.692</v>
      </c>
      <c r="I94" s="34">
        <v>11.0</v>
      </c>
      <c r="J94" s="35">
        <v>0.042</v>
      </c>
      <c r="K94" s="34">
        <v>259.0</v>
      </c>
      <c r="L94" s="34">
        <v>0.001317</v>
      </c>
      <c r="M94" s="34">
        <v>8.42E-4</v>
      </c>
      <c r="N94" s="36">
        <v>2.566E-4</v>
      </c>
      <c r="O94" s="34">
        <v>2.914E-4</v>
      </c>
      <c r="P94" s="34">
        <v>2.914E-4</v>
      </c>
      <c r="Q94" s="34">
        <v>965.0</v>
      </c>
      <c r="R94" s="34">
        <v>6.28E-4</v>
      </c>
      <c r="S94" s="34">
        <v>0.0</v>
      </c>
      <c r="T94" s="41"/>
    </row>
    <row r="95">
      <c r="A95" s="31" t="s">
        <v>1335</v>
      </c>
      <c r="B95" s="37">
        <v>46113.0</v>
      </c>
      <c r="C95" s="34">
        <v>8.0</v>
      </c>
      <c r="D95" s="34">
        <v>52.0</v>
      </c>
      <c r="E95" s="34">
        <v>12.5</v>
      </c>
      <c r="F95" s="34">
        <v>648.0</v>
      </c>
      <c r="G95" s="35">
        <v>0.516</v>
      </c>
      <c r="H95" s="35">
        <v>0.484</v>
      </c>
      <c r="I95" s="34">
        <v>1.0</v>
      </c>
      <c r="J95" s="35">
        <v>0.005</v>
      </c>
      <c r="K95" s="34">
        <v>194.0</v>
      </c>
      <c r="L95" s="34">
        <v>0.0010207</v>
      </c>
      <c r="M95" s="34">
        <v>6.955E-4</v>
      </c>
      <c r="N95" s="36">
        <v>3.138E-5</v>
      </c>
      <c r="O95" s="34">
        <v>2.784E-4</v>
      </c>
      <c r="P95" s="34">
        <v>2.784E-4</v>
      </c>
      <c r="Q95" s="34">
        <v>454.0</v>
      </c>
      <c r="R95" s="34">
        <v>8.007E-4</v>
      </c>
      <c r="S95" s="34">
        <v>0.0</v>
      </c>
      <c r="T95" s="41"/>
    </row>
    <row r="96">
      <c r="A96" s="31" t="s">
        <v>1346</v>
      </c>
      <c r="B96" s="37">
        <v>46113.0</v>
      </c>
      <c r="C96" s="34">
        <v>6.0</v>
      </c>
      <c r="D96" s="34">
        <v>32.5</v>
      </c>
      <c r="E96" s="34">
        <v>8.2</v>
      </c>
      <c r="F96" s="34">
        <v>266.0</v>
      </c>
      <c r="G96" s="35">
        <v>0.646</v>
      </c>
      <c r="H96" s="35">
        <v>0.354</v>
      </c>
      <c r="I96" s="34">
        <v>1.0</v>
      </c>
      <c r="J96" s="35">
        <v>0.023</v>
      </c>
      <c r="K96" s="34">
        <v>43.0</v>
      </c>
      <c r="L96" s="34">
        <v>0.0020849</v>
      </c>
      <c r="M96" s="34">
        <v>0.0011073</v>
      </c>
      <c r="N96" s="36">
        <v>2.449E-5</v>
      </c>
      <c r="O96" s="34">
        <v>8.021E-4</v>
      </c>
      <c r="P96" s="34">
        <v>8.021E-4</v>
      </c>
      <c r="Q96" s="34">
        <v>223.0</v>
      </c>
      <c r="R96" s="34">
        <v>0.001125</v>
      </c>
      <c r="S96" s="34">
        <v>0.0</v>
      </c>
      <c r="T96" s="39"/>
    </row>
    <row r="97">
      <c r="A97" s="31" t="s">
        <v>1357</v>
      </c>
      <c r="B97" s="37">
        <v>46113.0</v>
      </c>
      <c r="C97" s="34">
        <v>9.0</v>
      </c>
      <c r="D97" s="34">
        <v>71.7</v>
      </c>
      <c r="E97" s="34">
        <v>11.8</v>
      </c>
      <c r="F97" s="34">
        <v>844.0</v>
      </c>
      <c r="G97" s="35">
        <v>0.711</v>
      </c>
      <c r="H97" s="35">
        <v>0.289</v>
      </c>
      <c r="I97" s="34">
        <v>7.0</v>
      </c>
      <c r="J97" s="35">
        <v>0.036</v>
      </c>
      <c r="K97" s="34">
        <v>196.0</v>
      </c>
      <c r="L97" s="34">
        <v>0.0023256</v>
      </c>
      <c r="M97" s="34">
        <v>0.001681</v>
      </c>
      <c r="N97" s="36">
        <v>4.665E-5</v>
      </c>
      <c r="O97" s="34">
        <v>5.737E-4</v>
      </c>
      <c r="P97" s="34">
        <v>5.737E-4</v>
      </c>
      <c r="Q97" s="34">
        <v>648.0</v>
      </c>
      <c r="R97" s="34">
        <v>0.0011666</v>
      </c>
      <c r="S97" s="34">
        <v>0.0</v>
      </c>
      <c r="T97" s="39"/>
    </row>
    <row r="98">
      <c r="A98" s="31" t="s">
        <v>1370</v>
      </c>
      <c r="B98" s="37">
        <v>46113.0</v>
      </c>
      <c r="C98" s="34">
        <v>12.0</v>
      </c>
      <c r="D98" s="34">
        <v>45.6</v>
      </c>
      <c r="E98" s="34">
        <v>9.3</v>
      </c>
      <c r="F98" s="32">
        <v>426.0</v>
      </c>
      <c r="G98" s="35">
        <v>0.737</v>
      </c>
      <c r="H98" s="35">
        <v>0.263</v>
      </c>
      <c r="I98" s="34">
        <v>9.0</v>
      </c>
      <c r="J98" s="35">
        <v>0.082</v>
      </c>
      <c r="K98" s="34">
        <v>110.0</v>
      </c>
      <c r="L98" s="34">
        <v>0.0018688</v>
      </c>
      <c r="M98" s="34">
        <v>9.52E-4</v>
      </c>
      <c r="N98" s="34">
        <v>1.656E-4</v>
      </c>
      <c r="O98" s="34">
        <v>7.774E-4</v>
      </c>
      <c r="P98" s="34">
        <v>7.774E-4</v>
      </c>
      <c r="Q98" s="34">
        <v>315.0</v>
      </c>
      <c r="R98" s="34">
        <v>8.383E-4</v>
      </c>
      <c r="S98" s="34">
        <v>1.0</v>
      </c>
      <c r="T98" s="34">
        <v>0.002037</v>
      </c>
    </row>
    <row r="99">
      <c r="A99" s="31" t="s">
        <v>1382</v>
      </c>
      <c r="B99" s="37">
        <v>46113.0</v>
      </c>
      <c r="C99" s="34">
        <v>3.0</v>
      </c>
      <c r="D99" s="34">
        <v>0.2</v>
      </c>
      <c r="E99" s="34">
        <v>4.3</v>
      </c>
      <c r="F99" s="32">
        <v>1.0</v>
      </c>
      <c r="G99" s="35">
        <v>0.02</v>
      </c>
      <c r="H99" s="35">
        <v>0.98</v>
      </c>
      <c r="I99" s="34">
        <v>0.0</v>
      </c>
      <c r="J99" s="41"/>
      <c r="K99" s="34">
        <v>0.0</v>
      </c>
      <c r="L99" s="41"/>
      <c r="M99" s="41"/>
      <c r="N99" s="41"/>
      <c r="O99" s="41"/>
      <c r="P99" s="41"/>
      <c r="Q99" s="32">
        <v>1.0</v>
      </c>
      <c r="R99" s="34">
        <v>1.505E-4</v>
      </c>
      <c r="S99" s="34">
        <v>0.0</v>
      </c>
      <c r="T99" s="39"/>
    </row>
    <row r="100">
      <c r="A100" s="31" t="s">
        <v>1401</v>
      </c>
      <c r="B100" s="37">
        <v>46113.0</v>
      </c>
      <c r="C100" s="34">
        <v>9.0</v>
      </c>
      <c r="D100" s="34">
        <v>66.6</v>
      </c>
      <c r="E100" s="34">
        <v>9.2</v>
      </c>
      <c r="F100" s="32">
        <v>613.0</v>
      </c>
      <c r="G100" s="35">
        <v>0.645</v>
      </c>
      <c r="H100" s="35">
        <v>0.355</v>
      </c>
      <c r="I100" s="34">
        <v>4.0</v>
      </c>
      <c r="J100" s="35">
        <v>0.02</v>
      </c>
      <c r="K100" s="34">
        <v>200.0</v>
      </c>
      <c r="L100" s="34">
        <v>0.0019798</v>
      </c>
      <c r="M100" s="34">
        <v>0.0012821</v>
      </c>
      <c r="N100" s="36">
        <v>1.539E-5</v>
      </c>
      <c r="O100" s="34">
        <v>6.77E-4</v>
      </c>
      <c r="P100" s="34">
        <v>6.77E-4</v>
      </c>
      <c r="Q100" s="32">
        <v>413.0</v>
      </c>
      <c r="R100" s="34">
        <v>6.839E-4</v>
      </c>
      <c r="S100" s="34">
        <v>0.0</v>
      </c>
      <c r="T100" s="39"/>
    </row>
    <row r="101">
      <c r="A101" s="31" t="s">
        <v>1413</v>
      </c>
      <c r="B101" s="37">
        <v>46113.0</v>
      </c>
      <c r="C101" s="34">
        <v>11.0</v>
      </c>
      <c r="D101" s="34">
        <v>91.0</v>
      </c>
      <c r="E101" s="34">
        <v>6.0</v>
      </c>
      <c r="F101" s="32">
        <v>548.0</v>
      </c>
      <c r="G101" s="35">
        <v>0.753</v>
      </c>
      <c r="H101" s="35">
        <v>0.247</v>
      </c>
      <c r="I101" s="34">
        <v>0.0</v>
      </c>
      <c r="J101" s="35">
        <v>0.0</v>
      </c>
      <c r="K101" s="34">
        <v>98.0</v>
      </c>
      <c r="L101" s="34">
        <v>0.0014007</v>
      </c>
      <c r="M101" s="34">
        <v>9.283E-4</v>
      </c>
      <c r="N101" s="34">
        <v>0.0</v>
      </c>
      <c r="O101" s="34">
        <v>4.724E-4</v>
      </c>
      <c r="P101" s="34">
        <v>4.724E-4</v>
      </c>
      <c r="Q101" s="32">
        <v>450.0</v>
      </c>
      <c r="R101" s="34">
        <v>6.502E-4</v>
      </c>
      <c r="S101" s="34">
        <v>0.0</v>
      </c>
      <c r="T101" s="41"/>
    </row>
    <row r="102">
      <c r="A102" s="31" t="s">
        <v>1424</v>
      </c>
      <c r="B102" s="37">
        <v>46113.0</v>
      </c>
      <c r="C102" s="34">
        <v>2.0</v>
      </c>
      <c r="D102" s="34">
        <v>6.1</v>
      </c>
      <c r="E102" s="34">
        <v>16.1</v>
      </c>
      <c r="F102" s="32">
        <v>98.0</v>
      </c>
      <c r="G102" s="35">
        <v>0.328</v>
      </c>
      <c r="H102" s="35">
        <v>0.672</v>
      </c>
      <c r="I102" s="34">
        <v>0.0</v>
      </c>
      <c r="J102" s="35">
        <v>0.0</v>
      </c>
      <c r="K102" s="34">
        <v>26.0</v>
      </c>
      <c r="L102" s="34">
        <v>0.0018113</v>
      </c>
      <c r="M102" s="34">
        <v>0.0010497</v>
      </c>
      <c r="N102" s="34">
        <v>1.767E-4</v>
      </c>
      <c r="O102" s="34">
        <v>6.067E-4</v>
      </c>
      <c r="P102" s="34">
        <v>6.067E-4</v>
      </c>
      <c r="Q102" s="32">
        <v>72.0</v>
      </c>
      <c r="R102" s="34">
        <v>9.16E-4</v>
      </c>
      <c r="S102" s="34">
        <v>0.0</v>
      </c>
      <c r="T102" s="38"/>
    </row>
    <row r="103">
      <c r="A103" s="31"/>
      <c r="B103" s="37"/>
      <c r="C103" s="34"/>
      <c r="D103" s="34"/>
      <c r="E103" s="34"/>
      <c r="F103" s="34"/>
      <c r="G103" s="35"/>
      <c r="H103" s="35"/>
      <c r="I103" s="34"/>
      <c r="J103" s="35"/>
      <c r="K103" s="34"/>
      <c r="L103" s="34"/>
      <c r="M103" s="34"/>
      <c r="N103" s="34"/>
      <c r="O103" s="34"/>
      <c r="P103" s="34"/>
      <c r="Q103" s="34"/>
      <c r="R103" s="34"/>
      <c r="S103" s="34"/>
      <c r="T103" s="41"/>
    </row>
    <row r="104">
      <c r="A104" s="31"/>
      <c r="B104" s="37"/>
      <c r="C104" s="34"/>
      <c r="D104" s="34"/>
      <c r="E104" s="34"/>
      <c r="F104" s="34"/>
      <c r="G104" s="35"/>
      <c r="H104" s="35"/>
      <c r="I104" s="34"/>
      <c r="J104" s="35"/>
      <c r="K104" s="34"/>
      <c r="L104" s="34"/>
      <c r="M104" s="34"/>
      <c r="N104" s="34"/>
      <c r="O104" s="36"/>
      <c r="P104" s="36"/>
      <c r="Q104" s="34"/>
      <c r="R104" s="34"/>
      <c r="S104" s="34"/>
      <c r="T104" s="41"/>
    </row>
    <row r="105">
      <c r="A105" s="31"/>
      <c r="B105" s="37"/>
      <c r="C105" s="34"/>
      <c r="D105" s="34"/>
      <c r="E105" s="34"/>
      <c r="F105" s="32"/>
      <c r="G105" s="35"/>
      <c r="H105" s="35"/>
      <c r="I105" s="34"/>
      <c r="J105" s="35"/>
      <c r="K105" s="34"/>
      <c r="L105" s="34"/>
      <c r="M105" s="34"/>
      <c r="N105" s="34"/>
      <c r="O105" s="34"/>
      <c r="P105" s="34"/>
      <c r="Q105" s="34"/>
      <c r="R105" s="34"/>
      <c r="S105" s="34"/>
      <c r="T105" s="41"/>
    </row>
    <row r="106">
      <c r="A106" s="31"/>
      <c r="B106" s="37"/>
      <c r="C106" s="34"/>
      <c r="D106" s="34"/>
      <c r="E106" s="34"/>
      <c r="F106" s="32"/>
      <c r="G106" s="35"/>
      <c r="H106" s="35"/>
      <c r="I106" s="34"/>
      <c r="J106" s="35"/>
      <c r="K106" s="34"/>
      <c r="L106" s="34"/>
      <c r="M106" s="34"/>
      <c r="N106" s="34"/>
      <c r="O106" s="34"/>
      <c r="P106" s="34"/>
      <c r="Q106" s="34"/>
      <c r="R106" s="34"/>
      <c r="S106" s="34"/>
      <c r="T106" s="34"/>
    </row>
    <row r="107">
      <c r="A107" s="31"/>
      <c r="B107" s="37"/>
      <c r="C107" s="34"/>
      <c r="D107" s="34"/>
      <c r="E107" s="34"/>
      <c r="F107" s="32"/>
      <c r="G107" s="35"/>
      <c r="H107" s="35"/>
      <c r="I107" s="34"/>
      <c r="J107" s="35"/>
      <c r="K107" s="34"/>
      <c r="L107" s="34"/>
      <c r="M107" s="34"/>
      <c r="N107" s="34"/>
      <c r="O107" s="34"/>
      <c r="P107" s="34"/>
      <c r="Q107" s="32"/>
      <c r="R107" s="34"/>
      <c r="S107" s="34"/>
      <c r="T107" s="41"/>
    </row>
    <row r="108">
      <c r="A108" s="31"/>
      <c r="B108" s="37"/>
      <c r="C108" s="34"/>
      <c r="D108" s="34"/>
      <c r="E108" s="34"/>
      <c r="F108" s="32"/>
      <c r="G108" s="35"/>
      <c r="H108" s="35"/>
      <c r="I108" s="34"/>
      <c r="J108" s="35"/>
      <c r="K108" s="34"/>
      <c r="L108" s="34"/>
      <c r="M108" s="34"/>
      <c r="N108" s="36"/>
      <c r="O108" s="34"/>
      <c r="P108" s="34"/>
      <c r="Q108" s="34"/>
      <c r="R108" s="34"/>
      <c r="S108" s="34"/>
      <c r="T108" s="41"/>
    </row>
    <row r="109">
      <c r="A109" s="31"/>
      <c r="B109" s="37"/>
      <c r="C109" s="34"/>
      <c r="D109" s="34"/>
      <c r="E109" s="34"/>
      <c r="F109" s="32"/>
      <c r="G109" s="35"/>
      <c r="H109" s="35"/>
      <c r="I109" s="34"/>
      <c r="J109" s="35"/>
      <c r="K109" s="34"/>
      <c r="L109" s="34"/>
      <c r="M109" s="34"/>
      <c r="N109" s="34"/>
      <c r="O109" s="34"/>
      <c r="P109" s="34"/>
      <c r="Q109" s="32"/>
      <c r="R109" s="34"/>
      <c r="S109" s="34"/>
      <c r="T109" s="41"/>
    </row>
    <row r="110">
      <c r="A110" s="31"/>
      <c r="B110" s="37"/>
      <c r="C110" s="34"/>
      <c r="D110" s="34"/>
      <c r="E110" s="34"/>
      <c r="F110" s="34"/>
      <c r="G110" s="35"/>
      <c r="H110" s="35"/>
      <c r="I110" s="34"/>
      <c r="J110" s="35"/>
      <c r="K110" s="34"/>
      <c r="L110" s="34"/>
      <c r="M110" s="34"/>
      <c r="N110" s="36"/>
      <c r="O110" s="34"/>
      <c r="P110" s="34"/>
      <c r="Q110" s="34"/>
      <c r="R110" s="34"/>
      <c r="S110" s="34"/>
      <c r="T110" s="41"/>
    </row>
    <row r="111">
      <c r="A111" s="31"/>
      <c r="B111" s="37"/>
      <c r="C111" s="34"/>
      <c r="D111" s="34"/>
      <c r="E111" s="34"/>
      <c r="F111" s="32"/>
      <c r="G111" s="35"/>
      <c r="H111" s="35"/>
      <c r="I111" s="34"/>
      <c r="J111" s="35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>
      <c r="A112" s="31"/>
      <c r="B112" s="37"/>
      <c r="C112" s="34"/>
      <c r="D112" s="34"/>
      <c r="E112" s="34"/>
      <c r="F112" s="32"/>
      <c r="G112" s="35"/>
      <c r="H112" s="35"/>
      <c r="I112" s="34"/>
      <c r="J112" s="35"/>
      <c r="K112" s="34"/>
      <c r="L112" s="34"/>
      <c r="M112" s="34"/>
      <c r="N112" s="34"/>
      <c r="O112" s="34"/>
      <c r="P112" s="34"/>
      <c r="Q112" s="34"/>
      <c r="R112" s="34"/>
      <c r="S112" s="34"/>
      <c r="T112" s="34"/>
    </row>
    <row r="113">
      <c r="A113" s="31"/>
      <c r="B113" s="37"/>
      <c r="C113" s="34"/>
      <c r="D113" s="34"/>
      <c r="E113" s="34"/>
      <c r="F113" s="34"/>
      <c r="G113" s="35"/>
      <c r="H113" s="35"/>
      <c r="I113" s="34"/>
      <c r="J113" s="35"/>
      <c r="K113" s="34"/>
      <c r="L113" s="34"/>
      <c r="M113" s="34"/>
      <c r="N113" s="36"/>
      <c r="O113" s="34"/>
      <c r="P113" s="34"/>
      <c r="Q113" s="34"/>
      <c r="R113" s="34"/>
      <c r="S113" s="34"/>
      <c r="T113" s="34"/>
    </row>
    <row r="114">
      <c r="A114" s="31"/>
      <c r="B114" s="37"/>
      <c r="C114" s="34"/>
      <c r="D114" s="34"/>
      <c r="E114" s="34"/>
      <c r="F114" s="34"/>
      <c r="G114" s="35"/>
      <c r="H114" s="35"/>
      <c r="I114" s="34"/>
      <c r="J114" s="35"/>
      <c r="K114" s="34"/>
      <c r="L114" s="34"/>
      <c r="M114" s="34"/>
      <c r="N114" s="34"/>
      <c r="O114" s="34"/>
      <c r="P114" s="34"/>
      <c r="Q114" s="34"/>
      <c r="R114" s="34"/>
      <c r="S114" s="34"/>
      <c r="T114" s="41"/>
    </row>
    <row r="115">
      <c r="A115" s="31"/>
      <c r="B115" s="37"/>
      <c r="C115" s="34"/>
      <c r="D115" s="34"/>
      <c r="E115" s="34"/>
      <c r="F115" s="34"/>
      <c r="G115" s="35"/>
      <c r="H115" s="35"/>
      <c r="I115" s="34"/>
      <c r="J115" s="35"/>
      <c r="K115" s="34"/>
      <c r="L115" s="34"/>
      <c r="M115" s="34"/>
      <c r="N115" s="36"/>
      <c r="O115" s="34"/>
      <c r="P115" s="34"/>
      <c r="Q115" s="34"/>
      <c r="R115" s="34"/>
      <c r="S115" s="34"/>
      <c r="T115" s="34"/>
    </row>
    <row r="116">
      <c r="A116" s="31"/>
      <c r="B116" s="37"/>
      <c r="C116" s="34"/>
      <c r="D116" s="34"/>
      <c r="E116" s="34"/>
      <c r="F116" s="34"/>
      <c r="G116" s="35"/>
      <c r="H116" s="35"/>
      <c r="I116" s="34"/>
      <c r="J116" s="35"/>
      <c r="K116" s="34"/>
      <c r="L116" s="34"/>
      <c r="M116" s="34"/>
      <c r="N116" s="34"/>
      <c r="O116" s="34"/>
      <c r="P116" s="34"/>
      <c r="Q116" s="34"/>
      <c r="R116" s="34"/>
      <c r="S116" s="34"/>
      <c r="T116" s="34"/>
    </row>
    <row r="117">
      <c r="A117" s="31"/>
      <c r="B117" s="37"/>
      <c r="C117" s="34"/>
      <c r="D117" s="34"/>
      <c r="E117" s="34"/>
      <c r="F117" s="34"/>
      <c r="G117" s="35"/>
      <c r="H117" s="35"/>
      <c r="I117" s="34"/>
      <c r="J117" s="35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>
      <c r="A118" s="31"/>
      <c r="B118" s="37"/>
      <c r="C118" s="34"/>
      <c r="D118" s="34"/>
      <c r="E118" s="34"/>
      <c r="F118" s="34"/>
      <c r="G118" s="35"/>
      <c r="H118" s="35"/>
      <c r="I118" s="34"/>
      <c r="J118" s="41"/>
      <c r="K118" s="34"/>
      <c r="L118" s="41"/>
      <c r="M118" s="41"/>
      <c r="N118" s="41"/>
      <c r="O118" s="41"/>
      <c r="P118" s="41"/>
      <c r="Q118" s="34"/>
      <c r="R118" s="34"/>
      <c r="S118" s="34"/>
      <c r="T118" s="41"/>
    </row>
    <row r="119">
      <c r="A119" s="31"/>
      <c r="B119" s="37"/>
      <c r="C119" s="34"/>
      <c r="D119" s="34"/>
      <c r="E119" s="34"/>
      <c r="F119" s="34"/>
      <c r="G119" s="35"/>
      <c r="H119" s="35"/>
      <c r="I119" s="34"/>
      <c r="J119" s="35"/>
      <c r="K119" s="34"/>
      <c r="L119" s="34"/>
      <c r="M119" s="34"/>
      <c r="N119" s="36"/>
      <c r="O119" s="34"/>
      <c r="P119" s="34"/>
      <c r="Q119" s="34"/>
      <c r="R119" s="34"/>
      <c r="S119" s="34"/>
      <c r="T119" s="41"/>
    </row>
    <row r="120">
      <c r="A120" s="31"/>
      <c r="B120" s="37"/>
      <c r="C120" s="34"/>
      <c r="D120" s="34"/>
      <c r="E120" s="34"/>
      <c r="F120" s="34"/>
      <c r="G120" s="35"/>
      <c r="H120" s="35"/>
      <c r="I120" s="34"/>
      <c r="J120" s="35"/>
      <c r="K120" s="34"/>
      <c r="L120" s="34"/>
      <c r="M120" s="34"/>
      <c r="N120" s="34"/>
      <c r="O120" s="34"/>
      <c r="P120" s="34"/>
      <c r="Q120" s="34"/>
      <c r="R120" s="34"/>
      <c r="S120" s="34"/>
      <c r="T120" s="41"/>
    </row>
    <row r="121">
      <c r="A121" s="31"/>
      <c r="B121" s="37"/>
      <c r="C121" s="34"/>
      <c r="D121" s="34"/>
      <c r="E121" s="34"/>
      <c r="F121" s="32"/>
      <c r="G121" s="35"/>
      <c r="H121" s="35"/>
      <c r="I121" s="34"/>
      <c r="J121" s="35"/>
      <c r="K121" s="34"/>
      <c r="L121" s="34"/>
      <c r="M121" s="34"/>
      <c r="N121" s="34"/>
      <c r="O121" s="34"/>
      <c r="P121" s="34"/>
      <c r="Q121" s="34"/>
      <c r="R121" s="34"/>
      <c r="S121" s="34"/>
      <c r="T121" s="34"/>
    </row>
    <row r="122">
      <c r="A122" s="31"/>
      <c r="B122" s="37"/>
      <c r="C122" s="34"/>
      <c r="D122" s="34"/>
      <c r="E122" s="34"/>
      <c r="F122" s="34"/>
      <c r="G122" s="35"/>
      <c r="H122" s="35"/>
      <c r="I122" s="34"/>
      <c r="J122" s="35"/>
      <c r="K122" s="34"/>
      <c r="L122" s="34"/>
      <c r="M122" s="34"/>
      <c r="N122" s="34"/>
      <c r="O122" s="34"/>
      <c r="P122" s="34"/>
      <c r="Q122" s="34"/>
      <c r="R122" s="34"/>
      <c r="S122" s="34"/>
      <c r="T122" s="41"/>
    </row>
    <row r="123">
      <c r="A123" s="31"/>
      <c r="B123" s="37"/>
      <c r="C123" s="34"/>
      <c r="D123" s="34"/>
      <c r="E123" s="34"/>
      <c r="F123" s="32"/>
      <c r="G123" s="35"/>
      <c r="H123" s="35"/>
      <c r="I123" s="34"/>
      <c r="J123" s="35"/>
      <c r="K123" s="34"/>
      <c r="L123" s="34"/>
      <c r="M123" s="34"/>
      <c r="N123" s="34"/>
      <c r="O123" s="34"/>
      <c r="P123" s="34"/>
      <c r="Q123" s="32"/>
      <c r="R123" s="34"/>
      <c r="S123" s="34"/>
      <c r="T123" s="41"/>
    </row>
    <row r="124">
      <c r="A124" s="31"/>
      <c r="B124" s="37"/>
      <c r="C124" s="34"/>
      <c r="D124" s="34"/>
      <c r="E124" s="34"/>
      <c r="F124" s="34"/>
      <c r="G124" s="35"/>
      <c r="H124" s="35"/>
      <c r="I124" s="34"/>
      <c r="J124" s="35"/>
      <c r="K124" s="34"/>
      <c r="L124" s="34"/>
      <c r="M124" s="34"/>
      <c r="N124" s="34"/>
      <c r="O124" s="34"/>
      <c r="P124" s="34"/>
      <c r="Q124" s="34"/>
      <c r="R124" s="34"/>
      <c r="S124" s="34"/>
      <c r="T124" s="41"/>
    </row>
    <row r="125">
      <c r="A125" s="31"/>
      <c r="B125" s="37"/>
      <c r="C125" s="34"/>
      <c r="D125" s="34"/>
      <c r="E125" s="34"/>
      <c r="F125" s="32"/>
      <c r="G125" s="35"/>
      <c r="H125" s="35"/>
      <c r="I125" s="34"/>
      <c r="J125" s="35"/>
      <c r="K125" s="34"/>
      <c r="L125" s="34"/>
      <c r="M125" s="34"/>
      <c r="N125" s="36"/>
      <c r="O125" s="34"/>
      <c r="P125" s="34"/>
      <c r="Q125" s="34"/>
      <c r="R125" s="34"/>
      <c r="S125" s="34"/>
      <c r="T125" s="41"/>
    </row>
    <row r="126">
      <c r="A126" s="31"/>
      <c r="B126" s="37"/>
      <c r="C126" s="34"/>
      <c r="D126" s="34"/>
      <c r="E126" s="34"/>
      <c r="F126" s="34"/>
      <c r="G126" s="35"/>
      <c r="H126" s="35"/>
      <c r="I126" s="34"/>
      <c r="J126" s="35"/>
      <c r="K126" s="34"/>
      <c r="L126" s="34"/>
      <c r="M126" s="34"/>
      <c r="N126" s="36"/>
      <c r="O126" s="34"/>
      <c r="P126" s="34"/>
      <c r="Q126" s="34"/>
      <c r="R126" s="34"/>
      <c r="S126" s="34"/>
      <c r="T126" s="41"/>
    </row>
    <row r="127">
      <c r="A127" s="31"/>
      <c r="B127" s="37"/>
      <c r="C127" s="34"/>
      <c r="D127" s="34"/>
      <c r="E127" s="34"/>
      <c r="F127" s="34"/>
      <c r="G127" s="35"/>
      <c r="H127" s="35"/>
      <c r="I127" s="34"/>
      <c r="J127" s="35"/>
      <c r="K127" s="34"/>
      <c r="L127" s="34"/>
      <c r="M127" s="34"/>
      <c r="N127" s="36"/>
      <c r="O127" s="34"/>
      <c r="P127" s="34"/>
      <c r="Q127" s="34"/>
      <c r="R127" s="34"/>
      <c r="S127" s="34"/>
      <c r="T127" s="41"/>
    </row>
    <row r="128">
      <c r="A128" s="31"/>
      <c r="B128" s="37"/>
      <c r="C128" s="34"/>
      <c r="D128" s="34"/>
      <c r="E128" s="34"/>
      <c r="F128" s="34"/>
      <c r="G128" s="35"/>
      <c r="H128" s="35"/>
      <c r="I128" s="34"/>
      <c r="J128" s="35"/>
      <c r="K128" s="34"/>
      <c r="L128" s="34"/>
      <c r="M128" s="34"/>
      <c r="N128" s="34"/>
      <c r="O128" s="34"/>
      <c r="P128" s="34"/>
      <c r="Q128" s="34"/>
      <c r="R128" s="34"/>
      <c r="S128" s="34"/>
      <c r="T128" s="34"/>
    </row>
    <row r="129">
      <c r="A129" s="31"/>
      <c r="B129" s="37"/>
      <c r="C129" s="34"/>
      <c r="D129" s="34"/>
      <c r="E129" s="34"/>
      <c r="F129" s="34"/>
      <c r="G129" s="35"/>
      <c r="H129" s="35"/>
      <c r="I129" s="34"/>
      <c r="J129" s="35"/>
      <c r="K129" s="34"/>
      <c r="L129" s="34"/>
      <c r="M129" s="34"/>
      <c r="N129" s="36"/>
      <c r="O129" s="34"/>
      <c r="P129" s="34"/>
      <c r="Q129" s="34"/>
      <c r="R129" s="34"/>
      <c r="S129" s="34"/>
      <c r="T129" s="41"/>
    </row>
    <row r="130">
      <c r="A130" s="31"/>
      <c r="B130" s="37"/>
      <c r="C130" s="34"/>
      <c r="D130" s="34"/>
      <c r="E130" s="34"/>
      <c r="F130" s="34"/>
      <c r="G130" s="35"/>
      <c r="H130" s="35"/>
      <c r="I130" s="34"/>
      <c r="J130" s="35"/>
      <c r="K130" s="34"/>
      <c r="L130" s="34"/>
      <c r="M130" s="34"/>
      <c r="N130" s="34"/>
      <c r="O130" s="34"/>
      <c r="P130" s="34"/>
      <c r="Q130" s="34"/>
      <c r="R130" s="34"/>
      <c r="S130" s="34"/>
      <c r="T130" s="41"/>
    </row>
    <row r="131">
      <c r="A131" s="31"/>
      <c r="B131" s="37"/>
      <c r="C131" s="34"/>
      <c r="D131" s="34"/>
      <c r="E131" s="34"/>
      <c r="F131" s="32"/>
      <c r="G131" s="35"/>
      <c r="H131" s="35"/>
      <c r="I131" s="34"/>
      <c r="J131" s="35"/>
      <c r="K131" s="34"/>
      <c r="L131" s="34"/>
      <c r="M131" s="34"/>
      <c r="N131" s="34"/>
      <c r="O131" s="34"/>
      <c r="P131" s="34"/>
      <c r="Q131" s="34"/>
      <c r="R131" s="34"/>
      <c r="S131" s="34"/>
      <c r="T131" s="34"/>
    </row>
    <row r="132">
      <c r="A132" s="31"/>
      <c r="B132" s="37"/>
      <c r="C132" s="34"/>
      <c r="D132" s="34"/>
      <c r="E132" s="34"/>
      <c r="F132" s="32"/>
      <c r="G132" s="35"/>
      <c r="H132" s="35"/>
      <c r="I132" s="34"/>
      <c r="J132" s="35"/>
      <c r="K132" s="34"/>
      <c r="L132" s="34"/>
      <c r="M132" s="34"/>
      <c r="N132" s="34"/>
      <c r="O132" s="34"/>
      <c r="P132" s="34"/>
      <c r="Q132" s="32"/>
      <c r="R132" s="34"/>
      <c r="S132" s="34"/>
      <c r="T132" s="36"/>
    </row>
    <row r="133">
      <c r="A133" s="31"/>
      <c r="B133" s="37"/>
      <c r="C133" s="34"/>
      <c r="D133" s="34"/>
      <c r="E133" s="34"/>
      <c r="F133" s="34"/>
      <c r="G133" s="35"/>
      <c r="H133" s="35"/>
      <c r="I133" s="34"/>
      <c r="J133" s="35"/>
      <c r="K133" s="34"/>
      <c r="L133" s="34"/>
      <c r="M133" s="34"/>
      <c r="N133" s="34"/>
      <c r="O133" s="34"/>
      <c r="P133" s="34"/>
      <c r="Q133" s="34"/>
      <c r="R133" s="34"/>
      <c r="S133" s="34"/>
      <c r="T133" s="34"/>
    </row>
    <row r="134">
      <c r="A134" s="31"/>
      <c r="B134" s="37"/>
      <c r="C134" s="34"/>
      <c r="D134" s="34"/>
      <c r="E134" s="34"/>
      <c r="F134" s="32"/>
      <c r="G134" s="35"/>
      <c r="H134" s="35"/>
      <c r="I134" s="34"/>
      <c r="J134" s="41"/>
      <c r="K134" s="34"/>
      <c r="L134" s="41"/>
      <c r="M134" s="41"/>
      <c r="N134" s="41"/>
      <c r="O134" s="41"/>
      <c r="P134" s="41"/>
      <c r="Q134" s="32"/>
      <c r="R134" s="34"/>
      <c r="S134" s="34"/>
      <c r="T134" s="41"/>
    </row>
    <row r="135">
      <c r="A135" s="31"/>
      <c r="B135" s="37"/>
      <c r="C135" s="34"/>
      <c r="D135" s="34"/>
      <c r="E135" s="34"/>
      <c r="F135" s="34"/>
      <c r="G135" s="35"/>
      <c r="H135" s="35"/>
      <c r="I135" s="34"/>
      <c r="J135" s="35"/>
      <c r="K135" s="34"/>
      <c r="L135" s="34"/>
      <c r="M135" s="34"/>
      <c r="N135" s="34"/>
      <c r="O135" s="34"/>
      <c r="P135" s="34"/>
      <c r="Q135" s="34"/>
      <c r="R135" s="34"/>
      <c r="S135" s="34"/>
      <c r="T135" s="34"/>
    </row>
  </sheetData>
  <mergeCells count="1"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9.88"/>
    <col customWidth="1" min="3" max="3" width="6.38"/>
    <col customWidth="1" min="4" max="4" width="18.38"/>
    <col customWidth="1" min="5" max="5" width="23.13"/>
    <col customWidth="1" min="6" max="6" width="13.75"/>
    <col customWidth="1" min="8" max="8" width="16.88"/>
    <col customWidth="1" min="10" max="10" width="16.5"/>
    <col customWidth="1" min="12" max="12" width="23.63"/>
    <col customWidth="1" min="13" max="13" width="15.13"/>
    <col customWidth="1" min="14" max="14" width="15.88"/>
    <col customWidth="1" min="15" max="15" width="24.75"/>
  </cols>
  <sheetData>
    <row r="1">
      <c r="A1" s="42" t="s">
        <v>1475</v>
      </c>
      <c r="B1" s="42" t="s">
        <v>4</v>
      </c>
      <c r="C1" s="43" t="s">
        <v>1476</v>
      </c>
      <c r="D1" s="42" t="s">
        <v>9</v>
      </c>
      <c r="E1" s="42" t="s">
        <v>1477</v>
      </c>
      <c r="F1" s="42" t="s">
        <v>1478</v>
      </c>
      <c r="G1" s="42" t="s">
        <v>1479</v>
      </c>
      <c r="H1" s="42" t="s">
        <v>1480</v>
      </c>
      <c r="I1" s="42" t="s">
        <v>1481</v>
      </c>
      <c r="J1" s="42" t="s">
        <v>1482</v>
      </c>
      <c r="K1" s="42" t="s">
        <v>1483</v>
      </c>
      <c r="L1" s="42" t="s">
        <v>1484</v>
      </c>
      <c r="M1" s="42" t="s">
        <v>1485</v>
      </c>
      <c r="N1" s="42" t="s">
        <v>1486</v>
      </c>
      <c r="O1" s="44" t="s">
        <v>1487</v>
      </c>
      <c r="P1" s="42" t="s">
        <v>1488</v>
      </c>
    </row>
    <row r="2">
      <c r="A2" s="45" t="str">
        <f>IFERROR(__xludf.DUMMYFUNCTION("FILTER(RAW_Data!B2:B1030, RAW_Data!E2:E1030=""Active"")"),"Abouda, Mohammed")</f>
        <v>Abouda, Mohammed</v>
      </c>
      <c r="B2" s="46" t="str">
        <f>VLOOKUP(A2, RAW_Data!B:Z, 4, FALSE)</f>
        <v>Active</v>
      </c>
      <c r="C2" s="47">
        <f>VLOOKUP(A2, RAW_Data!B:Z, 10, FALSE)</f>
        <v>2</v>
      </c>
      <c r="D2" s="46" t="str">
        <f>VLOOKUP(A2, RAW_Data!B:Z, 9, FALSE)</f>
        <v>Bilingual-French</v>
      </c>
      <c r="E2" s="48" t="str">
        <f>IFERROR(__xludf.DUMMYFUNCTION("LET(
  x, IFERROR(VLOOKUP(A2, RAW_Data!B:BZ, 61, FALSE), """"),
  IFS(
    REGEXMATCH(x, ""Morning""), ""Day"",
    REGEXMATCH(x, ""Evening""), ""Evening"",
    REGEXMATCH(x, ""Night""), ""Night"",
    x="""", """",
    TRUE, ""Variable""
  )
)"),"Day")</f>
        <v>Day</v>
      </c>
      <c r="F2" s="46" t="str">
        <f>VLOOKUP(A2, RAW_Data!B:Z, 8, FALSE)</f>
        <v>Ottawa</v>
      </c>
      <c r="G2" s="46" t="str">
        <f>VLOOKUP(A2, RAW_Data!B:Z, 2, FALSE)</f>
        <v>T773560</v>
      </c>
      <c r="H2" s="46" t="str">
        <f>VLOOKUP(A2, RAW_Data!B:Z, 18, FALSE)</f>
        <v>M0511</v>
      </c>
      <c r="I2" s="46">
        <f>VLOOKUP(A2, RAW_Data!B:Z, 20, FALSE)</f>
        <v>100773560</v>
      </c>
      <c r="J2" s="46">
        <f>VLOOKUP(A2, RAW_Data!B:Z, 24, FALSE)</f>
        <v>1060061</v>
      </c>
      <c r="K2" s="46" t="str">
        <f>IFERROR(__xludf.DUMMYFUNCTION("IF(REGEXMATCH(VLOOKUP(A2, RAW_Data!B:BZ, 29, FALSE), ""Smart""), ""Yes"", ""No"")"),"No")</f>
        <v>No</v>
      </c>
      <c r="L2" s="46" t="str">
        <f>IFERROR(__xludf.DUMMYFUNCTION("IF(REGEXMATCH(VLOOKUP(A2, RAW_Data!B:BZ, 29, FALSE), ""Trouble""), ""Yes"", ""No"")"),"No")</f>
        <v>No</v>
      </c>
      <c r="M2" s="46" t="str">
        <f>IFERROR(__xludf.DUMMYFUNCTION("IF(REGEXMATCH(VLOOKUP(A2, RAW_Data!B:BZ, 29, FALSE), ""MRC""), ""Yes"", ""No"")"),"No")</f>
        <v>No</v>
      </c>
      <c r="N2" s="48" t="str">
        <f>VLOOKUP(A2, RAW_Data!B:Z, 12, FALSE)</f>
        <v>Lo, Mamadou</v>
      </c>
      <c r="O2" s="49" t="s">
        <v>79</v>
      </c>
    </row>
    <row r="3">
      <c r="A3" s="45" t="str">
        <f>IFERROR(__xludf.DUMMYFUNCTION("""COMPUTED_VALUE"""),"Adrien, Goddard")</f>
        <v>Adrien, Goddard</v>
      </c>
      <c r="B3" s="46" t="str">
        <f>VLOOKUP(A3, RAW_Data!B:Z, 4, FALSE)</f>
        <v>Active</v>
      </c>
      <c r="C3" s="47">
        <f>VLOOKUP(A3, RAW_Data!B:Z, 10, FALSE)</f>
        <v>4</v>
      </c>
      <c r="D3" s="46" t="str">
        <f>VLOOKUP(A3, RAW_Data!B:Z, 9, FALSE)</f>
        <v>Bilingual-French</v>
      </c>
      <c r="E3" s="48" t="str">
        <f>IFERROR(__xludf.DUMMYFUNCTION("LET(
  x, IFERROR(VLOOKUP(A3, RAW_Data!B:BZ, 61, FALSE), """"),
  IFS(
    REGEXMATCH(x, ""Morning""), ""Day"",
    REGEXMATCH(x, ""Evening""), ""Evening"",
    REGEXMATCH(x, ""Night""), ""Night"",
    x="""", """",
    TRUE, ""Variable""
  )
)"),"Day")</f>
        <v>Day</v>
      </c>
      <c r="F3" s="46" t="str">
        <f>VLOOKUP(A3, RAW_Data!B:Z, 8, FALSE)</f>
        <v>Montreal</v>
      </c>
      <c r="G3" s="46" t="str">
        <f>VLOOKUP(A3, RAW_Data!B:Z, 2, FALSE)</f>
        <v>T955706</v>
      </c>
      <c r="H3" s="46" t="str">
        <f>VLOOKUP(A3, RAW_Data!B:Z, 18, FALSE)</f>
        <v>M0062</v>
      </c>
      <c r="I3" s="46">
        <f>VLOOKUP(A3, RAW_Data!B:Z, 20, FALSE)</f>
        <v>100955706</v>
      </c>
      <c r="J3" s="46">
        <f>VLOOKUP(A3, RAW_Data!B:Z, 24, FALSE)</f>
        <v>1066843</v>
      </c>
      <c r="K3" s="46" t="str">
        <f>IFERROR(__xludf.DUMMYFUNCTION("IF(REGEXMATCH(VLOOKUP(A3, RAW_Data!B:BZ, 29, FALSE), ""Smart""), ""Yes"", ""No"")"),"No")</f>
        <v>No</v>
      </c>
      <c r="L3" s="46" t="str">
        <f>IFERROR(__xludf.DUMMYFUNCTION("IF(REGEXMATCH(VLOOKUP(A3, RAW_Data!B:BZ, 29, FALSE), ""Trouble""), ""Yes"", ""No"")"),"No")</f>
        <v>No</v>
      </c>
      <c r="M3" s="46" t="str">
        <f>IFERROR(__xludf.DUMMYFUNCTION("IF(REGEXMATCH(VLOOKUP(A3, RAW_Data!B:BZ, 29, FALSE), ""MRC""), ""Yes"", ""No"")"),"No")</f>
        <v>No</v>
      </c>
      <c r="N3" s="48" t="str">
        <f>VLOOKUP(A3, RAW_Data!B:Z, 12, FALSE)</f>
        <v>Lo, Mamadou</v>
      </c>
      <c r="O3" s="50" t="s">
        <v>1461</v>
      </c>
    </row>
    <row r="4">
      <c r="A4" s="45" t="str">
        <f>IFERROR(__xludf.DUMMYFUNCTION("""COMPUTED_VALUE"""),"Aidoud, Nabil")</f>
        <v>Aidoud, Nabil</v>
      </c>
      <c r="B4" s="46" t="str">
        <f>VLOOKUP(A4, RAW_Data!B:Z, 4, FALSE)</f>
        <v>Active</v>
      </c>
      <c r="C4" s="47">
        <f>VLOOKUP(A4, RAW_Data!B:Z, 10, FALSE)</f>
        <v>4</v>
      </c>
      <c r="D4" s="46" t="str">
        <f>VLOOKUP(A4, RAW_Data!B:Z, 9, FALSE)</f>
        <v>Bilingual-French</v>
      </c>
      <c r="E4" s="48" t="str">
        <f>IFERROR(__xludf.DUMMYFUNCTION("LET(
  x, IFERROR(VLOOKUP(A4, RAW_Data!B:BZ, 61, FALSE), """"),
  IFS(
    REGEXMATCH(x, ""Morning""), ""Day"",
    REGEXMATCH(x, ""Evening""), ""Evening"",
    REGEXMATCH(x, ""Night""), ""Night"",
    x="""", """",
    TRUE, ""Variable""
  )
)"),"Day")</f>
        <v>Day</v>
      </c>
      <c r="F4" s="46" t="str">
        <f>VLOOKUP(A4, RAW_Data!B:Z, 8, FALSE)</f>
        <v>Ottawa</v>
      </c>
      <c r="G4" s="46" t="str">
        <f>VLOOKUP(A4, RAW_Data!B:Z, 2, FALSE)</f>
        <v>T955715</v>
      </c>
      <c r="H4" s="46" t="str">
        <f>VLOOKUP(A4, RAW_Data!B:Z, 18, FALSE)</f>
        <v>M0064</v>
      </c>
      <c r="I4" s="46">
        <f>VLOOKUP(A4, RAW_Data!B:Z, 20, FALSE)</f>
        <v>100955715</v>
      </c>
      <c r="J4" s="46">
        <f>VLOOKUP(A4, RAW_Data!B:Z, 24, FALSE)</f>
        <v>1062011</v>
      </c>
      <c r="K4" s="46" t="str">
        <f>IFERROR(__xludf.DUMMYFUNCTION("IF(REGEXMATCH(VLOOKUP(A4, RAW_Data!B:BZ, 29, FALSE), ""Smart""), ""Yes"", ""No"")"),"Yes")</f>
        <v>Yes</v>
      </c>
      <c r="L4" s="46" t="str">
        <f>IFERROR(__xludf.DUMMYFUNCTION("IF(REGEXMATCH(VLOOKUP(A4, RAW_Data!B:BZ, 29, FALSE), ""Trouble""), ""Yes"", ""No"")"),"Yes")</f>
        <v>Yes</v>
      </c>
      <c r="M4" s="46" t="str">
        <f>IFERROR(__xludf.DUMMYFUNCTION("IF(REGEXMATCH(VLOOKUP(A4, RAW_Data!B:BZ, 29, FALSE), ""MRC""), ""Yes"", ""No"")"),"No")</f>
        <v>No</v>
      </c>
      <c r="N4" s="48" t="str">
        <f>VLOOKUP(A4, RAW_Data!B:Z, 12, FALSE)</f>
        <v>Dhindsa, Sukhjinder</v>
      </c>
      <c r="O4" s="45" t="s">
        <v>122</v>
      </c>
    </row>
    <row r="5">
      <c r="A5" s="45" t="str">
        <f>IFERROR(__xludf.DUMMYFUNCTION("""COMPUTED_VALUE"""),"Akherraz, Hajar")</f>
        <v>Akherraz, Hajar</v>
      </c>
      <c r="B5" s="46" t="str">
        <f>VLOOKUP(A5, RAW_Data!B:Z, 4, FALSE)</f>
        <v>Active</v>
      </c>
      <c r="C5" s="47">
        <f>VLOOKUP(A5, RAW_Data!B:Z, 10, FALSE)</f>
        <v>4</v>
      </c>
      <c r="D5" s="46" t="str">
        <f>VLOOKUP(A5, RAW_Data!B:Z, 9, FALSE)</f>
        <v>French</v>
      </c>
      <c r="E5" s="48" t="str">
        <f>IFERROR(__xludf.DUMMYFUNCTION("LET(
  x, IFERROR(VLOOKUP(A5, RAW_Data!B:BZ, 61, FALSE), """"),
  IFS(
    REGEXMATCH(x, ""Morning""), ""Day"",
    REGEXMATCH(x, ""Evening""), ""Evening"",
    REGEXMATCH(x, ""Night""), ""Night"",
    x="""", """",
    TRUE, ""Variable""
  )
)"),"Night")</f>
        <v>Night</v>
      </c>
      <c r="F5" s="46" t="str">
        <f>VLOOKUP(A5, RAW_Data!B:Z, 8, FALSE)</f>
        <v>Remote Area</v>
      </c>
      <c r="G5" s="46" t="str">
        <f>VLOOKUP(A5, RAW_Data!B:Z, 2, FALSE)</f>
        <v>T996872</v>
      </c>
      <c r="H5" s="46" t="str">
        <f>VLOOKUP(A5, RAW_Data!B:Z, 18, FALSE)</f>
        <v>M0065</v>
      </c>
      <c r="I5" s="46">
        <f>VLOOKUP(A5, RAW_Data!B:Z, 20, FALSE)</f>
        <v>100996872</v>
      </c>
      <c r="J5" s="46">
        <f>VLOOKUP(A5, RAW_Data!B:Z, 24, FALSE)</f>
        <v>1110197</v>
      </c>
      <c r="K5" s="46" t="str">
        <f>IFERROR(__xludf.DUMMYFUNCTION("IF(REGEXMATCH(VLOOKUP(A5, RAW_Data!B:BZ, 29, FALSE), ""Smart""), ""Yes"", ""No"")"),"No")</f>
        <v>No</v>
      </c>
      <c r="L5" s="46" t="str">
        <f>IFERROR(__xludf.DUMMYFUNCTION("IF(REGEXMATCH(VLOOKUP(A5, RAW_Data!B:BZ, 29, FALSE), ""Trouble""), ""Yes"", ""No"")"),"No")</f>
        <v>No</v>
      </c>
      <c r="M5" s="46" t="str">
        <f>IFERROR(__xludf.DUMMYFUNCTION("IF(REGEXMATCH(VLOOKUP(A5, RAW_Data!B:BZ, 29, FALSE), ""MRC""), ""Yes"", ""No"")"),"No")</f>
        <v>No</v>
      </c>
      <c r="N5" s="48" t="str">
        <f>VLOOKUP(A5, RAW_Data!B:Z, 12, FALSE)</f>
        <v>Herrati, Houcine</v>
      </c>
      <c r="O5" s="45" t="s">
        <v>137</v>
      </c>
    </row>
    <row r="6">
      <c r="A6" s="45" t="str">
        <f>IFERROR(__xludf.DUMMYFUNCTION("""COMPUTED_VALUE"""),"Aquilario, Lester")</f>
        <v>Aquilario, Lester</v>
      </c>
      <c r="B6" s="46" t="str">
        <f>VLOOKUP(A6, RAW_Data!B:Z, 4, FALSE)</f>
        <v>Active</v>
      </c>
      <c r="C6" s="47">
        <f>VLOOKUP(A6, RAW_Data!B:Z, 10, FALSE)</f>
        <v>3</v>
      </c>
      <c r="D6" s="46" t="str">
        <f>VLOOKUP(A6, RAW_Data!B:Z, 9, FALSE)</f>
        <v>English</v>
      </c>
      <c r="E6" s="48" t="str">
        <f>IFERROR(__xludf.DUMMYFUNCTION("LET(
  x, IFERROR(VLOOKUP(A6, RAW_Data!B:BZ, 61, FALSE), """"),
  IFS(
    REGEXMATCH(x, ""Morning""), ""Day"",
    REGEXMATCH(x, ""Evening""), ""Evening"",
    REGEXMATCH(x, ""Night""), ""Night"",
    x="""", """",
    TRUE, ""Variable""
  )
)"),"Day")</f>
        <v>Day</v>
      </c>
      <c r="F6" s="46" t="str">
        <f>VLOOKUP(A6, RAW_Data!B:Z, 8, FALSE)</f>
        <v>Burnaby</v>
      </c>
      <c r="G6" s="46" t="str">
        <f>VLOOKUP(A6, RAW_Data!B:Z, 2, FALSE)</f>
        <v>T988376</v>
      </c>
      <c r="H6" s="46" t="str">
        <f>VLOOKUP(A6, RAW_Data!B:Z, 18, FALSE)</f>
        <v>M0024</v>
      </c>
      <c r="I6" s="46">
        <f>VLOOKUP(A6, RAW_Data!B:Z, 20, FALSE)</f>
        <v>100988376</v>
      </c>
      <c r="J6" s="46">
        <f>VLOOKUP(A6, RAW_Data!B:Z, 24, FALSE)</f>
        <v>1030029</v>
      </c>
      <c r="K6" s="46" t="str">
        <f>IFERROR(__xludf.DUMMYFUNCTION("IF(REGEXMATCH(VLOOKUP(A6, RAW_Data!B:BZ, 29, FALSE), ""Smart""), ""Yes"", ""No"")"),"Yes")</f>
        <v>Yes</v>
      </c>
      <c r="L6" s="46" t="str">
        <f>IFERROR(__xludf.DUMMYFUNCTION("IF(REGEXMATCH(VLOOKUP(A6, RAW_Data!B:BZ, 29, FALSE), ""Trouble""), ""Yes"", ""No"")"),"Yes")</f>
        <v>Yes</v>
      </c>
      <c r="M6" s="46" t="str">
        <f>IFERROR(__xludf.DUMMYFUNCTION("IF(REGEXMATCH(VLOOKUP(A6, RAW_Data!B:BZ, 29, FALSE), ""MRC""), ""Yes"", ""No"")"),"No")</f>
        <v>No</v>
      </c>
      <c r="N6" s="48" t="str">
        <f>VLOOKUP(A6, RAW_Data!B:Z, 12, FALSE)</f>
        <v>Dhindsa, Sukhjinder</v>
      </c>
      <c r="O6" s="45" t="s">
        <v>152</v>
      </c>
    </row>
    <row r="7">
      <c r="A7" s="45" t="str">
        <f>IFERROR(__xludf.DUMMYFUNCTION("""COMPUTED_VALUE"""),"Audet, Dominic")</f>
        <v>Audet, Dominic</v>
      </c>
      <c r="B7" s="46" t="str">
        <f>VLOOKUP(A7, RAW_Data!B:Z, 4, FALSE)</f>
        <v>Active</v>
      </c>
      <c r="C7" s="47">
        <f>VLOOKUP(A7, RAW_Data!B:Z, 10, FALSE)</f>
        <v>4</v>
      </c>
      <c r="D7" s="46" t="str">
        <f>VLOOKUP(A7, RAW_Data!B:Z, 9, FALSE)</f>
        <v>French</v>
      </c>
      <c r="E7" s="48" t="str">
        <f>IFERROR(__xludf.DUMMYFUNCTION("LET(
  x, IFERROR(VLOOKUP(A7,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7" s="46" t="str">
        <f>VLOOKUP(A7, RAW_Data!B:Z, 8, FALSE)</f>
        <v>Montreal</v>
      </c>
      <c r="G7" s="46" t="str">
        <f>VLOOKUP(A7, RAW_Data!B:Z, 2, FALSE)</f>
        <v>T996384</v>
      </c>
      <c r="H7" s="46" t="str">
        <f>VLOOKUP(A7, RAW_Data!B:Z, 18, FALSE)</f>
        <v>M0068</v>
      </c>
      <c r="I7" s="46">
        <f>VLOOKUP(A7, RAW_Data!B:Z, 20, FALSE)</f>
        <v>100996384</v>
      </c>
      <c r="J7" s="46">
        <f>VLOOKUP(A7, RAW_Data!B:Z, 24, FALSE)</f>
        <v>1060018</v>
      </c>
      <c r="K7" s="46" t="str">
        <f>IFERROR(__xludf.DUMMYFUNCTION("IF(REGEXMATCH(VLOOKUP(A7, RAW_Data!B:BZ, 29, FALSE), ""Smart""), ""Yes"", ""No"")"),"No")</f>
        <v>No</v>
      </c>
      <c r="L7" s="46" t="str">
        <f>IFERROR(__xludf.DUMMYFUNCTION("IF(REGEXMATCH(VLOOKUP(A7, RAW_Data!B:BZ, 29, FALSE), ""Trouble""), ""Yes"", ""No"")"),"Yes")</f>
        <v>Yes</v>
      </c>
      <c r="M7" s="46" t="str">
        <f>IFERROR(__xludf.DUMMYFUNCTION("IF(REGEXMATCH(VLOOKUP(A7, RAW_Data!B:BZ, 29, FALSE), ""MRC""), ""Yes"", ""No"")"),"No")</f>
        <v>No</v>
      </c>
      <c r="N7" s="48" t="str">
        <f>VLOOKUP(A7, RAW_Data!B:Z, 12, FALSE)</f>
        <v>Diegue, Kerry</v>
      </c>
      <c r="O7" s="45" t="s">
        <v>164</v>
      </c>
    </row>
    <row r="8">
      <c r="A8" s="45" t="str">
        <f>IFERROR(__xludf.DUMMYFUNCTION("""COMPUTED_VALUE"""),"Auger, Adrien")</f>
        <v>Auger, Adrien</v>
      </c>
      <c r="B8" s="46" t="str">
        <f>VLOOKUP(A8, RAW_Data!B:Z, 4, FALSE)</f>
        <v>Active</v>
      </c>
      <c r="C8" s="47">
        <f>VLOOKUP(A8, RAW_Data!B:Z, 10, FALSE)</f>
        <v>4</v>
      </c>
      <c r="D8" s="46" t="str">
        <f>VLOOKUP(A8, RAW_Data!B:Z, 9, FALSE)</f>
        <v>English</v>
      </c>
      <c r="E8" s="48" t="str">
        <f>IFERROR(__xludf.DUMMYFUNCTION("LET(
  x, IFERROR(VLOOKUP(A8, RAW_Data!B:BZ, 61, FALSE), """"),
  IFS(
    REGEXMATCH(x, ""Morning""), ""Day"",
    REGEXMATCH(x, ""Evening""), ""Evening"",
    REGEXMATCH(x, ""Night""), ""Night"",
    x="""", """",
    TRUE, ""Variable""
  )
)"),"Night")</f>
        <v>Night</v>
      </c>
      <c r="F8" s="46" t="str">
        <f>VLOOKUP(A8, RAW_Data!B:Z, 8, FALSE)</f>
        <v>Victoria</v>
      </c>
      <c r="G8" s="46" t="str">
        <f>VLOOKUP(A8, RAW_Data!B:Z, 2, FALSE)</f>
        <v>T973054</v>
      </c>
      <c r="H8" s="46" t="str">
        <f>VLOOKUP(A8, RAW_Data!B:Z, 18, FALSE)</f>
        <v>M0069</v>
      </c>
      <c r="I8" s="46">
        <f>VLOOKUP(A8, RAW_Data!B:Z, 20, FALSE)</f>
        <v>100973054</v>
      </c>
      <c r="J8" s="46">
        <f>VLOOKUP(A8, RAW_Data!B:Z, 24, FALSE)</f>
        <v>1030139</v>
      </c>
      <c r="K8" s="46" t="str">
        <f>IFERROR(__xludf.DUMMYFUNCTION("IF(REGEXMATCH(VLOOKUP(A8, RAW_Data!B:BZ, 29, FALSE), ""Smart""), ""Yes"", ""No"")"),"Yes")</f>
        <v>Yes</v>
      </c>
      <c r="L8" s="46" t="str">
        <f>IFERROR(__xludf.DUMMYFUNCTION("IF(REGEXMATCH(VLOOKUP(A8, RAW_Data!B:BZ, 29, FALSE), ""Trouble""), ""Yes"", ""No"")"),"Yes")</f>
        <v>Yes</v>
      </c>
      <c r="M8" s="46" t="str">
        <f>IFERROR(__xludf.DUMMYFUNCTION("IF(REGEXMATCH(VLOOKUP(A8, RAW_Data!B:BZ, 29, FALSE), ""MRC""), ""Yes"", ""No"")"),"No")</f>
        <v>No</v>
      </c>
      <c r="N8" s="48" t="str">
        <f>VLOOKUP(A8, RAW_Data!B:Z, 12, FALSE)</f>
        <v>Rwano, Guy Fremin</v>
      </c>
      <c r="O8" s="45" t="s">
        <v>177</v>
      </c>
    </row>
    <row r="9">
      <c r="A9" s="45" t="str">
        <f>IFERROR(__xludf.DUMMYFUNCTION("""COMPUTED_VALUE"""),"Baisi , Jean-Gabriel")</f>
        <v>Baisi , Jean-Gabriel</v>
      </c>
      <c r="B9" s="46" t="str">
        <f>VLOOKUP(A9, RAW_Data!B:Z, 4, FALSE)</f>
        <v>Active</v>
      </c>
      <c r="C9" s="47">
        <f>VLOOKUP(A9, RAW_Data!B:Z, 10, FALSE)</f>
        <v>2</v>
      </c>
      <c r="D9" s="46" t="str">
        <f>VLOOKUP(A9, RAW_Data!B:Z, 9, FALSE)</f>
        <v>Bilingual-French</v>
      </c>
      <c r="E9" s="48" t="str">
        <f>IFERROR(__xludf.DUMMYFUNCTION("LET(
  x, IFERROR(VLOOKUP(A9, RAW_Data!B:BZ, 61, FALSE), """"),
  IFS(
    REGEXMATCH(x, ""Morning""), ""Day"",
    REGEXMATCH(x, ""Evening""), ""Evening"",
    REGEXMATCH(x, ""Night""), ""Night"",
    x="""", """",
    TRUE, ""Variable""
  )
)"),"Day")</f>
        <v>Day</v>
      </c>
      <c r="F9" s="46" t="str">
        <f>VLOOKUP(A9, RAW_Data!B:Z, 8, FALSE)</f>
        <v>Ottawa</v>
      </c>
      <c r="G9" s="46" t="str">
        <f>VLOOKUP(A9, RAW_Data!B:Z, 2, FALSE)</f>
        <v>T773726</v>
      </c>
      <c r="H9" s="46" t="str">
        <f>VLOOKUP(A9, RAW_Data!B:Z, 18, FALSE)</f>
        <v>M0516</v>
      </c>
      <c r="I9" s="46">
        <f>VLOOKUP(A9, RAW_Data!B:Z, 20, FALSE)</f>
        <v>100773726</v>
      </c>
      <c r="J9" s="46">
        <f>VLOOKUP(A9, RAW_Data!B:Z, 24, FALSE)</f>
        <v>1060067</v>
      </c>
      <c r="K9" s="46" t="str">
        <f>IFERROR(__xludf.DUMMYFUNCTION("IF(REGEXMATCH(VLOOKUP(A9, RAW_Data!B:BZ, 29, FALSE), ""Smart""), ""Yes"", ""No"")"),"No")</f>
        <v>No</v>
      </c>
      <c r="L9" s="46" t="str">
        <f>IFERROR(__xludf.DUMMYFUNCTION("IF(REGEXMATCH(VLOOKUP(A9, RAW_Data!B:BZ, 29, FALSE), ""Trouble""), ""Yes"", ""No"")"),"No")</f>
        <v>No</v>
      </c>
      <c r="M9" s="46" t="str">
        <f>IFERROR(__xludf.DUMMYFUNCTION("IF(REGEXMATCH(VLOOKUP(A9, RAW_Data!B:BZ, 29, FALSE), ""MRC""), ""Yes"", ""No"")"),"No")</f>
        <v>No</v>
      </c>
      <c r="N9" s="48" t="str">
        <f>VLOOKUP(A9, RAW_Data!B:Z, 12, FALSE)</f>
        <v>Rwano, Guy Fremin</v>
      </c>
      <c r="O9" s="50" t="s">
        <v>1455</v>
      </c>
    </row>
    <row r="10">
      <c r="A10" s="45" t="str">
        <f>IFERROR(__xludf.DUMMYFUNCTION("""COMPUTED_VALUE"""),"Bercier, France")</f>
        <v>Bercier, France</v>
      </c>
      <c r="B10" s="46" t="str">
        <f>VLOOKUP(A10, RAW_Data!B:Z, 4, FALSE)</f>
        <v>Active</v>
      </c>
      <c r="C10" s="47">
        <f>VLOOKUP(A10, RAW_Data!B:Z, 10, FALSE)</f>
        <v>4</v>
      </c>
      <c r="D10" s="46" t="str">
        <f>VLOOKUP(A10, RAW_Data!B:Z, 9, FALSE)</f>
        <v>Bilingual-French</v>
      </c>
      <c r="E10" s="48" t="str">
        <f>IFERROR(__xludf.DUMMYFUNCTION("LET(
  x, IFERROR(VLOOKUP(A10, RAW_Data!B:BZ, 61, FALSE), """"),
  IFS(
    REGEXMATCH(x, ""Morning""), ""Day"",
    REGEXMATCH(x, ""Evening""), ""Evening"",
    REGEXMATCH(x, ""Night""), ""Night"",
    x="""", """",
    TRUE, ""Variable""
  )
)"),"Day")</f>
        <v>Day</v>
      </c>
      <c r="F10" s="46" t="str">
        <f>VLOOKUP(A10, RAW_Data!B:Z, 8, FALSE)</f>
        <v>Ottawa</v>
      </c>
      <c r="G10" s="46" t="str">
        <f>VLOOKUP(A10, RAW_Data!B:Z, 2, FALSE)</f>
        <v>T956514</v>
      </c>
      <c r="H10" s="46" t="str">
        <f>VLOOKUP(A10, RAW_Data!B:Z, 18, FALSE)</f>
        <v>M0075</v>
      </c>
      <c r="I10" s="46">
        <f>VLOOKUP(A10, RAW_Data!B:Z, 20, FALSE)</f>
        <v>100956514</v>
      </c>
      <c r="J10" s="46">
        <f>VLOOKUP(A10, RAW_Data!B:Z, 24, FALSE)</f>
        <v>1062436</v>
      </c>
      <c r="K10" s="46" t="str">
        <f>IFERROR(__xludf.DUMMYFUNCTION("IF(REGEXMATCH(VLOOKUP(A10, RAW_Data!B:BZ, 29, FALSE), ""Smart""), ""Yes"", ""No"")"),"Yes")</f>
        <v>Yes</v>
      </c>
      <c r="L10" s="46" t="str">
        <f>IFERROR(__xludf.DUMMYFUNCTION("IF(REGEXMATCH(VLOOKUP(A10, RAW_Data!B:BZ, 29, FALSE), ""Trouble""), ""Yes"", ""No"")"),"No")</f>
        <v>No</v>
      </c>
      <c r="M10" s="46" t="str">
        <f>IFERROR(__xludf.DUMMYFUNCTION("IF(REGEXMATCH(VLOOKUP(A10, RAW_Data!B:BZ, 29, FALSE), ""MRC""), ""Yes"", ""No"")"),"No")</f>
        <v>No</v>
      </c>
      <c r="N10" s="48" t="str">
        <f>VLOOKUP(A10, RAW_Data!B:Z, 12, FALSE)</f>
        <v>Rwano, Guy Fremin</v>
      </c>
      <c r="O10" s="45" t="s">
        <v>225</v>
      </c>
    </row>
    <row r="11">
      <c r="A11" s="45" t="str">
        <f>IFERROR(__xludf.DUMMYFUNCTION("""COMPUTED_VALUE"""),"Bindhu Harikrishnan")</f>
        <v>Bindhu Harikrishnan</v>
      </c>
      <c r="B11" s="46" t="str">
        <f>VLOOKUP(A11, RAW_Data!B:Z, 4, FALSE)</f>
        <v>Active</v>
      </c>
      <c r="C11" s="47" t="str">
        <f>VLOOKUP(A11, RAW_Data!B:Z, 10, FALSE)</f>
        <v>Trainee</v>
      </c>
      <c r="D11" s="46" t="str">
        <f>VLOOKUP(A11, RAW_Data!B:Z, 9, FALSE)</f>
        <v>English</v>
      </c>
      <c r="E11" s="48" t="str">
        <f>IFERROR(__xludf.DUMMYFUNCTION("LET(
  x, IFERROR(VLOOKUP(A11, RAW_Data!B:BZ, 61, FALSE), """"),
  IFS(
    REGEXMATCH(x, ""Morning""), ""Day"",
    REGEXMATCH(x, ""Evening""), ""Evening"",
    REGEXMATCH(x, ""Night""), ""Night"",
    x="""", """",
    TRUE, ""Variable""
  )
)"),"")</f>
        <v/>
      </c>
      <c r="F11" s="46" t="str">
        <f>VLOOKUP(A11, RAW_Data!B:Z, 8, FALSE)</f>
        <v>Calgary</v>
      </c>
      <c r="G11" s="46" t="str">
        <f>VLOOKUP(A11, RAW_Data!B:Z, 2, FALSE)</f>
        <v>T6001665</v>
      </c>
      <c r="H11" s="46" t="str">
        <f>VLOOKUP(A11, RAW_Data!B:Z, 18, FALSE)</f>
        <v/>
      </c>
      <c r="I11" s="46" t="str">
        <f>VLOOKUP(A11, RAW_Data!B:Z, 20, FALSE)</f>
        <v/>
      </c>
      <c r="J11" s="46">
        <f>VLOOKUP(A11, RAW_Data!B:Z, 24, FALSE)</f>
        <v>1060069</v>
      </c>
      <c r="K11" s="46" t="str">
        <f>IFERROR(__xludf.DUMMYFUNCTION("IF(REGEXMATCH(VLOOKUP(A11, RAW_Data!B:BZ, 29, FALSE), ""Smart""), ""Yes"", ""No"")"),"No")</f>
        <v>No</v>
      </c>
      <c r="L11" s="46" t="str">
        <f>IFERROR(__xludf.DUMMYFUNCTION("IF(REGEXMATCH(VLOOKUP(A11, RAW_Data!B:BZ, 29, FALSE), ""Trouble""), ""Yes"", ""No"")"),"No")</f>
        <v>No</v>
      </c>
      <c r="M11" s="46" t="str">
        <f>IFERROR(__xludf.DUMMYFUNCTION("IF(REGEXMATCH(VLOOKUP(A11, RAW_Data!B:BZ, 29, FALSE), ""MRC""), ""Yes"", ""No"")"),"No")</f>
        <v>No</v>
      </c>
      <c r="N11" s="48" t="str">
        <f>VLOOKUP(A11, RAW_Data!B:Z, 12, FALSE)</f>
        <v>Diegue, Kerry</v>
      </c>
      <c r="O11" s="51"/>
    </row>
    <row r="12">
      <c r="A12" s="45" t="str">
        <f>IFERROR(__xludf.DUMMYFUNCTION("""COMPUTED_VALUE"""),"Brooks, Laura")</f>
        <v>Brooks, Laura</v>
      </c>
      <c r="B12" s="46" t="str">
        <f>VLOOKUP(A12, RAW_Data!B:Z, 4, FALSE)</f>
        <v>Active</v>
      </c>
      <c r="C12" s="47">
        <f>VLOOKUP(A12, RAW_Data!B:Z, 10, FALSE)</f>
        <v>4</v>
      </c>
      <c r="D12" s="46" t="str">
        <f>VLOOKUP(A12, RAW_Data!B:Z, 9, FALSE)</f>
        <v>English</v>
      </c>
      <c r="E12" s="48" t="str">
        <f>IFERROR(__xludf.DUMMYFUNCTION("LET(
  x, IFERROR(VLOOKUP(A12, RAW_Data!B:BZ, 61, FALSE), """"),
  IFS(
    REGEXMATCH(x, ""Morning""), ""Day"",
    REGEXMATCH(x, ""Evening""), ""Evening"",
    REGEXMATCH(x, ""Night""), ""Night"",
    x="""", """",
    TRUE, ""Variable""
  )
)"),"Night")</f>
        <v>Night</v>
      </c>
      <c r="F12" s="46" t="str">
        <f>VLOOKUP(A12, RAW_Data!B:Z, 8, FALSE)</f>
        <v>Calgary</v>
      </c>
      <c r="G12" s="46" t="str">
        <f>VLOOKUP(A12, RAW_Data!B:Z, 2, FALSE)</f>
        <v>T956364</v>
      </c>
      <c r="H12" s="46" t="str">
        <f>VLOOKUP(A12, RAW_Data!B:Z, 18, FALSE)</f>
        <v>M0082</v>
      </c>
      <c r="I12" s="46">
        <f>VLOOKUP(A12, RAW_Data!B:Z, 20, FALSE)</f>
        <v>100956364</v>
      </c>
      <c r="J12" s="46">
        <f>VLOOKUP(A12, RAW_Data!B:Z, 24, FALSE)</f>
        <v>1210687</v>
      </c>
      <c r="K12" s="46" t="str">
        <f>IFERROR(__xludf.DUMMYFUNCTION("IF(REGEXMATCH(VLOOKUP(A12, RAW_Data!B:BZ, 29, FALSE), ""Smart""), ""Yes"", ""No"")"),"Yes")</f>
        <v>Yes</v>
      </c>
      <c r="L12" s="46" t="str">
        <f>IFERROR(__xludf.DUMMYFUNCTION("IF(REGEXMATCH(VLOOKUP(A12, RAW_Data!B:BZ, 29, FALSE), ""Trouble""), ""Yes"", ""No"")"),"Yes")</f>
        <v>Yes</v>
      </c>
      <c r="M12" s="46" t="str">
        <f>IFERROR(__xludf.DUMMYFUNCTION("IF(REGEXMATCH(VLOOKUP(A12, RAW_Data!B:BZ, 29, FALSE), ""MRC""), ""Yes"", ""No"")"),"No")</f>
        <v>No</v>
      </c>
      <c r="N12" s="48" t="str">
        <f>VLOOKUP(A12, RAW_Data!B:Z, 12, FALSE)</f>
        <v>Coghiel, Caren</v>
      </c>
      <c r="O12" s="31" t="s">
        <v>273</v>
      </c>
    </row>
    <row r="13">
      <c r="A13" s="45" t="str">
        <f>IFERROR(__xludf.DUMMYFUNCTION("""COMPUTED_VALUE"""),"Calanza, Stevenson")</f>
        <v>Calanza, Stevenson</v>
      </c>
      <c r="B13" s="46" t="str">
        <f>VLOOKUP(A13, RAW_Data!B:Z, 4, FALSE)</f>
        <v>Active</v>
      </c>
      <c r="C13" s="47">
        <f>VLOOKUP(A13, RAW_Data!B:Z, 10, FALSE)</f>
        <v>2</v>
      </c>
      <c r="D13" s="46" t="str">
        <f>VLOOKUP(A13, RAW_Data!B:Z, 9, FALSE)</f>
        <v>English</v>
      </c>
      <c r="E13" s="48" t="str">
        <f>IFERROR(__xludf.DUMMYFUNCTION("LET(
  x, IFERROR(VLOOKUP(A13, RAW_Data!B:BZ, 61, FALSE), """"),
  IFS(
    REGEXMATCH(x, ""Morning""), ""Day"",
    REGEXMATCH(x, ""Evening""), ""Evening"",
    REGEXMATCH(x, ""Night""), ""Night"",
    x="""", """",
    TRUE, ""Variable""
  )
)"),"Day")</f>
        <v>Day</v>
      </c>
      <c r="F13" s="46" t="str">
        <f>VLOOKUP(A13, RAW_Data!B:Z, 8, FALSE)</f>
        <v>Calgary</v>
      </c>
      <c r="G13" s="46" t="str">
        <f>VLOOKUP(A13, RAW_Data!B:Z, 2, FALSE)</f>
        <v>T955759</v>
      </c>
      <c r="H13" s="46" t="str">
        <f>VLOOKUP(A13, RAW_Data!B:Z, 18, FALSE)</f>
        <v>M0086</v>
      </c>
      <c r="I13" s="46">
        <f>VLOOKUP(A13, RAW_Data!B:Z, 20, FALSE)</f>
        <v>100955759</v>
      </c>
      <c r="J13" s="46">
        <f>VLOOKUP(A13, RAW_Data!B:Z, 24, FALSE)</f>
        <v>1020213</v>
      </c>
      <c r="K13" s="46" t="str">
        <f>IFERROR(__xludf.DUMMYFUNCTION("IF(REGEXMATCH(VLOOKUP(A13, RAW_Data!B:BZ, 29, FALSE), ""Smart""), ""Yes"", ""No"")"),"No")</f>
        <v>No</v>
      </c>
      <c r="L13" s="46" t="str">
        <f>IFERROR(__xludf.DUMMYFUNCTION("IF(REGEXMATCH(VLOOKUP(A13, RAW_Data!B:BZ, 29, FALSE), ""Trouble""), ""Yes"", ""No"")"),"Yes")</f>
        <v>Yes</v>
      </c>
      <c r="M13" s="46" t="str">
        <f>IFERROR(__xludf.DUMMYFUNCTION("IF(REGEXMATCH(VLOOKUP(A13, RAW_Data!B:BZ, 29, FALSE), ""MRC""), ""Yes"", ""No"")"),"No")</f>
        <v>No</v>
      </c>
      <c r="N13" s="48" t="str">
        <f>VLOOKUP(A13, RAW_Data!B:Z, 12, FALSE)</f>
        <v>Gillingham, Shelley</v>
      </c>
      <c r="O13" s="45" t="s">
        <v>289</v>
      </c>
    </row>
    <row r="14">
      <c r="A14" s="45" t="str">
        <f>IFERROR(__xludf.DUMMYFUNCTION("""COMPUTED_VALUE"""),"Carl-Luigi Pierre")</f>
        <v>Carl-Luigi Pierre</v>
      </c>
      <c r="B14" s="46" t="str">
        <f>VLOOKUP(A14, RAW_Data!B:Z, 4, FALSE)</f>
        <v>Active</v>
      </c>
      <c r="C14" s="47" t="str">
        <f>VLOOKUP(A14, RAW_Data!B:Z, 10, FALSE)</f>
        <v>Trainee</v>
      </c>
      <c r="D14" s="46" t="str">
        <f>VLOOKUP(A14, RAW_Data!B:Z, 9, FALSE)</f>
        <v>Bilingual-French</v>
      </c>
      <c r="E14" s="48" t="str">
        <f>IFERROR(__xludf.DUMMYFUNCTION("LET(
  x, IFERROR(VLOOKUP(A14, RAW_Data!B:BZ, 61, FALSE), """"),
  IFS(
    REGEXMATCH(x, ""Morning""), ""Day"",
    REGEXMATCH(x, ""Evening""), ""Evening"",
    REGEXMATCH(x, ""Night""), ""Night"",
    x="""", """",
    TRUE, ""Variable""
  )
)"),"")</f>
        <v/>
      </c>
      <c r="F14" s="46" t="str">
        <f>VLOOKUP(A14, RAW_Data!B:Z, 8, FALSE)</f>
        <v>Ottawa</v>
      </c>
      <c r="G14" s="46" t="str">
        <f>VLOOKUP(A14, RAW_Data!B:Z, 2, FALSE)</f>
        <v>T6001661</v>
      </c>
      <c r="H14" s="46" t="str">
        <f>VLOOKUP(A14, RAW_Data!B:Z, 18, FALSE)</f>
        <v/>
      </c>
      <c r="I14" s="46" t="str">
        <f>VLOOKUP(A14, RAW_Data!B:Z, 20, FALSE)</f>
        <v/>
      </c>
      <c r="J14" s="46">
        <f>VLOOKUP(A14, RAW_Data!B:Z, 24, FALSE)</f>
        <v>1060068</v>
      </c>
      <c r="K14" s="46" t="str">
        <f>IFERROR(__xludf.DUMMYFUNCTION("IF(REGEXMATCH(VLOOKUP(A14, RAW_Data!B:BZ, 29, FALSE), ""Smart""), ""Yes"", ""No"")"),"No")</f>
        <v>No</v>
      </c>
      <c r="L14" s="46" t="str">
        <f>IFERROR(__xludf.DUMMYFUNCTION("IF(REGEXMATCH(VLOOKUP(A14, RAW_Data!B:BZ, 29, FALSE), ""Trouble""), ""Yes"", ""No"")"),"No")</f>
        <v>No</v>
      </c>
      <c r="M14" s="46" t="str">
        <f>IFERROR(__xludf.DUMMYFUNCTION("IF(REGEXMATCH(VLOOKUP(A14, RAW_Data!B:BZ, 29, FALSE), ""MRC""), ""Yes"", ""No"")"),"No")</f>
        <v>No</v>
      </c>
      <c r="N14" s="48" t="str">
        <f>VLOOKUP(A14, RAW_Data!B:Z, 12, FALSE)</f>
        <v>Diegue, Kerry</v>
      </c>
      <c r="O14" s="51"/>
    </row>
    <row r="15">
      <c r="A15" s="45" t="str">
        <f>IFERROR(__xludf.DUMMYFUNCTION("""COMPUTED_VALUE"""),"Carvajal-Yiptong, Diego Armando")</f>
        <v>Carvajal-Yiptong, Diego Armando</v>
      </c>
      <c r="B15" s="46" t="str">
        <f>VLOOKUP(A15, RAW_Data!B:Z, 4, FALSE)</f>
        <v>Active</v>
      </c>
      <c r="C15" s="47">
        <f>VLOOKUP(A15, RAW_Data!B:Z, 10, FALSE)</f>
        <v>4</v>
      </c>
      <c r="D15" s="46" t="str">
        <f>VLOOKUP(A15, RAW_Data!B:Z, 9, FALSE)</f>
        <v>Bilingual-French</v>
      </c>
      <c r="E15" s="48" t="str">
        <f>IFERROR(__xludf.DUMMYFUNCTION("LET(
  x, IFERROR(VLOOKUP(A15, RAW_Data!B:BZ, 61, FALSE), """"),
  IFS(
    REGEXMATCH(x, ""Morning""), ""Day"",
    REGEXMATCH(x, ""Evening""), ""Evening"",
    REGEXMATCH(x, ""Night""), ""Night"",
    x="""", """",
    TRUE, ""Variable""
  )
)"),"Day")</f>
        <v>Day</v>
      </c>
      <c r="F15" s="46" t="str">
        <f>VLOOKUP(A15, RAW_Data!B:Z, 8, FALSE)</f>
        <v>Montreal</v>
      </c>
      <c r="G15" s="46" t="str">
        <f>VLOOKUP(A15, RAW_Data!B:Z, 2, FALSE)</f>
        <v>T955811</v>
      </c>
      <c r="H15" s="46" t="str">
        <f>VLOOKUP(A15, RAW_Data!B:Z, 18, FALSE)</f>
        <v>M0087</v>
      </c>
      <c r="I15" s="46">
        <f>VLOOKUP(A15, RAW_Data!B:Z, 20, FALSE)</f>
        <v>100955811</v>
      </c>
      <c r="J15" s="46">
        <f>VLOOKUP(A15, RAW_Data!B:Z, 24, FALSE)</f>
        <v>1067281</v>
      </c>
      <c r="K15" s="46" t="str">
        <f>IFERROR(__xludf.DUMMYFUNCTION("IF(REGEXMATCH(VLOOKUP(A15, RAW_Data!B:BZ, 29, FALSE), ""Smart""), ""Yes"", ""No"")"),"Yes")</f>
        <v>Yes</v>
      </c>
      <c r="L15" s="46" t="str">
        <f>IFERROR(__xludf.DUMMYFUNCTION("IF(REGEXMATCH(VLOOKUP(A15, RAW_Data!B:BZ, 29, FALSE), ""Trouble""), ""Yes"", ""No"")"),"Yes")</f>
        <v>Yes</v>
      </c>
      <c r="M15" s="46" t="str">
        <f>IFERROR(__xludf.DUMMYFUNCTION("IF(REGEXMATCH(VLOOKUP(A15, RAW_Data!B:BZ, 29, FALSE), ""MRC""), ""Yes"", ""No"")"),"No")</f>
        <v>No</v>
      </c>
      <c r="N15" s="48" t="str">
        <f>VLOOKUP(A15, RAW_Data!B:Z, 12, FALSE)</f>
        <v>Dhindsa, Sukhjinder</v>
      </c>
      <c r="O15" s="52" t="s">
        <v>1457</v>
      </c>
    </row>
    <row r="16">
      <c r="A16" s="45" t="str">
        <f>IFERROR(__xludf.DUMMYFUNCTION("""COMPUTED_VALUE"""),"Cerdas Calvo, Deyanira")</f>
        <v>Cerdas Calvo, Deyanira</v>
      </c>
      <c r="B16" s="46" t="str">
        <f>VLOOKUP(A16, RAW_Data!B:Z, 4, FALSE)</f>
        <v>Active</v>
      </c>
      <c r="C16" s="47">
        <f>VLOOKUP(A16, RAW_Data!B:Z, 10, FALSE)</f>
        <v>2</v>
      </c>
      <c r="D16" s="46" t="str">
        <f>VLOOKUP(A16, RAW_Data!B:Z, 9, FALSE)</f>
        <v>English</v>
      </c>
      <c r="E16" s="48" t="str">
        <f>IFERROR(__xludf.DUMMYFUNCTION("LET(
  x, IFERROR(VLOOKUP(A16,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16" s="46" t="str">
        <f>VLOOKUP(A16, RAW_Data!B:Z, 8, FALSE)</f>
        <v>Calgary</v>
      </c>
      <c r="G16" s="46" t="str">
        <f>VLOOKUP(A16, RAW_Data!B:Z, 2, FALSE)</f>
        <v>T956355</v>
      </c>
      <c r="H16" s="46" t="str">
        <f>VLOOKUP(A16, RAW_Data!B:Z, 18, FALSE)</f>
        <v>M0088</v>
      </c>
      <c r="I16" s="46">
        <f>VLOOKUP(A16, RAW_Data!B:Z, 20, FALSE)</f>
        <v>100956355</v>
      </c>
      <c r="J16" s="46">
        <f>VLOOKUP(A16, RAW_Data!B:Z, 24, FALSE)</f>
        <v>1020004</v>
      </c>
      <c r="K16" s="46" t="str">
        <f>IFERROR(__xludf.DUMMYFUNCTION("IF(REGEXMATCH(VLOOKUP(A16, RAW_Data!B:BZ, 29, FALSE), ""Smart""), ""Yes"", ""No"")"),"Yes")</f>
        <v>Yes</v>
      </c>
      <c r="L16" s="46" t="str">
        <f>IFERROR(__xludf.DUMMYFUNCTION("IF(REGEXMATCH(VLOOKUP(A16, RAW_Data!B:BZ, 29, FALSE), ""Trouble""), ""Yes"", ""No"")"),"No")</f>
        <v>No</v>
      </c>
      <c r="M16" s="46" t="str">
        <f>IFERROR(__xludf.DUMMYFUNCTION("IF(REGEXMATCH(VLOOKUP(A16, RAW_Data!B:BZ, 29, FALSE), ""MRC""), ""Yes"", ""No"")"),"No")</f>
        <v>No</v>
      </c>
      <c r="N16" s="48" t="str">
        <f>VLOOKUP(A16, RAW_Data!B:Z, 12, FALSE)</f>
        <v>Gillingham, Shelley</v>
      </c>
      <c r="O16" s="45" t="s">
        <v>321</v>
      </c>
    </row>
    <row r="17">
      <c r="A17" s="45" t="str">
        <f>IFERROR(__xludf.DUMMYFUNCTION("""COMPUTED_VALUE"""),"Chan, Chinda")</f>
        <v>Chan, Chinda</v>
      </c>
      <c r="B17" s="46" t="str">
        <f>VLOOKUP(A17, RAW_Data!B:Z, 4, FALSE)</f>
        <v>Active</v>
      </c>
      <c r="C17" s="47">
        <f>VLOOKUP(A17, RAW_Data!B:Z, 10, FALSE)</f>
        <v>2</v>
      </c>
      <c r="D17" s="46" t="str">
        <f>VLOOKUP(A17, RAW_Data!B:Z, 9, FALSE)</f>
        <v>Bilingual-French</v>
      </c>
      <c r="E17" s="48" t="str">
        <f>IFERROR(__xludf.DUMMYFUNCTION("LET(
  x, IFERROR(VLOOKUP(A17, RAW_Data!B:BZ, 61, FALSE), """"),
  IFS(
    REGEXMATCH(x, ""Morning""), ""Day"",
    REGEXMATCH(x, ""Evening""), ""Evening"",
    REGEXMATCH(x, ""Night""), ""Night"",
    x="""", """",
    TRUE, ""Variable""
  )
)"),"Night")</f>
        <v>Night</v>
      </c>
      <c r="F17" s="46" t="str">
        <f>VLOOKUP(A17, RAW_Data!B:Z, 8, FALSE)</f>
        <v>Montreal</v>
      </c>
      <c r="G17" s="46" t="str">
        <f>VLOOKUP(A17, RAW_Data!B:Z, 2, FALSE)</f>
        <v>T766860</v>
      </c>
      <c r="H17" s="46" t="str">
        <f>VLOOKUP(A17, RAW_Data!B:Z, 18, FALSE)</f>
        <v>M0397</v>
      </c>
      <c r="I17" s="46">
        <f>VLOOKUP(A17, RAW_Data!B:Z, 20, FALSE)</f>
        <v>100766860</v>
      </c>
      <c r="J17" s="46">
        <f>VLOOKUP(A17, RAW_Data!B:Z, 24, FALSE)</f>
        <v>1060052</v>
      </c>
      <c r="K17" s="46" t="str">
        <f>IFERROR(__xludf.DUMMYFUNCTION("IF(REGEXMATCH(VLOOKUP(A17, RAW_Data!B:BZ, 29, FALSE), ""Smart""), ""Yes"", ""No"")"),"No")</f>
        <v>No</v>
      </c>
      <c r="L17" s="46" t="str">
        <f>IFERROR(__xludf.DUMMYFUNCTION("IF(REGEXMATCH(VLOOKUP(A17, RAW_Data!B:BZ, 29, FALSE), ""Trouble""), ""Yes"", ""No"")"),"No")</f>
        <v>No</v>
      </c>
      <c r="M17" s="46" t="str">
        <f>IFERROR(__xludf.DUMMYFUNCTION("IF(REGEXMATCH(VLOOKUP(A17, RAW_Data!B:BZ, 29, FALSE), ""MRC""), ""Yes"", ""No"")"),"No")</f>
        <v>No</v>
      </c>
      <c r="N17" s="48" t="str">
        <f>VLOOKUP(A17, RAW_Data!B:Z, 12, FALSE)</f>
        <v>Rwano, Guy Fremin</v>
      </c>
      <c r="O17" s="45" t="s">
        <v>333</v>
      </c>
    </row>
    <row r="18">
      <c r="A18" s="45" t="str">
        <f>IFERROR(__xludf.DUMMYFUNCTION("""COMPUTED_VALUE"""),"Chénard, William")</f>
        <v>Chénard, William</v>
      </c>
      <c r="B18" s="46" t="str">
        <f>VLOOKUP(A18, RAW_Data!B:Z, 4, FALSE)</f>
        <v>Active</v>
      </c>
      <c r="C18" s="47">
        <f>VLOOKUP(A18, RAW_Data!B:Z, 10, FALSE)</f>
        <v>2</v>
      </c>
      <c r="D18" s="46" t="str">
        <f>VLOOKUP(A18, RAW_Data!B:Z, 9, FALSE)</f>
        <v>Bilingual-French</v>
      </c>
      <c r="E18" s="48" t="str">
        <f>IFERROR(__xludf.DUMMYFUNCTION("LET(
  x, IFERROR(VLOOKUP(A18, RAW_Data!B:BZ, 61, FALSE), """"),
  IFS(
    REGEXMATCH(x, ""Morning""), ""Day"",
    REGEXMATCH(x, ""Evening""), ""Evening"",
    REGEXMATCH(x, ""Night""), ""Night"",
    x="""", """",
    TRUE, ""Variable""
  )
)"),"Day")</f>
        <v>Day</v>
      </c>
      <c r="F18" s="46" t="str">
        <f>VLOOKUP(A18, RAW_Data!B:Z, 8, FALSE)</f>
        <v>Montreal</v>
      </c>
      <c r="G18" s="46" t="str">
        <f>VLOOKUP(A18, RAW_Data!B:Z, 2, FALSE)</f>
        <v>T995563</v>
      </c>
      <c r="H18" s="46" t="str">
        <f>VLOOKUP(A18, RAW_Data!B:Z, 18, FALSE)</f>
        <v>M0090</v>
      </c>
      <c r="I18" s="46">
        <f>VLOOKUP(A18, RAW_Data!B:Z, 20, FALSE)</f>
        <v>100995563</v>
      </c>
      <c r="J18" s="46">
        <f>VLOOKUP(A18, RAW_Data!B:Z, 24, FALSE)</f>
        <v>1060011</v>
      </c>
      <c r="K18" s="46" t="str">
        <f>IFERROR(__xludf.DUMMYFUNCTION("IF(REGEXMATCH(VLOOKUP(A18, RAW_Data!B:BZ, 29, FALSE), ""Smart""), ""Yes"", ""No"")"),"No")</f>
        <v>No</v>
      </c>
      <c r="L18" s="46" t="str">
        <f>IFERROR(__xludf.DUMMYFUNCTION("IF(REGEXMATCH(VLOOKUP(A18, RAW_Data!B:BZ, 29, FALSE), ""Trouble""), ""Yes"", ""No"")"),"No")</f>
        <v>No</v>
      </c>
      <c r="M18" s="46" t="str">
        <f>IFERROR(__xludf.DUMMYFUNCTION("IF(REGEXMATCH(VLOOKUP(A18, RAW_Data!B:BZ, 29, FALSE), ""MRC""), ""Yes"", ""No"")"),"No")</f>
        <v>No</v>
      </c>
      <c r="N18" s="48" t="str">
        <f>VLOOKUP(A18, RAW_Data!B:Z, 12, FALSE)</f>
        <v>Lo, Mamadou</v>
      </c>
      <c r="O18" s="50" t="s">
        <v>1458</v>
      </c>
    </row>
    <row r="19">
      <c r="A19" s="45" t="str">
        <f>IFERROR(__xludf.DUMMYFUNCTION("""COMPUTED_VALUE"""),"Chibane, Hakim")</f>
        <v>Chibane, Hakim</v>
      </c>
      <c r="B19" s="46" t="str">
        <f>VLOOKUP(A19, RAW_Data!B:Z, 4, FALSE)</f>
        <v>Active</v>
      </c>
      <c r="C19" s="47">
        <f>VLOOKUP(A19, RAW_Data!B:Z, 10, FALSE)</f>
        <v>4</v>
      </c>
      <c r="D19" s="46" t="str">
        <f>VLOOKUP(A19, RAW_Data!B:Z, 9, FALSE)</f>
        <v>French</v>
      </c>
      <c r="E19" s="48" t="str">
        <f>IFERROR(__xludf.DUMMYFUNCTION("LET(
  x, IFERROR(VLOOKUP(A19,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19" s="46" t="str">
        <f>VLOOKUP(A19, RAW_Data!B:Z, 8, FALSE)</f>
        <v>Remote Area</v>
      </c>
      <c r="G19" s="46" t="str">
        <f>VLOOKUP(A19, RAW_Data!B:Z, 2, FALSE)</f>
        <v>T992448</v>
      </c>
      <c r="H19" s="46" t="str">
        <f>VLOOKUP(A19, RAW_Data!B:Z, 18, FALSE)</f>
        <v>M0091</v>
      </c>
      <c r="I19" s="46">
        <f>VLOOKUP(A19, RAW_Data!B:Z, 20, FALSE)</f>
        <v>100992448</v>
      </c>
      <c r="J19" s="46">
        <f>VLOOKUP(A19, RAW_Data!B:Z, 24, FALSE)</f>
        <v>1066154</v>
      </c>
      <c r="K19" s="46" t="str">
        <f>IFERROR(__xludf.DUMMYFUNCTION("IF(REGEXMATCH(VLOOKUP(A19, RAW_Data!B:BZ, 29, FALSE), ""Smart""), ""Yes"", ""No"")"),"No")</f>
        <v>No</v>
      </c>
      <c r="L19" s="46" t="str">
        <f>IFERROR(__xludf.DUMMYFUNCTION("IF(REGEXMATCH(VLOOKUP(A19, RAW_Data!B:BZ, 29, FALSE), ""Trouble""), ""Yes"", ""No"")"),"Yes")</f>
        <v>Yes</v>
      </c>
      <c r="M19" s="46" t="str">
        <f>IFERROR(__xludf.DUMMYFUNCTION("IF(REGEXMATCH(VLOOKUP(A19, RAW_Data!B:BZ, 29, FALSE), ""MRC""), ""Yes"", ""No"")"),"No")</f>
        <v>No</v>
      </c>
      <c r="N19" s="48" t="str">
        <f>VLOOKUP(A19, RAW_Data!B:Z, 12, FALSE)</f>
        <v>Kollias, Peter</v>
      </c>
      <c r="O19" s="45" t="s">
        <v>352</v>
      </c>
    </row>
    <row r="20">
      <c r="A20" s="45" t="str">
        <f>IFERROR(__xludf.DUMMYFUNCTION("""COMPUTED_VALUE"""),"Christian Langcuyan")</f>
        <v>Christian Langcuyan</v>
      </c>
      <c r="B20" s="46" t="str">
        <f>VLOOKUP(A20, RAW_Data!B:Z, 4, FALSE)</f>
        <v>Active</v>
      </c>
      <c r="C20" s="47" t="str">
        <f>VLOOKUP(A20, RAW_Data!B:Z, 10, FALSE)</f>
        <v>Trainee</v>
      </c>
      <c r="D20" s="46" t="str">
        <f>VLOOKUP(A20, RAW_Data!B:Z, 9, FALSE)</f>
        <v>English</v>
      </c>
      <c r="E20" s="48" t="str">
        <f>IFERROR(__xludf.DUMMYFUNCTION("LET(
  x, IFERROR(VLOOKUP(A20, RAW_Data!B:BZ, 61, FALSE), """"),
  IFS(
    REGEXMATCH(x, ""Morning""), ""Day"",
    REGEXMATCH(x, ""Evening""), ""Evening"",
    REGEXMATCH(x, ""Night""), ""Night"",
    x="""", """",
    TRUE, ""Variable""
  )
)"),"")</f>
        <v/>
      </c>
      <c r="F20" s="46" t="str">
        <f>VLOOKUP(A20, RAW_Data!B:Z, 8, FALSE)</f>
        <v>Calgary</v>
      </c>
      <c r="G20" s="46" t="str">
        <f>VLOOKUP(A20, RAW_Data!B:Z, 2, FALSE)</f>
        <v>T6001712</v>
      </c>
      <c r="H20" s="46" t="str">
        <f>VLOOKUP(A20, RAW_Data!B:Z, 18, FALSE)</f>
        <v/>
      </c>
      <c r="I20" s="46" t="str">
        <f>VLOOKUP(A20, RAW_Data!B:Z, 20, FALSE)</f>
        <v/>
      </c>
      <c r="J20" s="46">
        <f>VLOOKUP(A20, RAW_Data!B:Z, 24, FALSE)</f>
        <v>1060074</v>
      </c>
      <c r="K20" s="46" t="str">
        <f>IFERROR(__xludf.DUMMYFUNCTION("IF(REGEXMATCH(VLOOKUP(A20, RAW_Data!B:BZ, 29, FALSE), ""Smart""), ""Yes"", ""No"")"),"No")</f>
        <v>No</v>
      </c>
      <c r="L20" s="46" t="str">
        <f>IFERROR(__xludf.DUMMYFUNCTION("IF(REGEXMATCH(VLOOKUP(A20, RAW_Data!B:BZ, 29, FALSE), ""Trouble""), ""Yes"", ""No"")"),"No")</f>
        <v>No</v>
      </c>
      <c r="M20" s="46" t="str">
        <f>IFERROR(__xludf.DUMMYFUNCTION("IF(REGEXMATCH(VLOOKUP(A20, RAW_Data!B:BZ, 29, FALSE), ""MRC""), ""Yes"", ""No"")"),"No")</f>
        <v>No</v>
      </c>
      <c r="N20" s="48" t="str">
        <f>VLOOKUP(A20, RAW_Data!B:Z, 12, FALSE)</f>
        <v>Diegue, Kerry</v>
      </c>
      <c r="O20" s="51"/>
    </row>
    <row r="21">
      <c r="A21" s="45" t="str">
        <f>IFERROR(__xludf.DUMMYFUNCTION("""COMPUTED_VALUE"""),"Cobrana, Mechille")</f>
        <v>Cobrana, Mechille</v>
      </c>
      <c r="B21" s="46" t="str">
        <f>VLOOKUP(A21, RAW_Data!B:Z, 4, FALSE)</f>
        <v>Active</v>
      </c>
      <c r="C21" s="47">
        <f>VLOOKUP(A21, RAW_Data!B:Z, 10, FALSE)</f>
        <v>1</v>
      </c>
      <c r="D21" s="46" t="str">
        <f>VLOOKUP(A21, RAW_Data!B:Z, 9, FALSE)</f>
        <v>English</v>
      </c>
      <c r="E21" s="48" t="str">
        <f>IFERROR(__xludf.DUMMYFUNCTION("LET(
  x, IFERROR(VLOOKUP(A21, RAW_Data!B:BZ, 61, FALSE), """"),
  IFS(
    REGEXMATCH(x, ""Morning""), ""Day"",
    REGEXMATCH(x, ""Evening""), ""Evening"",
    REGEXMATCH(x, ""Night""), ""Night"",
    x="""", """",
    TRUE, ""Variable""
  )
)"),"")</f>
        <v/>
      </c>
      <c r="F21" s="46" t="str">
        <f>VLOOKUP(A21, RAW_Data!B:Z, 8, FALSE)</f>
        <v>Calgary</v>
      </c>
      <c r="G21" s="46" t="str">
        <f>VLOOKUP(A21, RAW_Data!B:Z, 2, FALSE)</f>
        <v>T6001471</v>
      </c>
      <c r="H21" s="46" t="str">
        <f>VLOOKUP(A21, RAW_Data!B:Z, 18, FALSE)</f>
        <v>M0535</v>
      </c>
      <c r="I21" s="46">
        <f>VLOOKUP(A21, RAW_Data!B:Z, 20, FALSE)</f>
        <v>106001471</v>
      </c>
      <c r="J21" s="46">
        <f>VLOOKUP(A21, RAW_Data!B:Z, 24, FALSE)</f>
        <v>1060013</v>
      </c>
      <c r="K21" s="46" t="str">
        <f>IFERROR(__xludf.DUMMYFUNCTION("IF(REGEXMATCH(VLOOKUP(A21, RAW_Data!B:BZ, 29, FALSE), ""Smart""), ""Yes"", ""No"")"),"No")</f>
        <v>No</v>
      </c>
      <c r="L21" s="46" t="str">
        <f>IFERROR(__xludf.DUMMYFUNCTION("IF(REGEXMATCH(VLOOKUP(A21, RAW_Data!B:BZ, 29, FALSE), ""Trouble""), ""Yes"", ""No"")"),"No")</f>
        <v>No</v>
      </c>
      <c r="M21" s="46" t="str">
        <f>IFERROR(__xludf.DUMMYFUNCTION("IF(REGEXMATCH(VLOOKUP(A21, RAW_Data!B:BZ, 29, FALSE), ""MRC""), ""Yes"", ""No"")"),"No")</f>
        <v>No</v>
      </c>
      <c r="N21" s="48" t="str">
        <f>VLOOKUP(A21, RAW_Data!B:Z, 12, FALSE)</f>
        <v>Gillingham, Shelley</v>
      </c>
      <c r="O21" s="31" t="s">
        <v>1474</v>
      </c>
    </row>
    <row r="22">
      <c r="A22" s="45" t="str">
        <f>IFERROR(__xludf.DUMMYFUNCTION("""COMPUTED_VALUE"""),"Constant, Francesca")</f>
        <v>Constant, Francesca</v>
      </c>
      <c r="B22" s="46" t="str">
        <f>VLOOKUP(A22, RAW_Data!B:Z, 4, FALSE)</f>
        <v>Active</v>
      </c>
      <c r="C22" s="47">
        <f>VLOOKUP(A22, RAW_Data!B:Z, 10, FALSE)</f>
        <v>2</v>
      </c>
      <c r="D22" s="46" t="str">
        <f>VLOOKUP(A22, RAW_Data!B:Z, 9, FALSE)</f>
        <v>French</v>
      </c>
      <c r="E22" s="48" t="str">
        <f>IFERROR(__xludf.DUMMYFUNCTION("LET(
  x, IFERROR(VLOOKUP(A22, RAW_Data!B:BZ, 61, FALSE), """"),
  IFS(
    REGEXMATCH(x, ""Morning""), ""Day"",
    REGEXMATCH(x, ""Evening""), ""Evening"",
    REGEXMATCH(x, ""Night""), ""Night"",
    x="""", """",
    TRUE, ""Variable""
  )
)"),"Day")</f>
        <v>Day</v>
      </c>
      <c r="F22" s="46" t="str">
        <f>VLOOKUP(A22, RAW_Data!B:Z, 8, FALSE)</f>
        <v>Montreal</v>
      </c>
      <c r="G22" s="46" t="str">
        <f>VLOOKUP(A22, RAW_Data!B:Z, 2, FALSE)</f>
        <v>T992326</v>
      </c>
      <c r="H22" s="46" t="str">
        <f>VLOOKUP(A22, RAW_Data!B:Z, 18, FALSE)</f>
        <v>M0093</v>
      </c>
      <c r="I22" s="46">
        <f>VLOOKUP(A22, RAW_Data!B:Z, 20, FALSE)</f>
        <v>100992326</v>
      </c>
      <c r="J22" s="46">
        <f>VLOOKUP(A22, RAW_Data!B:Z, 24, FALSE)</f>
        <v>1066150</v>
      </c>
      <c r="K22" s="46" t="str">
        <f>IFERROR(__xludf.DUMMYFUNCTION("IF(REGEXMATCH(VLOOKUP(A22, RAW_Data!B:BZ, 29, FALSE), ""Smart""), ""Yes"", ""No"")"),"No")</f>
        <v>No</v>
      </c>
      <c r="L22" s="46" t="str">
        <f>IFERROR(__xludf.DUMMYFUNCTION("IF(REGEXMATCH(VLOOKUP(A22, RAW_Data!B:BZ, 29, FALSE), ""Trouble""), ""Yes"", ""No"")"),"Yes")</f>
        <v>Yes</v>
      </c>
      <c r="M22" s="46" t="str">
        <f>IFERROR(__xludf.DUMMYFUNCTION("IF(REGEXMATCH(VLOOKUP(A22, RAW_Data!B:BZ, 29, FALSE), ""MRC""), ""Yes"", ""No"")"),"No")</f>
        <v>No</v>
      </c>
      <c r="N22" s="48" t="str">
        <f>VLOOKUP(A22, RAW_Data!B:Z, 12, FALSE)</f>
        <v>Lo, Mamadou</v>
      </c>
      <c r="O22" s="45" t="s">
        <v>377</v>
      </c>
    </row>
    <row r="23">
      <c r="A23" s="45" t="str">
        <f>IFERROR(__xludf.DUMMYFUNCTION("""COMPUTED_VALUE"""),"Dansou, Senami")</f>
        <v>Dansou, Senami</v>
      </c>
      <c r="B23" s="46" t="str">
        <f>VLOOKUP(A23, RAW_Data!B:Z, 4, FALSE)</f>
        <v>Active</v>
      </c>
      <c r="C23" s="47">
        <f>VLOOKUP(A23, RAW_Data!B:Z, 10, FALSE)</f>
        <v>4</v>
      </c>
      <c r="D23" s="46" t="str">
        <f>VLOOKUP(A23, RAW_Data!B:Z, 9, FALSE)</f>
        <v>Bilingual-French</v>
      </c>
      <c r="E23" s="48" t="str">
        <f>IFERROR(__xludf.DUMMYFUNCTION("LET(
  x, IFERROR(VLOOKUP(A23,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23" s="46" t="str">
        <f>VLOOKUP(A23, RAW_Data!B:Z, 8, FALSE)</f>
        <v>Ottawa</v>
      </c>
      <c r="G23" s="46" t="str">
        <f>VLOOKUP(A23, RAW_Data!B:Z, 2, FALSE)</f>
        <v>T955704</v>
      </c>
      <c r="H23" s="46" t="str">
        <f>VLOOKUP(A23, RAW_Data!B:Z, 18, FALSE)</f>
        <v>M0096</v>
      </c>
      <c r="I23" s="46">
        <f>VLOOKUP(A23, RAW_Data!B:Z, 20, FALSE)</f>
        <v>100955704</v>
      </c>
      <c r="J23" s="46">
        <f>VLOOKUP(A23, RAW_Data!B:Z, 24, FALSE)</f>
        <v>1062301</v>
      </c>
      <c r="K23" s="46" t="str">
        <f>IFERROR(__xludf.DUMMYFUNCTION("IF(REGEXMATCH(VLOOKUP(A23, RAW_Data!B:BZ, 29, FALSE), ""Smart""), ""Yes"", ""No"")"),"No")</f>
        <v>No</v>
      </c>
      <c r="L23" s="46" t="str">
        <f>IFERROR(__xludf.DUMMYFUNCTION("IF(REGEXMATCH(VLOOKUP(A23, RAW_Data!B:BZ, 29, FALSE), ""Trouble""), ""Yes"", ""No"")"),"Yes")</f>
        <v>Yes</v>
      </c>
      <c r="M23" s="46" t="str">
        <f>IFERROR(__xludf.DUMMYFUNCTION("IF(REGEXMATCH(VLOOKUP(A23, RAW_Data!B:BZ, 29, FALSE), ""MRC""), ""Yes"", ""No"")"),"No")</f>
        <v>No</v>
      </c>
      <c r="N23" s="48" t="str">
        <f>VLOOKUP(A23, RAW_Data!B:Z, 12, FALSE)</f>
        <v>Rwano, Guy Fremin</v>
      </c>
      <c r="O23" s="52" t="s">
        <v>1459</v>
      </c>
    </row>
    <row r="24">
      <c r="A24" s="45" t="str">
        <f>IFERROR(__xludf.DUMMYFUNCTION("""COMPUTED_VALUE"""),"Deschineau, Shelsey Ann")</f>
        <v>Deschineau, Shelsey Ann</v>
      </c>
      <c r="B24" s="46" t="str">
        <f>VLOOKUP(A24, RAW_Data!B:Z, 4, FALSE)</f>
        <v>Active</v>
      </c>
      <c r="C24" s="47">
        <f>VLOOKUP(A24, RAW_Data!B:Z, 10, FALSE)</f>
        <v>4</v>
      </c>
      <c r="D24" s="46" t="str">
        <f>VLOOKUP(A24, RAW_Data!B:Z, 9, FALSE)</f>
        <v>Bilingual-French</v>
      </c>
      <c r="E24" s="48" t="str">
        <f>IFERROR(__xludf.DUMMYFUNCTION("LET(
  x, IFERROR(VLOOKUP(A24, RAW_Data!B:BZ, 61, FALSE), """"),
  IFS(
    REGEXMATCH(x, ""Morning""), ""Day"",
    REGEXMATCH(x, ""Evening""), ""Evening"",
    REGEXMATCH(x, ""Night""), ""Night"",
    x="""", """",
    TRUE, ""Variable""
  )
)"),"Day")</f>
        <v>Day</v>
      </c>
      <c r="F24" s="46" t="str">
        <f>VLOOKUP(A24, RAW_Data!B:Z, 8, FALSE)</f>
        <v>Montreal</v>
      </c>
      <c r="G24" s="46" t="str">
        <f>VLOOKUP(A24, RAW_Data!B:Z, 2, FALSE)</f>
        <v>T966528</v>
      </c>
      <c r="H24" s="46" t="str">
        <f>VLOOKUP(A24, RAW_Data!B:Z, 18, FALSE)</f>
        <v>M0099</v>
      </c>
      <c r="I24" s="46">
        <f>VLOOKUP(A24, RAW_Data!B:Z, 20, FALSE)</f>
        <v>100966528</v>
      </c>
      <c r="J24" s="46">
        <f>VLOOKUP(A24, RAW_Data!B:Z, 24, FALSE)</f>
        <v>1066475</v>
      </c>
      <c r="K24" s="46" t="str">
        <f>IFERROR(__xludf.DUMMYFUNCTION("IF(REGEXMATCH(VLOOKUP(A24, RAW_Data!B:BZ, 29, FALSE), ""Smart""), ""Yes"", ""No"")"),"No")</f>
        <v>No</v>
      </c>
      <c r="L24" s="46" t="str">
        <f>IFERROR(__xludf.DUMMYFUNCTION("IF(REGEXMATCH(VLOOKUP(A24, RAW_Data!B:BZ, 29, FALSE), ""Trouble""), ""Yes"", ""No"")"),"Yes")</f>
        <v>Yes</v>
      </c>
      <c r="M24" s="46" t="str">
        <f>IFERROR(__xludf.DUMMYFUNCTION("IF(REGEXMATCH(VLOOKUP(A24, RAW_Data!B:BZ, 29, FALSE), ""MRC""), ""Yes"", ""No"")"),"No")</f>
        <v>No</v>
      </c>
      <c r="N24" s="48" t="str">
        <f>VLOOKUP(A24, RAW_Data!B:Z, 12, FALSE)</f>
        <v>Diegue, Kerry</v>
      </c>
      <c r="O24" s="52" t="s">
        <v>412</v>
      </c>
    </row>
    <row r="25">
      <c r="A25" s="45" t="str">
        <f>IFERROR(__xludf.DUMMYFUNCTION("""COMPUTED_VALUE"""),"Desjardins, Lucie")</f>
        <v>Desjardins, Lucie</v>
      </c>
      <c r="B25" s="46" t="str">
        <f>VLOOKUP(A25, RAW_Data!B:Z, 4, FALSE)</f>
        <v>Active</v>
      </c>
      <c r="C25" s="47">
        <f>VLOOKUP(A25, RAW_Data!B:Z, 10, FALSE)</f>
        <v>4</v>
      </c>
      <c r="D25" s="46" t="str">
        <f>VLOOKUP(A25, RAW_Data!B:Z, 9, FALSE)</f>
        <v>Bilingual-French</v>
      </c>
      <c r="E25" s="48" t="str">
        <f>IFERROR(__xludf.DUMMYFUNCTION("LET(
  x, IFERROR(VLOOKUP(A25, RAW_Data!B:BZ, 61, FALSE), """"),
  IFS(
    REGEXMATCH(x, ""Morning""), ""Day"",
    REGEXMATCH(x, ""Evening""), ""Evening"",
    REGEXMATCH(x, ""Night""), ""Night"",
    x="""", """",
    TRUE, ""Variable""
  )
)"),"Day")</f>
        <v>Day</v>
      </c>
      <c r="F25" s="46" t="str">
        <f>VLOOKUP(A25, RAW_Data!B:Z, 8, FALSE)</f>
        <v>Montreal</v>
      </c>
      <c r="G25" s="46" t="str">
        <f>VLOOKUP(A25, RAW_Data!B:Z, 2, FALSE)</f>
        <v>T956365</v>
      </c>
      <c r="H25" s="46" t="str">
        <f>VLOOKUP(A25, RAW_Data!B:Z, 18, FALSE)</f>
        <v>M0100</v>
      </c>
      <c r="I25" s="46">
        <f>VLOOKUP(A25, RAW_Data!B:Z, 20, FALSE)</f>
        <v>100956365</v>
      </c>
      <c r="J25" s="46">
        <f>VLOOKUP(A25, RAW_Data!B:Z, 24, FALSE)</f>
        <v>1066097</v>
      </c>
      <c r="K25" s="46" t="str">
        <f>IFERROR(__xludf.DUMMYFUNCTION("IF(REGEXMATCH(VLOOKUP(A25, RAW_Data!B:BZ, 29, FALSE), ""Smart""), ""Yes"", ""No"")"),"No")</f>
        <v>No</v>
      </c>
      <c r="L25" s="46" t="str">
        <f>IFERROR(__xludf.DUMMYFUNCTION("IF(REGEXMATCH(VLOOKUP(A25, RAW_Data!B:BZ, 29, FALSE), ""Trouble""), ""Yes"", ""No"")"),"No")</f>
        <v>No</v>
      </c>
      <c r="M25" s="46" t="str">
        <f>IFERROR(__xludf.DUMMYFUNCTION("IF(REGEXMATCH(VLOOKUP(A25, RAW_Data!B:BZ, 29, FALSE), ""MRC""), ""Yes"", ""No"")"),"No")</f>
        <v>No</v>
      </c>
      <c r="N25" s="48" t="str">
        <f>VLOOKUP(A25, RAW_Data!B:Z, 12, FALSE)</f>
        <v>Kollias, Peter</v>
      </c>
      <c r="O25" s="45" t="s">
        <v>426</v>
      </c>
    </row>
    <row r="26">
      <c r="A26" s="45" t="str">
        <f>IFERROR(__xludf.DUMMYFUNCTION("""COMPUTED_VALUE"""),"Di Tullio, Donato")</f>
        <v>Di Tullio, Donato</v>
      </c>
      <c r="B26" s="46" t="str">
        <f>VLOOKUP(A26, RAW_Data!B:Z, 4, FALSE)</f>
        <v>Active</v>
      </c>
      <c r="C26" s="47">
        <f>VLOOKUP(A26, RAW_Data!B:Z, 10, FALSE)</f>
        <v>2</v>
      </c>
      <c r="D26" s="46" t="str">
        <f>VLOOKUP(A26, RAW_Data!B:Z, 9, FALSE)</f>
        <v>Bilingual-French</v>
      </c>
      <c r="E26" s="48" t="str">
        <f>IFERROR(__xludf.DUMMYFUNCTION("LET(
  x, IFERROR(VLOOKUP(A26,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26" s="46" t="str">
        <f>VLOOKUP(A26, RAW_Data!B:Z, 8, FALSE)</f>
        <v>Montreal</v>
      </c>
      <c r="G26" s="46" t="str">
        <f>VLOOKUP(A26, RAW_Data!B:Z, 2, FALSE)</f>
        <v>T773558</v>
      </c>
      <c r="H26" s="46" t="str">
        <f>VLOOKUP(A26, RAW_Data!B:Z, 18, FALSE)</f>
        <v>M0510</v>
      </c>
      <c r="I26" s="46">
        <f>VLOOKUP(A26, RAW_Data!B:Z, 20, FALSE)</f>
        <v>100773558</v>
      </c>
      <c r="J26" s="46">
        <f>VLOOKUP(A26, RAW_Data!B:Z, 24, FALSE)</f>
        <v>1060060</v>
      </c>
      <c r="K26" s="46" t="str">
        <f>IFERROR(__xludf.DUMMYFUNCTION("IF(REGEXMATCH(VLOOKUP(A26, RAW_Data!B:BZ, 29, FALSE), ""Smart""), ""Yes"", ""No"")"),"No")</f>
        <v>No</v>
      </c>
      <c r="L26" s="46" t="str">
        <f>IFERROR(__xludf.DUMMYFUNCTION("IF(REGEXMATCH(VLOOKUP(A26, RAW_Data!B:BZ, 29, FALSE), ""Trouble""), ""Yes"", ""No"")"),"No")</f>
        <v>No</v>
      </c>
      <c r="M26" s="46" t="str">
        <f>IFERROR(__xludf.DUMMYFUNCTION("IF(REGEXMATCH(VLOOKUP(A26, RAW_Data!B:BZ, 29, FALSE), ""MRC""), ""Yes"", ""No"")"),"No")</f>
        <v>No</v>
      </c>
      <c r="N26" s="48" t="str">
        <f>VLOOKUP(A26, RAW_Data!B:Z, 12, FALSE)</f>
        <v>Herrati, Houcine</v>
      </c>
      <c r="O26" s="50" t="s">
        <v>440</v>
      </c>
    </row>
    <row r="27">
      <c r="A27" s="45" t="str">
        <f>IFERROR(__xludf.DUMMYFUNCTION("""COMPUTED_VALUE"""),"Drame, Abdoulaye")</f>
        <v>Drame, Abdoulaye</v>
      </c>
      <c r="B27" s="46" t="str">
        <f>VLOOKUP(A27, RAW_Data!B:Z, 4, FALSE)</f>
        <v>Active</v>
      </c>
      <c r="C27" s="47">
        <f>VLOOKUP(A27, RAW_Data!B:Z, 10, FALSE)</f>
        <v>2</v>
      </c>
      <c r="D27" s="46" t="str">
        <f>VLOOKUP(A27, RAW_Data!B:Z, 9, FALSE)</f>
        <v>Bilingual-French</v>
      </c>
      <c r="E27" s="48" t="str">
        <f>IFERROR(__xludf.DUMMYFUNCTION("LET(
  x, IFERROR(VLOOKUP(A27,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27" s="46" t="str">
        <f>VLOOKUP(A27, RAW_Data!B:Z, 8, FALSE)</f>
        <v>Ottawa</v>
      </c>
      <c r="G27" s="46" t="str">
        <f>VLOOKUP(A27, RAW_Data!B:Z, 2, FALSE)</f>
        <v>T773665</v>
      </c>
      <c r="H27" s="46" t="str">
        <f>VLOOKUP(A27, RAW_Data!B:Z, 18, FALSE)</f>
        <v>M0514</v>
      </c>
      <c r="I27" s="46">
        <f>VLOOKUP(A27, RAW_Data!B:Z, 20, FALSE)</f>
        <v>100773665</v>
      </c>
      <c r="J27" s="46">
        <f>VLOOKUP(A27, RAW_Data!B:Z, 24, FALSE)</f>
        <v>1060063</v>
      </c>
      <c r="K27" s="46" t="str">
        <f>IFERROR(__xludf.DUMMYFUNCTION("IF(REGEXMATCH(VLOOKUP(A27, RAW_Data!B:BZ, 29, FALSE), ""Smart""), ""Yes"", ""No"")"),"No")</f>
        <v>No</v>
      </c>
      <c r="L27" s="46" t="str">
        <f>IFERROR(__xludf.DUMMYFUNCTION("IF(REGEXMATCH(VLOOKUP(A27, RAW_Data!B:BZ, 29, FALSE), ""Trouble""), ""Yes"", ""No"")"),"No")</f>
        <v>No</v>
      </c>
      <c r="M27" s="46" t="str">
        <f>IFERROR(__xludf.DUMMYFUNCTION("IF(REGEXMATCH(VLOOKUP(A27, RAW_Data!B:BZ, 29, FALSE), ""MRC""), ""Yes"", ""No"")"),"No")</f>
        <v>No</v>
      </c>
      <c r="N27" s="48" t="str">
        <f>VLOOKUP(A27, RAW_Data!B:Z, 12, FALSE)</f>
        <v>Dhindsa, Sukhjinder</v>
      </c>
      <c r="O27" s="45" t="s">
        <v>489</v>
      </c>
    </row>
    <row r="28">
      <c r="A28" s="45" t="str">
        <f>IFERROR(__xludf.DUMMYFUNCTION("""COMPUTED_VALUE"""),"Dupuis, Joanie")</f>
        <v>Dupuis, Joanie</v>
      </c>
      <c r="B28" s="46" t="str">
        <f>VLOOKUP(A28, RAW_Data!B:Z, 4, FALSE)</f>
        <v>Active</v>
      </c>
      <c r="C28" s="47">
        <f>VLOOKUP(A28, RAW_Data!B:Z, 10, FALSE)</f>
        <v>4</v>
      </c>
      <c r="D28" s="46" t="str">
        <f>VLOOKUP(A28, RAW_Data!B:Z, 9, FALSE)</f>
        <v>Bilingual-French</v>
      </c>
      <c r="E28" s="48" t="str">
        <f>IFERROR(__xludf.DUMMYFUNCTION("LET(
  x, IFERROR(VLOOKUP(A28, RAW_Data!B:BZ, 61, FALSE), """"),
  IFS(
    REGEXMATCH(x, ""Morning""), ""Day"",
    REGEXMATCH(x, ""Evening""), ""Evening"",
    REGEXMATCH(x, ""Night""), ""Night"",
    x="""", """",
    TRUE, ""Variable""
  )
)"),"Day")</f>
        <v>Day</v>
      </c>
      <c r="F28" s="46" t="str">
        <f>VLOOKUP(A28, RAW_Data!B:Z, 8, FALSE)</f>
        <v>Montreal</v>
      </c>
      <c r="G28" s="46" t="str">
        <f>VLOOKUP(A28, RAW_Data!B:Z, 2, FALSE)</f>
        <v>T956521</v>
      </c>
      <c r="H28" s="46" t="str">
        <f>VLOOKUP(A28, RAW_Data!B:Z, 18, FALSE)</f>
        <v>M0107</v>
      </c>
      <c r="I28" s="46">
        <f>VLOOKUP(A28, RAW_Data!B:Z, 20, FALSE)</f>
        <v>100956521</v>
      </c>
      <c r="J28" s="46">
        <f>VLOOKUP(A28, RAW_Data!B:Z, 24, FALSE)</f>
        <v>1067025</v>
      </c>
      <c r="K28" s="46" t="str">
        <f>IFERROR(__xludf.DUMMYFUNCTION("IF(REGEXMATCH(VLOOKUP(A28, RAW_Data!B:BZ, 29, FALSE), ""Smart""), ""Yes"", ""No"")"),"Yes")</f>
        <v>Yes</v>
      </c>
      <c r="L28" s="46" t="str">
        <f>IFERROR(__xludf.DUMMYFUNCTION("IF(REGEXMATCH(VLOOKUP(A28, RAW_Data!B:BZ, 29, FALSE), ""Trouble""), ""Yes"", ""No"")"),"Yes")</f>
        <v>Yes</v>
      </c>
      <c r="M28" s="46" t="str">
        <f>IFERROR(__xludf.DUMMYFUNCTION("IF(REGEXMATCH(VLOOKUP(A28, RAW_Data!B:BZ, 29, FALSE), ""MRC""), ""Yes"", ""No"")"),"No")</f>
        <v>No</v>
      </c>
      <c r="N28" s="48" t="str">
        <f>VLOOKUP(A28, RAW_Data!B:Z, 12, FALSE)</f>
        <v>Diegue, Kerry</v>
      </c>
      <c r="O28" s="45" t="s">
        <v>497</v>
      </c>
    </row>
    <row r="29">
      <c r="A29" s="45" t="str">
        <f>IFERROR(__xludf.DUMMYFUNCTION("""COMPUTED_VALUE"""),"El Hafsi, Hamza")</f>
        <v>El Hafsi, Hamza</v>
      </c>
      <c r="B29" s="46" t="str">
        <f>VLOOKUP(A29, RAW_Data!B:Z, 4, FALSE)</f>
        <v>Active</v>
      </c>
      <c r="C29" s="47">
        <f>VLOOKUP(A29, RAW_Data!B:Z, 10, FALSE)</f>
        <v>2</v>
      </c>
      <c r="D29" s="46" t="str">
        <f>VLOOKUP(A29, RAW_Data!B:Z, 9, FALSE)</f>
        <v>French</v>
      </c>
      <c r="E29" s="48" t="str">
        <f>IFERROR(__xludf.DUMMYFUNCTION("LET(
  x, IFERROR(VLOOKUP(A29, RAW_Data!B:BZ, 61, FALSE), """"),
  IFS(
    REGEXMATCH(x, ""Morning""), ""Day"",
    REGEXMATCH(x, ""Evening""), ""Evening"",
    REGEXMATCH(x, ""Night""), ""Night"",
    x="""", """",
    TRUE, ""Variable""
  )
)"),"Night")</f>
        <v>Night</v>
      </c>
      <c r="F29" s="46" t="str">
        <f>VLOOKUP(A29, RAW_Data!B:Z, 8, FALSE)</f>
        <v>Remote Area</v>
      </c>
      <c r="G29" s="46" t="str">
        <f>VLOOKUP(A29, RAW_Data!B:Z, 2, FALSE)</f>
        <v>T996928</v>
      </c>
      <c r="H29" s="46" t="str">
        <f>VLOOKUP(A29, RAW_Data!B:Z, 18, FALSE)</f>
        <v>M0109</v>
      </c>
      <c r="I29" s="46">
        <f>VLOOKUP(A29, RAW_Data!B:Z, 20, FALSE)</f>
        <v>100996928</v>
      </c>
      <c r="J29" s="46">
        <f>VLOOKUP(A29, RAW_Data!B:Z, 24, FALSE)</f>
        <v>1060028</v>
      </c>
      <c r="K29" s="46" t="str">
        <f>IFERROR(__xludf.DUMMYFUNCTION("IF(REGEXMATCH(VLOOKUP(A29, RAW_Data!B:BZ, 29, FALSE), ""Smart""), ""Yes"", ""No"")"),"No")</f>
        <v>No</v>
      </c>
      <c r="L29" s="46" t="str">
        <f>IFERROR(__xludf.DUMMYFUNCTION("IF(REGEXMATCH(VLOOKUP(A29, RAW_Data!B:BZ, 29, FALSE), ""Trouble""), ""Yes"", ""No"")"),"No")</f>
        <v>No</v>
      </c>
      <c r="M29" s="46" t="str">
        <f>IFERROR(__xludf.DUMMYFUNCTION("IF(REGEXMATCH(VLOOKUP(A29, RAW_Data!B:BZ, 29, FALSE), ""MRC""), ""Yes"", ""No"")"),"No")</f>
        <v>No</v>
      </c>
      <c r="N29" s="48" t="str">
        <f>VLOOKUP(A29, RAW_Data!B:Z, 12, FALSE)</f>
        <v>Diegue, Kerry</v>
      </c>
      <c r="O29" s="45" t="s">
        <v>515</v>
      </c>
    </row>
    <row r="30">
      <c r="A30" s="45" t="str">
        <f>IFERROR(__xludf.DUMMYFUNCTION("""COMPUTED_VALUE"""),"Fakhfakh, Souleymen")</f>
        <v>Fakhfakh, Souleymen</v>
      </c>
      <c r="B30" s="46" t="str">
        <f>VLOOKUP(A30, RAW_Data!B:Z, 4, FALSE)</f>
        <v>Active</v>
      </c>
      <c r="C30" s="47">
        <f>VLOOKUP(A30, RAW_Data!B:Z, 10, FALSE)</f>
        <v>4</v>
      </c>
      <c r="D30" s="46" t="str">
        <f>VLOOKUP(A30, RAW_Data!B:Z, 9, FALSE)</f>
        <v>French</v>
      </c>
      <c r="E30" s="48" t="str">
        <f>IFERROR(__xludf.DUMMYFUNCTION("LET(
  x, IFERROR(VLOOKUP(A30,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30" s="46" t="str">
        <f>VLOOKUP(A30, RAW_Data!B:Z, 8, FALSE)</f>
        <v>Remote Area</v>
      </c>
      <c r="G30" s="46" t="str">
        <f>VLOOKUP(A30, RAW_Data!B:Z, 2, FALSE)</f>
        <v>T995918</v>
      </c>
      <c r="H30" s="46" t="str">
        <f>VLOOKUP(A30, RAW_Data!B:Z, 18, FALSE)</f>
        <v>M0111</v>
      </c>
      <c r="I30" s="46">
        <f>VLOOKUP(A30, RAW_Data!B:Z, 20, FALSE)</f>
        <v>100995918</v>
      </c>
      <c r="J30" s="46">
        <f>VLOOKUP(A30, RAW_Data!B:Z, 24, FALSE)</f>
        <v>1110128</v>
      </c>
      <c r="K30" s="46" t="str">
        <f>IFERROR(__xludf.DUMMYFUNCTION("IF(REGEXMATCH(VLOOKUP(A30, RAW_Data!B:BZ, 29, FALSE), ""Smart""), ""Yes"", ""No"")"),"No")</f>
        <v>No</v>
      </c>
      <c r="L30" s="46" t="str">
        <f>IFERROR(__xludf.DUMMYFUNCTION("IF(REGEXMATCH(VLOOKUP(A30, RAW_Data!B:BZ, 29, FALSE), ""Trouble""), ""Yes"", ""No"")"),"Yes")</f>
        <v>Yes</v>
      </c>
      <c r="M30" s="46" t="str">
        <f>IFERROR(__xludf.DUMMYFUNCTION("IF(REGEXMATCH(VLOOKUP(A30, RAW_Data!B:BZ, 29, FALSE), ""MRC""), ""Yes"", ""No"")"),"No")</f>
        <v>No</v>
      </c>
      <c r="N30" s="48" t="str">
        <f>VLOOKUP(A30, RAW_Data!B:Z, 12, FALSE)</f>
        <v>Diegue, Kerry</v>
      </c>
      <c r="O30" s="45" t="s">
        <v>526</v>
      </c>
    </row>
    <row r="31">
      <c r="A31" s="45" t="str">
        <f>IFERROR(__xludf.DUMMYFUNCTION("""COMPUTED_VALUE"""),"Flanagan-Fortin, Shawn")</f>
        <v>Flanagan-Fortin, Shawn</v>
      </c>
      <c r="B31" s="46" t="str">
        <f>VLOOKUP(A31, RAW_Data!B:Z, 4, FALSE)</f>
        <v>Active</v>
      </c>
      <c r="C31" s="47">
        <f>VLOOKUP(A31, RAW_Data!B:Z, 10, FALSE)</f>
        <v>4</v>
      </c>
      <c r="D31" s="46" t="str">
        <f>VLOOKUP(A31, RAW_Data!B:Z, 9, FALSE)</f>
        <v>English</v>
      </c>
      <c r="E31" s="48" t="str">
        <f>IFERROR(__xludf.DUMMYFUNCTION("LET(
  x, IFERROR(VLOOKUP(A31,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31" s="46" t="str">
        <f>VLOOKUP(A31, RAW_Data!B:Z, 8, FALSE)</f>
        <v>Vancouver</v>
      </c>
      <c r="G31" s="46" t="str">
        <f>VLOOKUP(A31, RAW_Data!B:Z, 2, FALSE)</f>
        <v>T967974</v>
      </c>
      <c r="H31" s="46" t="str">
        <f>VLOOKUP(A31, RAW_Data!B:Z, 18, FALSE)</f>
        <v>M0113</v>
      </c>
      <c r="I31" s="46">
        <f>VLOOKUP(A31, RAW_Data!B:Z, 20, FALSE)</f>
        <v>100967974</v>
      </c>
      <c r="J31" s="46">
        <f>VLOOKUP(A31, RAW_Data!B:Z, 24, FALSE)</f>
        <v>1067360</v>
      </c>
      <c r="K31" s="46" t="str">
        <f>IFERROR(__xludf.DUMMYFUNCTION("IF(REGEXMATCH(VLOOKUP(A31, RAW_Data!B:BZ, 29, FALSE), ""Smart""), ""Yes"", ""No"")"),"Yes")</f>
        <v>Yes</v>
      </c>
      <c r="L31" s="46" t="str">
        <f>IFERROR(__xludf.DUMMYFUNCTION("IF(REGEXMATCH(VLOOKUP(A31, RAW_Data!B:BZ, 29, FALSE), ""Trouble""), ""Yes"", ""No"")"),"No")</f>
        <v>No</v>
      </c>
      <c r="M31" s="46" t="str">
        <f>IFERROR(__xludf.DUMMYFUNCTION("IF(REGEXMATCH(VLOOKUP(A31, RAW_Data!B:BZ, 29, FALSE), ""MRC""), ""Yes"", ""No"")"),"Yes")</f>
        <v>Yes</v>
      </c>
      <c r="N31" s="48" t="str">
        <f>VLOOKUP(A31, RAW_Data!B:Z, 12, FALSE)</f>
        <v>Dhindsa, Sukhjinder</v>
      </c>
      <c r="O31" s="45" t="s">
        <v>538</v>
      </c>
    </row>
    <row r="32">
      <c r="A32" s="45" t="str">
        <f>IFERROR(__xludf.DUMMYFUNCTION("""COMPUTED_VALUE"""),"Gabriel, Gamelyn")</f>
        <v>Gabriel, Gamelyn</v>
      </c>
      <c r="B32" s="46" t="str">
        <f>VLOOKUP(A32, RAW_Data!B:Z, 4, FALSE)</f>
        <v>Active</v>
      </c>
      <c r="C32" s="47">
        <f>VLOOKUP(A32, RAW_Data!B:Z, 10, FALSE)</f>
        <v>4</v>
      </c>
      <c r="D32" s="46" t="str">
        <f>VLOOKUP(A32, RAW_Data!B:Z, 9, FALSE)</f>
        <v>Bilingual-French</v>
      </c>
      <c r="E32" s="48" t="str">
        <f>IFERROR(__xludf.DUMMYFUNCTION("LET(
  x, IFERROR(VLOOKUP(A32,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32" s="46" t="str">
        <f>VLOOKUP(A32, RAW_Data!B:Z, 8, FALSE)</f>
        <v>Montreal</v>
      </c>
      <c r="G32" s="46" t="str">
        <f>VLOOKUP(A32, RAW_Data!B:Z, 2, FALSE)</f>
        <v>T955761</v>
      </c>
      <c r="H32" s="46" t="str">
        <f>VLOOKUP(A32, RAW_Data!B:Z, 18, FALSE)</f>
        <v>M0115</v>
      </c>
      <c r="I32" s="46">
        <f>VLOOKUP(A32, RAW_Data!B:Z, 20, FALSE)</f>
        <v>100955761</v>
      </c>
      <c r="J32" s="46">
        <f>VLOOKUP(A32, RAW_Data!B:Z, 24, FALSE)</f>
        <v>1066319</v>
      </c>
      <c r="K32" s="46" t="str">
        <f>IFERROR(__xludf.DUMMYFUNCTION("IF(REGEXMATCH(VLOOKUP(A32, RAW_Data!B:BZ, 29, FALSE), ""Smart""), ""Yes"", ""No"")"),"Yes")</f>
        <v>Yes</v>
      </c>
      <c r="L32" s="46" t="str">
        <f>IFERROR(__xludf.DUMMYFUNCTION("IF(REGEXMATCH(VLOOKUP(A32, RAW_Data!B:BZ, 29, FALSE), ""Trouble""), ""Yes"", ""No"")"),"Yes")</f>
        <v>Yes</v>
      </c>
      <c r="M32" s="46" t="str">
        <f>IFERROR(__xludf.DUMMYFUNCTION("IF(REGEXMATCH(VLOOKUP(A32, RAW_Data!B:BZ, 29, FALSE), ""MRC""), ""Yes"", ""No"")"),"No")</f>
        <v>No</v>
      </c>
      <c r="N32" s="48" t="str">
        <f>VLOOKUP(A32, RAW_Data!B:Z, 12, FALSE)</f>
        <v>Rwano, Guy Fremin</v>
      </c>
      <c r="O32" s="45" t="s">
        <v>553</v>
      </c>
    </row>
    <row r="33">
      <c r="A33" s="45" t="str">
        <f>IFERROR(__xludf.DUMMYFUNCTION("""COMPUTED_VALUE"""),"Gagnon, Nancy")</f>
        <v>Gagnon, Nancy</v>
      </c>
      <c r="B33" s="46" t="str">
        <f>VLOOKUP(A33, RAW_Data!B:Z, 4, FALSE)</f>
        <v>Active</v>
      </c>
      <c r="C33" s="47">
        <f>VLOOKUP(A33, RAW_Data!B:Z, 10, FALSE)</f>
        <v>4</v>
      </c>
      <c r="D33" s="46" t="str">
        <f>VLOOKUP(A33, RAW_Data!B:Z, 9, FALSE)</f>
        <v>Bilingual-French</v>
      </c>
      <c r="E33" s="48" t="str">
        <f>IFERROR(__xludf.DUMMYFUNCTION("LET(
  x, IFERROR(VLOOKUP(A33, RAW_Data!B:BZ, 61, FALSE), """"),
  IFS(
    REGEXMATCH(x, ""Morning""), ""Day"",
    REGEXMATCH(x, ""Evening""), ""Evening"",
    REGEXMATCH(x, ""Night""), ""Night"",
    x="""", """",
    TRUE, ""Variable""
  )
)"),"Night")</f>
        <v>Night</v>
      </c>
      <c r="F33" s="46" t="str">
        <f>VLOOKUP(A33, RAW_Data!B:Z, 8, FALSE)</f>
        <v>Ottawa</v>
      </c>
      <c r="G33" s="46" t="str">
        <f>VLOOKUP(A33, RAW_Data!B:Z, 2, FALSE)</f>
        <v>T966280</v>
      </c>
      <c r="H33" s="46" t="str">
        <f>VLOOKUP(A33, RAW_Data!B:Z, 18, FALSE)</f>
        <v>M0116</v>
      </c>
      <c r="I33" s="46">
        <f>VLOOKUP(A33, RAW_Data!B:Z, 20, FALSE)</f>
        <v>44370265</v>
      </c>
      <c r="J33" s="46">
        <f>VLOOKUP(A33, RAW_Data!B:Z, 24, FALSE)</f>
        <v>1066465</v>
      </c>
      <c r="K33" s="46" t="str">
        <f>IFERROR(__xludf.DUMMYFUNCTION("IF(REGEXMATCH(VLOOKUP(A33, RAW_Data!B:BZ, 29, FALSE), ""Smart""), ""Yes"", ""No"")"),"Yes")</f>
        <v>Yes</v>
      </c>
      <c r="L33" s="46" t="str">
        <f>IFERROR(__xludf.DUMMYFUNCTION("IF(REGEXMATCH(VLOOKUP(A33, RAW_Data!B:BZ, 29, FALSE), ""Trouble""), ""Yes"", ""No"")"),"No")</f>
        <v>No</v>
      </c>
      <c r="M33" s="46" t="str">
        <f>IFERROR(__xludf.DUMMYFUNCTION("IF(REGEXMATCH(VLOOKUP(A33, RAW_Data!B:BZ, 29, FALSE), ""MRC""), ""Yes"", ""No"")"),"Yes")</f>
        <v>Yes</v>
      </c>
      <c r="N33" s="48" t="str">
        <f>VLOOKUP(A33, RAW_Data!B:Z, 12, FALSE)</f>
        <v>Herrati, Houcine</v>
      </c>
      <c r="O33" s="45" t="s">
        <v>566</v>
      </c>
    </row>
    <row r="34">
      <c r="A34" s="45" t="str">
        <f>IFERROR(__xludf.DUMMYFUNCTION("""COMPUTED_VALUE"""),"Gil Cervino, Henrique Alexandre")</f>
        <v>Gil Cervino, Henrique Alexandre</v>
      </c>
      <c r="B34" s="46" t="str">
        <f>VLOOKUP(A34, RAW_Data!B:Z, 4, FALSE)</f>
        <v>Active</v>
      </c>
      <c r="C34" s="47">
        <f>VLOOKUP(A34, RAW_Data!B:Z, 10, FALSE)</f>
        <v>4</v>
      </c>
      <c r="D34" s="46" t="str">
        <f>VLOOKUP(A34, RAW_Data!B:Z, 9, FALSE)</f>
        <v>Bilingual-French</v>
      </c>
      <c r="E34" s="48" t="str">
        <f>IFERROR(__xludf.DUMMYFUNCTION("LET(
  x, IFERROR(VLOOKUP(A34, RAW_Data!B:BZ, 61, FALSE), """"),
  IFS(
    REGEXMATCH(x, ""Morning""), ""Day"",
    REGEXMATCH(x, ""Evening""), ""Evening"",
    REGEXMATCH(x, ""Night""), ""Night"",
    x="""", """",
    TRUE, ""Variable""
  )
)"),"Day")</f>
        <v>Day</v>
      </c>
      <c r="F34" s="46" t="str">
        <f>VLOOKUP(A34, RAW_Data!B:Z, 8, FALSE)</f>
        <v>Montreal</v>
      </c>
      <c r="G34" s="46" t="str">
        <f>VLOOKUP(A34, RAW_Data!B:Z, 2, FALSE)</f>
        <v>T960919</v>
      </c>
      <c r="H34" s="46" t="str">
        <f>VLOOKUP(A34, RAW_Data!B:Z, 18, FALSE)</f>
        <v>M0120</v>
      </c>
      <c r="I34" s="46">
        <f>VLOOKUP(A34, RAW_Data!B:Z, 20, FALSE)</f>
        <v>100960919</v>
      </c>
      <c r="J34" s="46">
        <f>VLOOKUP(A34, RAW_Data!B:Z, 24, FALSE)</f>
        <v>1066723</v>
      </c>
      <c r="K34" s="46" t="str">
        <f>IFERROR(__xludf.DUMMYFUNCTION("IF(REGEXMATCH(VLOOKUP(A34, RAW_Data!B:BZ, 29, FALSE), ""Smart""), ""Yes"", ""No"")"),"Yes")</f>
        <v>Yes</v>
      </c>
      <c r="L34" s="46" t="str">
        <f>IFERROR(__xludf.DUMMYFUNCTION("IF(REGEXMATCH(VLOOKUP(A34, RAW_Data!B:BZ, 29, FALSE), ""Trouble""), ""Yes"", ""No"")"),"Yes")</f>
        <v>Yes</v>
      </c>
      <c r="M34" s="46" t="str">
        <f>IFERROR(__xludf.DUMMYFUNCTION("IF(REGEXMATCH(VLOOKUP(A34, RAW_Data!B:BZ, 29, FALSE), ""MRC""), ""Yes"", ""No"")"),"No")</f>
        <v>No</v>
      </c>
      <c r="N34" s="48" t="str">
        <f>VLOOKUP(A34, RAW_Data!B:Z, 12, FALSE)</f>
        <v>Dhindsa, Sukhjinder</v>
      </c>
      <c r="O34" s="45" t="s">
        <v>579</v>
      </c>
    </row>
    <row r="35">
      <c r="A35" s="45" t="str">
        <f>IFERROR(__xludf.DUMMYFUNCTION("""COMPUTED_VALUE"""),"Ginete, Maricel")</f>
        <v>Ginete, Maricel</v>
      </c>
      <c r="B35" s="46" t="str">
        <f>VLOOKUP(A35, RAW_Data!B:Z, 4, FALSE)</f>
        <v>Active</v>
      </c>
      <c r="C35" s="47">
        <f>VLOOKUP(A35, RAW_Data!B:Z, 10, FALSE)</f>
        <v>1</v>
      </c>
      <c r="D35" s="46" t="str">
        <f>VLOOKUP(A35, RAW_Data!B:Z, 9, FALSE)</f>
        <v>English</v>
      </c>
      <c r="E35" s="48" t="str">
        <f>IFERROR(__xludf.DUMMYFUNCTION("LET(
  x, IFERROR(VLOOKUP(A35, RAW_Data!B:BZ, 61, FALSE), """"),
  IFS(
    REGEXMATCH(x, ""Morning""), ""Day"",
    REGEXMATCH(x, ""Evening""), ""Evening"",
    REGEXMATCH(x, ""Night""), ""Night"",
    x="""", """",
    TRUE, ""Variable""
  )
)"),"")</f>
        <v/>
      </c>
      <c r="F35" s="46" t="str">
        <f>VLOOKUP(A35, RAW_Data!B:Z, 8, FALSE)</f>
        <v>Calgary</v>
      </c>
      <c r="G35" s="46" t="str">
        <f>VLOOKUP(A35, RAW_Data!B:Z, 2, FALSE)</f>
        <v>T6001432</v>
      </c>
      <c r="H35" s="46" t="str">
        <f>VLOOKUP(A35, RAW_Data!B:Z, 18, FALSE)</f>
        <v>M0538</v>
      </c>
      <c r="I35" s="46">
        <f>VLOOKUP(A35, RAW_Data!B:Z, 20, FALSE)</f>
        <v>106001432</v>
      </c>
      <c r="J35" s="46">
        <f>VLOOKUP(A35, RAW_Data!B:Z, 24, FALSE)</f>
        <v>1060008</v>
      </c>
      <c r="K35" s="46" t="str">
        <f>IFERROR(__xludf.DUMMYFUNCTION("IF(REGEXMATCH(VLOOKUP(A35, RAW_Data!B:BZ, 29, FALSE), ""Smart""), ""Yes"", ""No"")"),"No")</f>
        <v>No</v>
      </c>
      <c r="L35" s="46" t="str">
        <f>IFERROR(__xludf.DUMMYFUNCTION("IF(REGEXMATCH(VLOOKUP(A35, RAW_Data!B:BZ, 29, FALSE), ""Trouble""), ""Yes"", ""No"")"),"No")</f>
        <v>No</v>
      </c>
      <c r="M35" s="46" t="str">
        <f>IFERROR(__xludf.DUMMYFUNCTION("IF(REGEXMATCH(VLOOKUP(A35, RAW_Data!B:BZ, 29, FALSE), ""MRC""), ""Yes"", ""No"")"),"No")</f>
        <v>No</v>
      </c>
      <c r="N35" s="48" t="str">
        <f>VLOOKUP(A35, RAW_Data!B:Z, 12, FALSE)</f>
        <v>Coghiel, Caren</v>
      </c>
      <c r="O35" s="31" t="s">
        <v>591</v>
      </c>
    </row>
    <row r="36">
      <c r="A36" s="45" t="str">
        <f>IFERROR(__xludf.DUMMYFUNCTION("""COMPUTED_VALUE"""),"Guzman, Alexandre")</f>
        <v>Guzman, Alexandre</v>
      </c>
      <c r="B36" s="46" t="str">
        <f>VLOOKUP(A36, RAW_Data!B:Z, 4, FALSE)</f>
        <v>Active</v>
      </c>
      <c r="C36" s="47">
        <f>VLOOKUP(A36, RAW_Data!B:Z, 10, FALSE)</f>
        <v>2</v>
      </c>
      <c r="D36" s="46" t="str">
        <f>VLOOKUP(A36, RAW_Data!B:Z, 9, FALSE)</f>
        <v>Bilingual-French</v>
      </c>
      <c r="E36" s="48" t="str">
        <f>IFERROR(__xludf.DUMMYFUNCTION("LET(
  x, IFERROR(VLOOKUP(A36,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36" s="46" t="str">
        <f>VLOOKUP(A36, RAW_Data!B:Z, 8, FALSE)</f>
        <v>Montreal</v>
      </c>
      <c r="G36" s="46" t="str">
        <f>VLOOKUP(A36, RAW_Data!B:Z, 2, FALSE)</f>
        <v>T773718</v>
      </c>
      <c r="H36" s="46" t="str">
        <f>VLOOKUP(A36, RAW_Data!B:Z, 18, FALSE)</f>
        <v>M0515</v>
      </c>
      <c r="I36" s="46">
        <f>VLOOKUP(A36, RAW_Data!B:Z, 20, FALSE)</f>
        <v>100773718</v>
      </c>
      <c r="J36" s="46">
        <f>VLOOKUP(A36, RAW_Data!B:Z, 24, FALSE)</f>
        <v>1060064</v>
      </c>
      <c r="K36" s="46" t="str">
        <f>IFERROR(__xludf.DUMMYFUNCTION("IF(REGEXMATCH(VLOOKUP(A36, RAW_Data!B:BZ, 29, FALSE), ""Smart""), ""Yes"", ""No"")"),"No")</f>
        <v>No</v>
      </c>
      <c r="L36" s="46" t="str">
        <f>IFERROR(__xludf.DUMMYFUNCTION("IF(REGEXMATCH(VLOOKUP(A36, RAW_Data!B:BZ, 29, FALSE), ""Trouble""), ""Yes"", ""No"")"),"Yes")</f>
        <v>Yes</v>
      </c>
      <c r="M36" s="46" t="str">
        <f>IFERROR(__xludf.DUMMYFUNCTION("IF(REGEXMATCH(VLOOKUP(A36, RAW_Data!B:BZ, 29, FALSE), ""MRC""), ""Yes"", ""No"")"),"No")</f>
        <v>No</v>
      </c>
      <c r="N36" s="48" t="str">
        <f>VLOOKUP(A36, RAW_Data!B:Z, 12, FALSE)</f>
        <v>Herrati, Houcine</v>
      </c>
      <c r="O36" s="45" t="s">
        <v>599</v>
      </c>
    </row>
    <row r="37">
      <c r="A37" s="45" t="str">
        <f>IFERROR(__xludf.DUMMYFUNCTION("""COMPUTED_VALUE"""),"Herbst, Emily")</f>
        <v>Herbst, Emily</v>
      </c>
      <c r="B37" s="46" t="str">
        <f>VLOOKUP(A37, RAW_Data!B:Z, 4, FALSE)</f>
        <v>Active</v>
      </c>
      <c r="C37" s="47">
        <f>VLOOKUP(A37, RAW_Data!B:Z, 10, FALSE)</f>
        <v>4</v>
      </c>
      <c r="D37" s="46" t="str">
        <f>VLOOKUP(A37, RAW_Data!B:Z, 9, FALSE)</f>
        <v>Bilingual-English</v>
      </c>
      <c r="E37" s="48" t="str">
        <f>IFERROR(__xludf.DUMMYFUNCTION("LET(
  x, IFERROR(VLOOKUP(A37, RAW_Data!B:BZ, 61, FALSE), """"),
  IFS(
    REGEXMATCH(x, ""Morning""), ""Day"",
    REGEXMATCH(x, ""Evening""), ""Evening"",
    REGEXMATCH(x, ""Night""), ""Night"",
    x="""", """",
    TRUE, ""Variable""
  )
)"),"Day")</f>
        <v>Day</v>
      </c>
      <c r="F37" s="46" t="str">
        <f>VLOOKUP(A37, RAW_Data!B:Z, 8, FALSE)</f>
        <v>Ottawa</v>
      </c>
      <c r="G37" s="46" t="str">
        <f>VLOOKUP(A37, RAW_Data!B:Z, 2, FALSE)</f>
        <v>T956515</v>
      </c>
      <c r="H37" s="46" t="str">
        <f>VLOOKUP(A37, RAW_Data!B:Z, 18, FALSE)</f>
        <v>M0128</v>
      </c>
      <c r="I37" s="46">
        <f>VLOOKUP(A37, RAW_Data!B:Z, 20, FALSE)</f>
        <v>100956515</v>
      </c>
      <c r="J37" s="46">
        <f>VLOOKUP(A37, RAW_Data!B:Z, 24, FALSE)</f>
        <v>1062106</v>
      </c>
      <c r="K37" s="46" t="str">
        <f>IFERROR(__xludf.DUMMYFUNCTION("IF(REGEXMATCH(VLOOKUP(A37, RAW_Data!B:BZ, 29, FALSE), ""Smart""), ""Yes"", ""No"")"),"Yes")</f>
        <v>Yes</v>
      </c>
      <c r="L37" s="46" t="str">
        <f>IFERROR(__xludf.DUMMYFUNCTION("IF(REGEXMATCH(VLOOKUP(A37, RAW_Data!B:BZ, 29, FALSE), ""Trouble""), ""Yes"", ""No"")"),"No")</f>
        <v>No</v>
      </c>
      <c r="M37" s="46" t="str">
        <f>IFERROR(__xludf.DUMMYFUNCTION("IF(REGEXMATCH(VLOOKUP(A37, RAW_Data!B:BZ, 29, FALSE), ""MRC""), ""Yes"", ""No"")"),"Yes")</f>
        <v>Yes</v>
      </c>
      <c r="N37" s="48" t="str">
        <f>VLOOKUP(A37, RAW_Data!B:Z, 12, FALSE)</f>
        <v>Rwano, Guy Fremin</v>
      </c>
      <c r="O37" s="52" t="s">
        <v>1462</v>
      </c>
    </row>
    <row r="38">
      <c r="A38" s="45" t="str">
        <f>IFERROR(__xludf.DUMMYFUNCTION("""COMPUTED_VALUE"""),"Hirst-Smith, Courtnay")</f>
        <v>Hirst-Smith, Courtnay</v>
      </c>
      <c r="B38" s="46" t="str">
        <f>VLOOKUP(A38, RAW_Data!B:Z, 4, FALSE)</f>
        <v>Active</v>
      </c>
      <c r="C38" s="47">
        <f>VLOOKUP(A38, RAW_Data!B:Z, 10, FALSE)</f>
        <v>4</v>
      </c>
      <c r="D38" s="46" t="str">
        <f>VLOOKUP(A38, RAW_Data!B:Z, 9, FALSE)</f>
        <v>Bilingual-English</v>
      </c>
      <c r="E38" s="48" t="str">
        <f>IFERROR(__xludf.DUMMYFUNCTION("LET(
  x, IFERROR(VLOOKUP(A38, RAW_Data!B:BZ, 61, FALSE), """"),
  IFS(
    REGEXMATCH(x, ""Morning""), ""Day"",
    REGEXMATCH(x, ""Evening""), ""Evening"",
    REGEXMATCH(x, ""Night""), ""Night"",
    x="""", """",
    TRUE, ""Variable""
  )
)"),"Day")</f>
        <v>Day</v>
      </c>
      <c r="F38" s="46" t="str">
        <f>VLOOKUP(A38, RAW_Data!B:Z, 8, FALSE)</f>
        <v>Prince George</v>
      </c>
      <c r="G38" s="46" t="str">
        <f>VLOOKUP(A38, RAW_Data!B:Z, 2, FALSE)</f>
        <v>T980256</v>
      </c>
      <c r="H38" s="46" t="str">
        <f>VLOOKUP(A38, RAW_Data!B:Z, 18, FALSE)</f>
        <v>M0129</v>
      </c>
      <c r="I38" s="46">
        <f>VLOOKUP(A38, RAW_Data!B:Z, 20, FALSE)</f>
        <v>100980256</v>
      </c>
      <c r="J38" s="46">
        <f>VLOOKUP(A38, RAW_Data!B:Z, 24, FALSE)</f>
        <v>1067381</v>
      </c>
      <c r="K38" s="46" t="str">
        <f>IFERROR(__xludf.DUMMYFUNCTION("IF(REGEXMATCH(VLOOKUP(A38, RAW_Data!B:BZ, 29, FALSE), ""Smart""), ""Yes"", ""No"")"),"Yes")</f>
        <v>Yes</v>
      </c>
      <c r="L38" s="46" t="str">
        <f>IFERROR(__xludf.DUMMYFUNCTION("IF(REGEXMATCH(VLOOKUP(A38, RAW_Data!B:BZ, 29, FALSE), ""Trouble""), ""Yes"", ""No"")"),"No")</f>
        <v>No</v>
      </c>
      <c r="M38" s="46" t="str">
        <f>IFERROR(__xludf.DUMMYFUNCTION("IF(REGEXMATCH(VLOOKUP(A38, RAW_Data!B:BZ, 29, FALSE), ""MRC""), ""Yes"", ""No"")"),"No")</f>
        <v>No</v>
      </c>
      <c r="N38" s="48" t="str">
        <f>VLOOKUP(A38, RAW_Data!B:Z, 12, FALSE)</f>
        <v>Gillingham, Shelley</v>
      </c>
      <c r="O38" s="45" t="s">
        <v>622</v>
      </c>
    </row>
    <row r="39">
      <c r="A39" s="45" t="str">
        <f>IFERROR(__xludf.DUMMYFUNCTION("""COMPUTED_VALUE"""),"Hirwa, Jules Adam")</f>
        <v>Hirwa, Jules Adam</v>
      </c>
      <c r="B39" s="46" t="str">
        <f>VLOOKUP(A39, RAW_Data!B:Z, 4, FALSE)</f>
        <v>Active</v>
      </c>
      <c r="C39" s="47">
        <f>VLOOKUP(A39, RAW_Data!B:Z, 10, FALSE)</f>
        <v>4</v>
      </c>
      <c r="D39" s="46" t="str">
        <f>VLOOKUP(A39, RAW_Data!B:Z, 9, FALSE)</f>
        <v>Bilingual-French</v>
      </c>
      <c r="E39" s="48" t="str">
        <f>IFERROR(__xludf.DUMMYFUNCTION("LET(
  x, IFERROR(VLOOKUP(A39, RAW_Data!B:BZ, 61, FALSE), """"),
  IFS(
    REGEXMATCH(x, ""Morning""), ""Day"",
    REGEXMATCH(x, ""Evening""), ""Evening"",
    REGEXMATCH(x, ""Night""), ""Night"",
    x="""", """",
    TRUE, ""Variable""
  )
)"),"Day")</f>
        <v>Day</v>
      </c>
      <c r="F39" s="46" t="str">
        <f>VLOOKUP(A39, RAW_Data!B:Z, 8, FALSE)</f>
        <v>Ottawa</v>
      </c>
      <c r="G39" s="46" t="str">
        <f>VLOOKUP(A39, RAW_Data!B:Z, 2, FALSE)</f>
        <v>T955723</v>
      </c>
      <c r="H39" s="46" t="str">
        <f>VLOOKUP(A39, RAW_Data!B:Z, 18, FALSE)</f>
        <v>M0130</v>
      </c>
      <c r="I39" s="46">
        <f>VLOOKUP(A39, RAW_Data!B:Z, 20, FALSE)</f>
        <v>100955723</v>
      </c>
      <c r="J39" s="46">
        <f>VLOOKUP(A39, RAW_Data!B:Z, 24, FALSE)</f>
        <v>1062322</v>
      </c>
      <c r="K39" s="46" t="str">
        <f>IFERROR(__xludf.DUMMYFUNCTION("IF(REGEXMATCH(VLOOKUP(A39, RAW_Data!B:BZ, 29, FALSE), ""Smart""), ""Yes"", ""No"")"),"Yes")</f>
        <v>Yes</v>
      </c>
      <c r="L39" s="46" t="str">
        <f>IFERROR(__xludf.DUMMYFUNCTION("IF(REGEXMATCH(VLOOKUP(A39, RAW_Data!B:BZ, 29, FALSE), ""Trouble""), ""Yes"", ""No"")"),"No")</f>
        <v>No</v>
      </c>
      <c r="M39" s="46" t="str">
        <f>IFERROR(__xludf.DUMMYFUNCTION("IF(REGEXMATCH(VLOOKUP(A39, RAW_Data!B:BZ, 29, FALSE), ""MRC""), ""Yes"", ""No"")"),"No")</f>
        <v>No</v>
      </c>
      <c r="N39" s="48" t="str">
        <f>VLOOKUP(A39, RAW_Data!B:Z, 12, FALSE)</f>
        <v>Rwano, Guy Fremin</v>
      </c>
      <c r="O39" s="45" t="s">
        <v>635</v>
      </c>
    </row>
    <row r="40">
      <c r="A40" s="45" t="str">
        <f>IFERROR(__xludf.DUMMYFUNCTION("""COMPUTED_VALUE"""),"Ho, Hong (Destiny)")</f>
        <v>Ho, Hong (Destiny)</v>
      </c>
      <c r="B40" s="46" t="str">
        <f>VLOOKUP(A40, RAW_Data!B:Z, 4, FALSE)</f>
        <v>Active</v>
      </c>
      <c r="C40" s="47">
        <f>VLOOKUP(A40, RAW_Data!B:Z, 10, FALSE)</f>
        <v>2</v>
      </c>
      <c r="D40" s="46" t="str">
        <f>VLOOKUP(A40, RAW_Data!B:Z, 9, FALSE)</f>
        <v>English</v>
      </c>
      <c r="E40" s="48" t="str">
        <f>IFERROR(__xludf.DUMMYFUNCTION("LET(
  x, IFERROR(VLOOKUP(A40, RAW_Data!B:BZ, 61, FALSE), """"),
  IFS(
    REGEXMATCH(x, ""Morning""), ""Day"",
    REGEXMATCH(x, ""Evening""), ""Evening"",
    REGEXMATCH(x, ""Night""), ""Night"",
    x="""", """",
    TRUE, ""Variable""
  )
)"),"Day")</f>
        <v>Day</v>
      </c>
      <c r="F40" s="46" t="str">
        <f>VLOOKUP(A40, RAW_Data!B:Z, 8, FALSE)</f>
        <v>Calgary</v>
      </c>
      <c r="G40" s="46" t="str">
        <f>VLOOKUP(A40, RAW_Data!B:Z, 2, FALSE)</f>
        <v>T956362</v>
      </c>
      <c r="H40" s="46" t="str">
        <f>VLOOKUP(A40, RAW_Data!B:Z, 18, FALSE)</f>
        <v>M0131</v>
      </c>
      <c r="I40" s="46">
        <f>VLOOKUP(A40, RAW_Data!B:Z, 20, FALSE)</f>
        <v>100956362</v>
      </c>
      <c r="J40" s="46">
        <f>VLOOKUP(A40, RAW_Data!B:Z, 24, FALSE)</f>
        <v>1020178</v>
      </c>
      <c r="K40" s="46" t="str">
        <f>IFERROR(__xludf.DUMMYFUNCTION("IF(REGEXMATCH(VLOOKUP(A40, RAW_Data!B:BZ, 29, FALSE), ""Smart""), ""Yes"", ""No"")"),"Yes")</f>
        <v>Yes</v>
      </c>
      <c r="L40" s="46" t="str">
        <f>IFERROR(__xludf.DUMMYFUNCTION("IF(REGEXMATCH(VLOOKUP(A40, RAW_Data!B:BZ, 29, FALSE), ""Trouble""), ""Yes"", ""No"")"),"No")</f>
        <v>No</v>
      </c>
      <c r="M40" s="46" t="str">
        <f>IFERROR(__xludf.DUMMYFUNCTION("IF(REGEXMATCH(VLOOKUP(A40, RAW_Data!B:BZ, 29, FALSE), ""MRC""), ""Yes"", ""No"")"),"No")</f>
        <v>No</v>
      </c>
      <c r="N40" s="48" t="str">
        <f>VLOOKUP(A40, RAW_Data!B:Z, 12, FALSE)</f>
        <v>Gillingham, Shelley</v>
      </c>
      <c r="O40" s="50" t="s">
        <v>1463</v>
      </c>
    </row>
    <row r="41">
      <c r="A41" s="45" t="str">
        <f>IFERROR(__xludf.DUMMYFUNCTION("""COMPUTED_VALUE"""),"Ininahazwe, Sabrina Amanda")</f>
        <v>Ininahazwe, Sabrina Amanda</v>
      </c>
      <c r="B41" s="46" t="str">
        <f>VLOOKUP(A41, RAW_Data!B:Z, 4, FALSE)</f>
        <v>Active</v>
      </c>
      <c r="C41" s="47">
        <f>VLOOKUP(A41, RAW_Data!B:Z, 10, FALSE)</f>
        <v>4</v>
      </c>
      <c r="D41" s="46" t="str">
        <f>VLOOKUP(A41, RAW_Data!B:Z, 9, FALSE)</f>
        <v>Bilingual-French</v>
      </c>
      <c r="E41" s="48" t="str">
        <f>IFERROR(__xludf.DUMMYFUNCTION("LET(
  x, IFERROR(VLOOKUP(A41, RAW_Data!B:BZ, 61, FALSE), """"),
  IFS(
    REGEXMATCH(x, ""Morning""), ""Day"",
    REGEXMATCH(x, ""Evening""), ""Evening"",
    REGEXMATCH(x, ""Night""), ""Night"",
    x="""", """",
    TRUE, ""Variable""
  )
)"),"Day")</f>
        <v>Day</v>
      </c>
      <c r="F41" s="46" t="str">
        <f>VLOOKUP(A41, RAW_Data!B:Z, 8, FALSE)</f>
        <v>Ottawa</v>
      </c>
      <c r="G41" s="46" t="str">
        <f>VLOOKUP(A41, RAW_Data!B:Z, 2, FALSE)</f>
        <v>T956381</v>
      </c>
      <c r="H41" s="46" t="str">
        <f>VLOOKUP(A41, RAW_Data!B:Z, 18, FALSE)</f>
        <v>M0133</v>
      </c>
      <c r="I41" s="46">
        <f>VLOOKUP(A41, RAW_Data!B:Z, 20, FALSE)</f>
        <v>100956381</v>
      </c>
      <c r="J41" s="46">
        <f>VLOOKUP(A41, RAW_Data!B:Z, 24, FALSE)</f>
        <v>1062242</v>
      </c>
      <c r="K41" s="46" t="str">
        <f>IFERROR(__xludf.DUMMYFUNCTION("IF(REGEXMATCH(VLOOKUP(A41, RAW_Data!B:BZ, 29, FALSE), ""Smart""), ""Yes"", ""No"")"),"Yes")</f>
        <v>Yes</v>
      </c>
      <c r="L41" s="46" t="str">
        <f>IFERROR(__xludf.DUMMYFUNCTION("IF(REGEXMATCH(VLOOKUP(A41, RAW_Data!B:BZ, 29, FALSE), ""Trouble""), ""Yes"", ""No"")"),"Yes")</f>
        <v>Yes</v>
      </c>
      <c r="M41" s="46" t="str">
        <f>IFERROR(__xludf.DUMMYFUNCTION("IF(REGEXMATCH(VLOOKUP(A41, RAW_Data!B:BZ, 29, FALSE), ""MRC""), ""Yes"", ""No"")"),"Yes")</f>
        <v>Yes</v>
      </c>
      <c r="N41" s="48" t="str">
        <f>VLOOKUP(A41, RAW_Data!B:Z, 12, FALSE)</f>
        <v>Diegue, Kerry</v>
      </c>
      <c r="O41" s="45" t="s">
        <v>657</v>
      </c>
    </row>
    <row r="42">
      <c r="A42" s="45" t="str">
        <f>IFERROR(__xludf.DUMMYFUNCTION("""COMPUTED_VALUE"""),"Inosimeh Barisua")</f>
        <v>Inosimeh Barisua</v>
      </c>
      <c r="B42" s="46" t="str">
        <f>VLOOKUP(A42, RAW_Data!B:Z, 4, FALSE)</f>
        <v>Active</v>
      </c>
      <c r="C42" s="47" t="str">
        <f>VLOOKUP(A42, RAW_Data!B:Z, 10, FALSE)</f>
        <v>Trainee</v>
      </c>
      <c r="D42" s="46" t="str">
        <f>VLOOKUP(A42, RAW_Data!B:Z, 9, FALSE)</f>
        <v>English</v>
      </c>
      <c r="E42" s="48" t="str">
        <f>IFERROR(__xludf.DUMMYFUNCTION("LET(
  x, IFERROR(VLOOKUP(A42, RAW_Data!B:BZ, 61, FALSE), """"),
  IFS(
    REGEXMATCH(x, ""Morning""), ""Day"",
    REGEXMATCH(x, ""Evening""), ""Evening"",
    REGEXMATCH(x, ""Night""), ""Night"",
    x="""", """",
    TRUE, ""Variable""
  )
)"),"")</f>
        <v/>
      </c>
      <c r="F42" s="46" t="str">
        <f>VLOOKUP(A42, RAW_Data!B:Z, 8, FALSE)</f>
        <v>Calgary</v>
      </c>
      <c r="G42" s="46" t="str">
        <f>VLOOKUP(A42, RAW_Data!B:Z, 2, FALSE)</f>
        <v>T6001663</v>
      </c>
      <c r="H42" s="46" t="str">
        <f>VLOOKUP(A42, RAW_Data!B:Z, 18, FALSE)</f>
        <v/>
      </c>
      <c r="I42" s="46" t="str">
        <f>VLOOKUP(A42, RAW_Data!B:Z, 20, FALSE)</f>
        <v/>
      </c>
      <c r="J42" s="46" t="str">
        <f>VLOOKUP(A42, RAW_Data!B:Z, 24, FALSE)</f>
        <v/>
      </c>
      <c r="K42" s="46" t="str">
        <f>IFERROR(__xludf.DUMMYFUNCTION("IF(REGEXMATCH(VLOOKUP(A42, RAW_Data!B:BZ, 29, FALSE), ""Smart""), ""Yes"", ""No"")"),"No")</f>
        <v>No</v>
      </c>
      <c r="L42" s="46" t="str">
        <f>IFERROR(__xludf.DUMMYFUNCTION("IF(REGEXMATCH(VLOOKUP(A42, RAW_Data!B:BZ, 29, FALSE), ""Trouble""), ""Yes"", ""No"")"),"No")</f>
        <v>No</v>
      </c>
      <c r="M42" s="46" t="str">
        <f>IFERROR(__xludf.DUMMYFUNCTION("IF(REGEXMATCH(VLOOKUP(A42, RAW_Data!B:BZ, 29, FALSE), ""MRC""), ""Yes"", ""No"")"),"No")</f>
        <v>No</v>
      </c>
      <c r="N42" s="48" t="str">
        <f>VLOOKUP(A42, RAW_Data!B:Z, 12, FALSE)</f>
        <v>Diegue, Kerry</v>
      </c>
      <c r="O42" s="51"/>
    </row>
    <row r="43">
      <c r="A43" s="45" t="str">
        <f>IFERROR(__xludf.DUMMYFUNCTION("""COMPUTED_VALUE"""),"Jaén-Benitez, Roberto-David")</f>
        <v>Jaén-Benitez, Roberto-David</v>
      </c>
      <c r="B43" s="46" t="str">
        <f>VLOOKUP(A43, RAW_Data!B:Z, 4, FALSE)</f>
        <v>Active</v>
      </c>
      <c r="C43" s="47">
        <f>VLOOKUP(A43, RAW_Data!B:Z, 10, FALSE)</f>
        <v>4</v>
      </c>
      <c r="D43" s="46" t="str">
        <f>VLOOKUP(A43, RAW_Data!B:Z, 9, FALSE)</f>
        <v>Bilingual-English</v>
      </c>
      <c r="E43" s="48" t="str">
        <f>IFERROR(__xludf.DUMMYFUNCTION("LET(
  x, IFERROR(VLOOKUP(A43, RAW_Data!B:BZ, 61, FALSE), """"),
  IFS(
    REGEXMATCH(x, ""Morning""), ""Day"",
    REGEXMATCH(x, ""Evening""), ""Evening"",
    REGEXMATCH(x, ""Night""), ""Night"",
    x="""", """",
    TRUE, ""Variable""
  )
)"),"Night")</f>
        <v>Night</v>
      </c>
      <c r="F43" s="46" t="str">
        <f>VLOOKUP(A43, RAW_Data!B:Z, 8, FALSE)</f>
        <v>Montreal</v>
      </c>
      <c r="G43" s="46" t="str">
        <f>VLOOKUP(A43, RAW_Data!B:Z, 2, FALSE)</f>
        <v>T955709</v>
      </c>
      <c r="H43" s="46" t="str">
        <f>VLOOKUP(A43, RAW_Data!B:Z, 18, FALSE)</f>
        <v>M0135</v>
      </c>
      <c r="I43" s="46">
        <f>VLOOKUP(A43, RAW_Data!B:Z, 20, FALSE)</f>
        <v>100955709</v>
      </c>
      <c r="J43" s="46">
        <f>VLOOKUP(A43, RAW_Data!B:Z, 24, FALSE)</f>
        <v>1066930</v>
      </c>
      <c r="K43" s="46" t="str">
        <f>IFERROR(__xludf.DUMMYFUNCTION("IF(REGEXMATCH(VLOOKUP(A43, RAW_Data!B:BZ, 29, FALSE), ""Smart""), ""Yes"", ""No"")"),"Yes")</f>
        <v>Yes</v>
      </c>
      <c r="L43" s="46" t="str">
        <f>IFERROR(__xludf.DUMMYFUNCTION("IF(REGEXMATCH(VLOOKUP(A43, RAW_Data!B:BZ, 29, FALSE), ""Trouble""), ""Yes"", ""No"")"),"Yes")</f>
        <v>Yes</v>
      </c>
      <c r="M43" s="46" t="str">
        <f>IFERROR(__xludf.DUMMYFUNCTION("IF(REGEXMATCH(VLOOKUP(A43, RAW_Data!B:BZ, 29, FALSE), ""MRC""), ""Yes"", ""No"")"),"Yes")</f>
        <v>Yes</v>
      </c>
      <c r="N43" s="48" t="str">
        <f>VLOOKUP(A43, RAW_Data!B:Z, 12, FALSE)</f>
        <v>Herrati, Houcine</v>
      </c>
      <c r="O43" s="50" t="s">
        <v>1464</v>
      </c>
    </row>
    <row r="44">
      <c r="A44" s="45" t="str">
        <f>IFERROR(__xludf.DUMMYFUNCTION("""COMPUTED_VALUE"""),"Joakeem Séjour")</f>
        <v>Joakeem Séjour</v>
      </c>
      <c r="B44" s="46" t="str">
        <f>VLOOKUP(A44, RAW_Data!B:Z, 4, FALSE)</f>
        <v>Active</v>
      </c>
      <c r="C44" s="47" t="str">
        <f>VLOOKUP(A44, RAW_Data!B:Z, 10, FALSE)</f>
        <v>Trainee</v>
      </c>
      <c r="D44" s="46" t="str">
        <f>VLOOKUP(A44, RAW_Data!B:Z, 9, FALSE)</f>
        <v>Bilingual-French</v>
      </c>
      <c r="E44" s="48" t="str">
        <f>IFERROR(__xludf.DUMMYFUNCTION("LET(
  x, IFERROR(VLOOKUP(A44, RAW_Data!B:BZ, 61, FALSE), """"),
  IFS(
    REGEXMATCH(x, ""Morning""), ""Day"",
    REGEXMATCH(x, ""Evening""), ""Evening"",
    REGEXMATCH(x, ""Night""), ""Night"",
    x="""", """",
    TRUE, ""Variable""
  )
)"),"")</f>
        <v/>
      </c>
      <c r="F44" s="46" t="str">
        <f>VLOOKUP(A44, RAW_Data!B:Z, 8, FALSE)</f>
        <v>Montreal</v>
      </c>
      <c r="G44" s="46" t="str">
        <f>VLOOKUP(A44, RAW_Data!B:Z, 2, FALSE)</f>
        <v>T6001710</v>
      </c>
      <c r="H44" s="46" t="str">
        <f>VLOOKUP(A44, RAW_Data!B:Z, 18, FALSE)</f>
        <v/>
      </c>
      <c r="I44" s="46" t="str">
        <f>VLOOKUP(A44, RAW_Data!B:Z, 20, FALSE)</f>
        <v/>
      </c>
      <c r="J44" s="46">
        <f>VLOOKUP(A44, RAW_Data!B:Z, 24, FALSE)</f>
        <v>1060073</v>
      </c>
      <c r="K44" s="46" t="str">
        <f>IFERROR(__xludf.DUMMYFUNCTION("IF(REGEXMATCH(VLOOKUP(A44, RAW_Data!B:BZ, 29, FALSE), ""Smart""), ""Yes"", ""No"")"),"No")</f>
        <v>No</v>
      </c>
      <c r="L44" s="46" t="str">
        <f>IFERROR(__xludf.DUMMYFUNCTION("IF(REGEXMATCH(VLOOKUP(A44, RAW_Data!B:BZ, 29, FALSE), ""Trouble""), ""Yes"", ""No"")"),"No")</f>
        <v>No</v>
      </c>
      <c r="M44" s="46" t="str">
        <f>IFERROR(__xludf.DUMMYFUNCTION("IF(REGEXMATCH(VLOOKUP(A44, RAW_Data!B:BZ, 29, FALSE), ""MRC""), ""Yes"", ""No"")"),"No")</f>
        <v>No</v>
      </c>
      <c r="N44" s="48" t="str">
        <f>VLOOKUP(A44, RAW_Data!B:Z, 12, FALSE)</f>
        <v>Diegue, Kerry</v>
      </c>
      <c r="O44" s="51"/>
    </row>
    <row r="45">
      <c r="A45" s="45" t="str">
        <f>IFERROR(__xludf.DUMMYFUNCTION("""COMPUTED_VALUE"""),"Jone Elmido")</f>
        <v>Jone Elmido</v>
      </c>
      <c r="B45" s="46" t="str">
        <f>VLOOKUP(A45, RAW_Data!B:Z, 4, FALSE)</f>
        <v>Active</v>
      </c>
      <c r="C45" s="47" t="str">
        <f>VLOOKUP(A45, RAW_Data!B:Z, 10, FALSE)</f>
        <v>Trainee</v>
      </c>
      <c r="D45" s="46" t="str">
        <f>VLOOKUP(A45, RAW_Data!B:Z, 9, FALSE)</f>
        <v>Bilingual-French</v>
      </c>
      <c r="E45" s="48" t="str">
        <f>IFERROR(__xludf.DUMMYFUNCTION("LET(
  x, IFERROR(VLOOKUP(A45, RAW_Data!B:BZ, 61, FALSE), """"),
  IFS(
    REGEXMATCH(x, ""Morning""), ""Day"",
    REGEXMATCH(x, ""Evening""), ""Evening"",
    REGEXMATCH(x, ""Night""), ""Night"",
    x="""", """",
    TRUE, ""Variable""
  )
)"),"")</f>
        <v/>
      </c>
      <c r="F45" s="46" t="str">
        <f>VLOOKUP(A45, RAW_Data!B:Z, 8, FALSE)</f>
        <v>Montreal</v>
      </c>
      <c r="G45" s="46" t="str">
        <f>VLOOKUP(A45, RAW_Data!B:Z, 2, FALSE)</f>
        <v>T6001708</v>
      </c>
      <c r="H45" s="46" t="str">
        <f>VLOOKUP(A45, RAW_Data!B:Z, 18, FALSE)</f>
        <v/>
      </c>
      <c r="I45" s="46" t="str">
        <f>VLOOKUP(A45, RAW_Data!B:Z, 20, FALSE)</f>
        <v/>
      </c>
      <c r="J45" s="46" t="str">
        <f>VLOOKUP(A45, RAW_Data!B:Z, 24, FALSE)</f>
        <v/>
      </c>
      <c r="K45" s="46" t="str">
        <f>IFERROR(__xludf.DUMMYFUNCTION("IF(REGEXMATCH(VLOOKUP(A45, RAW_Data!B:BZ, 29, FALSE), ""Smart""), ""Yes"", ""No"")"),"No")</f>
        <v>No</v>
      </c>
      <c r="L45" s="46" t="str">
        <f>IFERROR(__xludf.DUMMYFUNCTION("IF(REGEXMATCH(VLOOKUP(A45, RAW_Data!B:BZ, 29, FALSE), ""Trouble""), ""Yes"", ""No"")"),"No")</f>
        <v>No</v>
      </c>
      <c r="M45" s="46" t="str">
        <f>IFERROR(__xludf.DUMMYFUNCTION("IF(REGEXMATCH(VLOOKUP(A45, RAW_Data!B:BZ, 29, FALSE), ""MRC""), ""Yes"", ""No"")"),"No")</f>
        <v>No</v>
      </c>
      <c r="N45" s="48" t="str">
        <f>VLOOKUP(A45, RAW_Data!B:Z, 12, FALSE)</f>
        <v>Diegue, Kerry</v>
      </c>
      <c r="O45" s="53"/>
    </row>
    <row r="46">
      <c r="A46" s="45" t="str">
        <f>IFERROR(__xludf.DUMMYFUNCTION("""COMPUTED_VALUE"""),"Joseph, Whilston")</f>
        <v>Joseph, Whilston</v>
      </c>
      <c r="B46" s="46" t="str">
        <f>VLOOKUP(A46, RAW_Data!B:Z, 4, FALSE)</f>
        <v>Active</v>
      </c>
      <c r="C46" s="47">
        <f>VLOOKUP(A46, RAW_Data!B:Z, 10, FALSE)</f>
        <v>4</v>
      </c>
      <c r="D46" s="46" t="str">
        <f>VLOOKUP(A46, RAW_Data!B:Z, 9, FALSE)</f>
        <v>Bilingual-French</v>
      </c>
      <c r="E46" s="48" t="str">
        <f>IFERROR(__xludf.DUMMYFUNCTION("LET(
  x, IFERROR(VLOOKUP(A46, RAW_Data!B:BZ, 61, FALSE), """"),
  IFS(
    REGEXMATCH(x, ""Morning""), ""Day"",
    REGEXMATCH(x, ""Evening""), ""Evening"",
    REGEXMATCH(x, ""Night""), ""Night"",
    x="""", """",
    TRUE, ""Variable""
  )
)"),"Day")</f>
        <v>Day</v>
      </c>
      <c r="F46" s="46" t="str">
        <f>VLOOKUP(A46, RAW_Data!B:Z, 8, FALSE)</f>
        <v>Montreal</v>
      </c>
      <c r="G46" s="46" t="str">
        <f>VLOOKUP(A46, RAW_Data!B:Z, 2, FALSE)</f>
        <v>T955836</v>
      </c>
      <c r="H46" s="46" t="str">
        <f>VLOOKUP(A46, RAW_Data!B:Z, 18, FALSE)</f>
        <v>M0060</v>
      </c>
      <c r="I46" s="46">
        <f>VLOOKUP(A46, RAW_Data!B:Z, 20, FALSE)</f>
        <v>100955836</v>
      </c>
      <c r="J46" s="46">
        <f>VLOOKUP(A46, RAW_Data!B:Z, 24, FALSE)</f>
        <v>1066780</v>
      </c>
      <c r="K46" s="46" t="str">
        <f>IFERROR(__xludf.DUMMYFUNCTION("IF(REGEXMATCH(VLOOKUP(A46, RAW_Data!B:BZ, 29, FALSE), ""Smart""), ""Yes"", ""No"")"),"No")</f>
        <v>No</v>
      </c>
      <c r="L46" s="46" t="str">
        <f>IFERROR(__xludf.DUMMYFUNCTION("IF(REGEXMATCH(VLOOKUP(A46, RAW_Data!B:BZ, 29, FALSE), ""Trouble""), ""Yes"", ""No"")"),"No")</f>
        <v>No</v>
      </c>
      <c r="M46" s="46" t="str">
        <f>IFERROR(__xludf.DUMMYFUNCTION("IF(REGEXMATCH(VLOOKUP(A46, RAW_Data!B:BZ, 29, FALSE), ""MRC""), ""Yes"", ""No"")"),"Yes")</f>
        <v>Yes</v>
      </c>
      <c r="N46" s="48" t="str">
        <f>VLOOKUP(A46, RAW_Data!B:Z, 12, FALSE)</f>
        <v>Kollias, Peter</v>
      </c>
      <c r="O46" s="45" t="s">
        <v>707</v>
      </c>
    </row>
    <row r="47">
      <c r="A47" s="45" t="str">
        <f>IFERROR(__xludf.DUMMYFUNCTION("""COMPUTED_VALUE"""),"Kaur Brar, Dilpreet")</f>
        <v>Kaur Brar, Dilpreet</v>
      </c>
      <c r="B47" s="46" t="str">
        <f>VLOOKUP(A47, RAW_Data!B:Z, 4, FALSE)</f>
        <v>Active</v>
      </c>
      <c r="C47" s="47">
        <f>VLOOKUP(A47, RAW_Data!B:Z, 10, FALSE)</f>
        <v>1</v>
      </c>
      <c r="D47" s="46" t="str">
        <f>VLOOKUP(A47, RAW_Data!B:Z, 9, FALSE)</f>
        <v>English</v>
      </c>
      <c r="E47" s="48" t="str">
        <f>IFERROR(__xludf.DUMMYFUNCTION("LET(
  x, IFERROR(VLOOKUP(A47, RAW_Data!B:BZ, 61, FALSE), """"),
  IFS(
    REGEXMATCH(x, ""Morning""), ""Day"",
    REGEXMATCH(x, ""Evening""), ""Evening"",
    REGEXMATCH(x, ""Night""), ""Night"",
    x="""", """",
    TRUE, ""Variable""
  )
)"),"")</f>
        <v/>
      </c>
      <c r="F47" s="46" t="str">
        <f>VLOOKUP(A47, RAW_Data!B:Z, 8, FALSE)</f>
        <v>Calgary</v>
      </c>
      <c r="G47" s="46" t="str">
        <f>VLOOKUP(A47, RAW_Data!B:Z, 2, FALSE)</f>
        <v>T6001437</v>
      </c>
      <c r="H47" s="46" t="str">
        <f>VLOOKUP(A47, RAW_Data!B:Z, 18, FALSE)</f>
        <v>M0539</v>
      </c>
      <c r="I47" s="46">
        <f>VLOOKUP(A47, RAW_Data!B:Z, 20, FALSE)</f>
        <v>106001437</v>
      </c>
      <c r="J47" s="46">
        <f>VLOOKUP(A47, RAW_Data!B:Z, 24, FALSE)</f>
        <v>1060019</v>
      </c>
      <c r="K47" s="46" t="str">
        <f>IFERROR(__xludf.DUMMYFUNCTION("IF(REGEXMATCH(VLOOKUP(A47, RAW_Data!B:BZ, 29, FALSE), ""Smart""), ""Yes"", ""No"")"),"No")</f>
        <v>No</v>
      </c>
      <c r="L47" s="46" t="str">
        <f>IFERROR(__xludf.DUMMYFUNCTION("IF(REGEXMATCH(VLOOKUP(A47, RAW_Data!B:BZ, 29, FALSE), ""Trouble""), ""Yes"", ""No"")"),"No")</f>
        <v>No</v>
      </c>
      <c r="M47" s="46" t="str">
        <f>IFERROR(__xludf.DUMMYFUNCTION("IF(REGEXMATCH(VLOOKUP(A47, RAW_Data!B:BZ, 29, FALSE), ""MRC""), ""Yes"", ""No"")"),"No")</f>
        <v>No</v>
      </c>
      <c r="N47" s="48" t="str">
        <f>VLOOKUP(A47, RAW_Data!B:Z, 12, FALSE)</f>
        <v>Coghiel, Caren</v>
      </c>
      <c r="O47" s="31" t="s">
        <v>1456</v>
      </c>
    </row>
    <row r="48">
      <c r="A48" s="45" t="str">
        <f>IFERROR(__xludf.DUMMYFUNCTION("""COMPUTED_VALUE"""),"Kaur Mann, Talwinder")</f>
        <v>Kaur Mann, Talwinder</v>
      </c>
      <c r="B48" s="46" t="str">
        <f>VLOOKUP(A48, RAW_Data!B:Z, 4, FALSE)</f>
        <v>Active</v>
      </c>
      <c r="C48" s="47">
        <f>VLOOKUP(A48, RAW_Data!B:Z, 10, FALSE)</f>
        <v>2</v>
      </c>
      <c r="D48" s="46" t="str">
        <f>VLOOKUP(A48, RAW_Data!B:Z, 9, FALSE)</f>
        <v>Bilingual-English</v>
      </c>
      <c r="E48" s="48" t="str">
        <f>IFERROR(__xludf.DUMMYFUNCTION("LET(
  x, IFERROR(VLOOKUP(A48, RAW_Data!B:BZ, 61, FALSE), """"),
  IFS(
    REGEXMATCH(x, ""Morning""), ""Day"",
    REGEXMATCH(x, ""Evening""), ""Evening"",
    REGEXMATCH(x, ""Night""), ""Night"",
    x="""", """",
    TRUE, ""Variable""
  )
)"),"Day")</f>
        <v>Day</v>
      </c>
      <c r="F48" s="46" t="str">
        <f>VLOOKUP(A48, RAW_Data!B:Z, 8, FALSE)</f>
        <v>Montreal</v>
      </c>
      <c r="G48" s="46" t="str">
        <f>VLOOKUP(A48, RAW_Data!B:Z, 2, FALSE)</f>
        <v>T990270</v>
      </c>
      <c r="H48" s="46" t="str">
        <f>VLOOKUP(A48, RAW_Data!B:Z, 18, FALSE)</f>
        <v>M0141</v>
      </c>
      <c r="I48" s="46">
        <f>VLOOKUP(A48, RAW_Data!B:Z, 20, FALSE)</f>
        <v>100990270</v>
      </c>
      <c r="J48" s="46">
        <f>VLOOKUP(A48, RAW_Data!B:Z, 24, FALSE)</f>
        <v>1060004</v>
      </c>
      <c r="K48" s="46" t="str">
        <f>IFERROR(__xludf.DUMMYFUNCTION("IF(REGEXMATCH(VLOOKUP(A48, RAW_Data!B:BZ, 29, FALSE), ""Smart""), ""Yes"", ""No"")"),"No")</f>
        <v>No</v>
      </c>
      <c r="L48" s="46" t="str">
        <f>IFERROR(__xludf.DUMMYFUNCTION("IF(REGEXMATCH(VLOOKUP(A48, RAW_Data!B:BZ, 29, FALSE), ""Trouble""), ""Yes"", ""No"")"),"No")</f>
        <v>No</v>
      </c>
      <c r="M48" s="46" t="str">
        <f>IFERROR(__xludf.DUMMYFUNCTION("IF(REGEXMATCH(VLOOKUP(A48, RAW_Data!B:BZ, 29, FALSE), ""MRC""), ""Yes"", ""No"")"),"No")</f>
        <v>No</v>
      </c>
      <c r="N48" s="48" t="str">
        <f>VLOOKUP(A48, RAW_Data!B:Z, 12, FALSE)</f>
        <v>Diegue, Kerry</v>
      </c>
      <c r="O48" s="54" t="s">
        <v>1470</v>
      </c>
    </row>
    <row r="49">
      <c r="A49" s="45" t="str">
        <f>IFERROR(__xludf.DUMMYFUNCTION("""COMPUTED_VALUE"""),"Kaur, Manpreet")</f>
        <v>Kaur, Manpreet</v>
      </c>
      <c r="B49" s="46" t="str">
        <f>VLOOKUP(A49, RAW_Data!B:Z, 4, FALSE)</f>
        <v>Active</v>
      </c>
      <c r="C49" s="47">
        <f>VLOOKUP(A49, RAW_Data!B:Z, 10, FALSE)</f>
        <v>2</v>
      </c>
      <c r="D49" s="46" t="str">
        <f>VLOOKUP(A49, RAW_Data!B:Z, 9, FALSE)</f>
        <v>English</v>
      </c>
      <c r="E49" s="48" t="str">
        <f>IFERROR(__xludf.DUMMYFUNCTION("LET(
  x, IFERROR(VLOOKUP(A49, RAW_Data!B:BZ, 61, FALSE), """"),
  IFS(
    REGEXMATCH(x, ""Morning""), ""Day"",
    REGEXMATCH(x, ""Evening""), ""Evening"",
    REGEXMATCH(x, ""Night""), ""Night"",
    x="""", """",
    TRUE, ""Variable""
  )
)"),"Night")</f>
        <v>Night</v>
      </c>
      <c r="F49" s="46" t="str">
        <f>VLOOKUP(A49, RAW_Data!B:Z, 8, FALSE)</f>
        <v>Burnaby</v>
      </c>
      <c r="G49" s="46" t="str">
        <f>VLOOKUP(A49, RAW_Data!B:Z, 2, FALSE)</f>
        <v>T998052</v>
      </c>
      <c r="H49" s="46" t="str">
        <f>VLOOKUP(A49, RAW_Data!B:Z, 18, FALSE)</f>
        <v>M0142</v>
      </c>
      <c r="I49" s="46">
        <f>VLOOKUP(A49, RAW_Data!B:Z, 20, FALSE)</f>
        <v>100998052</v>
      </c>
      <c r="J49" s="46">
        <f>VLOOKUP(A49, RAW_Data!B:Z, 24, FALSE)</f>
        <v>1030017</v>
      </c>
      <c r="K49" s="46" t="str">
        <f>IFERROR(__xludf.DUMMYFUNCTION("IF(REGEXMATCH(VLOOKUP(A49, RAW_Data!B:BZ, 29, FALSE), ""Smart""), ""Yes"", ""No"")"),"Yes")</f>
        <v>Yes</v>
      </c>
      <c r="L49" s="46" t="str">
        <f>IFERROR(__xludf.DUMMYFUNCTION("IF(REGEXMATCH(VLOOKUP(A49, RAW_Data!B:BZ, 29, FALSE), ""Trouble""), ""Yes"", ""No"")"),"No")</f>
        <v>No</v>
      </c>
      <c r="M49" s="46" t="str">
        <f>IFERROR(__xludf.DUMMYFUNCTION("IF(REGEXMATCH(VLOOKUP(A49, RAW_Data!B:BZ, 29, FALSE), ""MRC""), ""Yes"", ""No"")"),"No")</f>
        <v>No</v>
      </c>
      <c r="N49" s="48" t="str">
        <f>VLOOKUP(A49, RAW_Data!B:Z, 12, FALSE)</f>
        <v>Coghiel, Caren</v>
      </c>
      <c r="O49" s="45" t="s">
        <v>738</v>
      </c>
    </row>
    <row r="50">
      <c r="A50" s="45" t="str">
        <f>IFERROR(__xludf.DUMMYFUNCTION("""COMPUTED_VALUE"""),"Kenol, Sheilla")</f>
        <v>Kenol, Sheilla</v>
      </c>
      <c r="B50" s="46" t="str">
        <f>VLOOKUP(A50, RAW_Data!B:Z, 4, FALSE)</f>
        <v>Active</v>
      </c>
      <c r="C50" s="47">
        <f>VLOOKUP(A50, RAW_Data!B:Z, 10, FALSE)</f>
        <v>4</v>
      </c>
      <c r="D50" s="46" t="str">
        <f>VLOOKUP(A50, RAW_Data!B:Z, 9, FALSE)</f>
        <v>Bilingual-French</v>
      </c>
      <c r="E50" s="48" t="str">
        <f>IFERROR(__xludf.DUMMYFUNCTION("LET(
  x, IFERROR(VLOOKUP(A50, RAW_Data!B:BZ, 61, FALSE), """"),
  IFS(
    REGEXMATCH(x, ""Morning""), ""Day"",
    REGEXMATCH(x, ""Evening""), ""Evening"",
    REGEXMATCH(x, ""Night""), ""Night"",
    x="""", """",
    TRUE, ""Variable""
  )
)"),"Night")</f>
        <v>Night</v>
      </c>
      <c r="F50" s="46" t="str">
        <f>VLOOKUP(A50, RAW_Data!B:Z, 8, FALSE)</f>
        <v>Montreal</v>
      </c>
      <c r="G50" s="46" t="str">
        <f>VLOOKUP(A50, RAW_Data!B:Z, 2, FALSE)</f>
        <v>T956486</v>
      </c>
      <c r="H50" s="46" t="str">
        <f>VLOOKUP(A50, RAW_Data!B:Z, 18, FALSE)</f>
        <v>M0143</v>
      </c>
      <c r="I50" s="46">
        <f>VLOOKUP(A50, RAW_Data!B:Z, 20, FALSE)</f>
        <v>100956486</v>
      </c>
      <c r="J50" s="46">
        <f>VLOOKUP(A50, RAW_Data!B:Z, 24, FALSE)</f>
        <v>1067180</v>
      </c>
      <c r="K50" s="46" t="str">
        <f>IFERROR(__xludf.DUMMYFUNCTION("IF(REGEXMATCH(VLOOKUP(A50, RAW_Data!B:BZ, 29, FALSE), ""Smart""), ""Yes"", ""No"")"),"Yes")</f>
        <v>Yes</v>
      </c>
      <c r="L50" s="46" t="str">
        <f>IFERROR(__xludf.DUMMYFUNCTION("IF(REGEXMATCH(VLOOKUP(A50, RAW_Data!B:BZ, 29, FALSE), ""Trouble""), ""Yes"", ""No"")"),"Yes")</f>
        <v>Yes</v>
      </c>
      <c r="M50" s="46" t="str">
        <f>IFERROR(__xludf.DUMMYFUNCTION("IF(REGEXMATCH(VLOOKUP(A50, RAW_Data!B:BZ, 29, FALSE), ""MRC""), ""Yes"", ""No"")"),"No")</f>
        <v>No</v>
      </c>
      <c r="N50" s="48" t="str">
        <f>VLOOKUP(A50, RAW_Data!B:Z, 12, FALSE)</f>
        <v>Herrati, Houcine</v>
      </c>
      <c r="O50" s="52" t="s">
        <v>1465</v>
      </c>
    </row>
    <row r="51">
      <c r="A51" s="45" t="str">
        <f>IFERROR(__xludf.DUMMYFUNCTION("""COMPUTED_VALUE"""),"Khattabi, Mohammed Najib")</f>
        <v>Khattabi, Mohammed Najib</v>
      </c>
      <c r="B51" s="46" t="str">
        <f>VLOOKUP(A51, RAW_Data!B:Z, 4, FALSE)</f>
        <v>Active</v>
      </c>
      <c r="C51" s="47">
        <f>VLOOKUP(A51, RAW_Data!B:Z, 10, FALSE)</f>
        <v>4</v>
      </c>
      <c r="D51" s="46" t="str">
        <f>VLOOKUP(A51, RAW_Data!B:Z, 9, FALSE)</f>
        <v>French</v>
      </c>
      <c r="E51" s="48" t="str">
        <f>IFERROR(__xludf.DUMMYFUNCTION("LET(
  x, IFERROR(VLOOKUP(A51,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51" s="46" t="str">
        <f>VLOOKUP(A51, RAW_Data!B:Z, 8, FALSE)</f>
        <v>Remote Area</v>
      </c>
      <c r="G51" s="46" t="str">
        <f>VLOOKUP(A51, RAW_Data!B:Z, 2, FALSE)</f>
        <v>T997309</v>
      </c>
      <c r="H51" s="46" t="str">
        <f>VLOOKUP(A51, RAW_Data!B:Z, 18, FALSE)</f>
        <v>M0145</v>
      </c>
      <c r="I51" s="46">
        <f>VLOOKUP(A51, RAW_Data!B:Z, 20, FALSE)</f>
        <v>100997309</v>
      </c>
      <c r="J51" s="46">
        <f>VLOOKUP(A51, RAW_Data!B:Z, 24, FALSE)</f>
        <v>1060034</v>
      </c>
      <c r="K51" s="46" t="str">
        <f>IFERROR(__xludf.DUMMYFUNCTION("IF(REGEXMATCH(VLOOKUP(A51, RAW_Data!B:BZ, 29, FALSE), ""Smart""), ""Yes"", ""No"")"),"No")</f>
        <v>No</v>
      </c>
      <c r="L51" s="46" t="str">
        <f>IFERROR(__xludf.DUMMYFUNCTION("IF(REGEXMATCH(VLOOKUP(A51, RAW_Data!B:BZ, 29, FALSE), ""Trouble""), ""Yes"", ""No"")"),"No")</f>
        <v>No</v>
      </c>
      <c r="M51" s="46" t="str">
        <f>IFERROR(__xludf.DUMMYFUNCTION("IF(REGEXMATCH(VLOOKUP(A51, RAW_Data!B:BZ, 29, FALSE), ""MRC""), ""Yes"", ""No"")"),"No")</f>
        <v>No</v>
      </c>
      <c r="N51" s="48" t="str">
        <f>VLOOKUP(A51, RAW_Data!B:Z, 12, FALSE)</f>
        <v>Lo, Mamadou</v>
      </c>
      <c r="O51" s="45" t="s">
        <v>758</v>
      </c>
    </row>
    <row r="52">
      <c r="A52" s="45" t="str">
        <f>IFERROR(__xludf.DUMMYFUNCTION("""COMPUTED_VALUE"""),"Labbé-Géolier , Simon Olivier")</f>
        <v>Labbé-Géolier , Simon Olivier</v>
      </c>
      <c r="B52" s="46" t="str">
        <f>VLOOKUP(A52, RAW_Data!B:Z, 4, FALSE)</f>
        <v>Active</v>
      </c>
      <c r="C52" s="47">
        <f>VLOOKUP(A52, RAW_Data!B:Z, 10, FALSE)</f>
        <v>2</v>
      </c>
      <c r="D52" s="46" t="str">
        <f>VLOOKUP(A52, RAW_Data!B:Z, 9, FALSE)</f>
        <v>French</v>
      </c>
      <c r="E52" s="48" t="str">
        <f>IFERROR(__xludf.DUMMYFUNCTION("LET(
  x, IFERROR(VLOOKUP(A52, RAW_Data!B:BZ, 61, FALSE), """"),
  IFS(
    REGEXMATCH(x, ""Morning""), ""Day"",
    REGEXMATCH(x, ""Evening""), ""Evening"",
    REGEXMATCH(x, ""Night""), ""Night"",
    x="""", """",
    TRUE, ""Variable""
  )
)"),"Day")</f>
        <v>Day</v>
      </c>
      <c r="F52" s="46" t="str">
        <f>VLOOKUP(A52, RAW_Data!B:Z, 8, FALSE)</f>
        <v>Montreal</v>
      </c>
      <c r="G52" s="46" t="str">
        <f>VLOOKUP(A52, RAW_Data!B:Z, 2, FALSE)</f>
        <v>T990146</v>
      </c>
      <c r="H52" s="46" t="str">
        <f>VLOOKUP(A52, RAW_Data!B:Z, 18, FALSE)</f>
        <v>M0148</v>
      </c>
      <c r="I52" s="46">
        <f>VLOOKUP(A52, RAW_Data!B:Z, 20, FALSE)</f>
        <v>100990146</v>
      </c>
      <c r="J52" s="46">
        <f>VLOOKUP(A52, RAW_Data!B:Z, 24, FALSE)</f>
        <v>1060007</v>
      </c>
      <c r="K52" s="46" t="str">
        <f>IFERROR(__xludf.DUMMYFUNCTION("IF(REGEXMATCH(VLOOKUP(A52, RAW_Data!B:BZ, 29, FALSE), ""Smart""), ""Yes"", ""No"")"),"No")</f>
        <v>No</v>
      </c>
      <c r="L52" s="46" t="str">
        <f>IFERROR(__xludf.DUMMYFUNCTION("IF(REGEXMATCH(VLOOKUP(A52, RAW_Data!B:BZ, 29, FALSE), ""Trouble""), ""Yes"", ""No"")"),"No")</f>
        <v>No</v>
      </c>
      <c r="M52" s="46" t="str">
        <f>IFERROR(__xludf.DUMMYFUNCTION("IF(REGEXMATCH(VLOOKUP(A52, RAW_Data!B:BZ, 29, FALSE), ""MRC""), ""Yes"", ""No"")"),"No")</f>
        <v>No</v>
      </c>
      <c r="N52" s="48" t="str">
        <f>VLOOKUP(A52, RAW_Data!B:Z, 12, FALSE)</f>
        <v>Diegue, Kerry</v>
      </c>
      <c r="O52" s="50" t="s">
        <v>1467</v>
      </c>
    </row>
    <row r="53">
      <c r="A53" s="45" t="str">
        <f>IFERROR(__xludf.DUMMYFUNCTION("""COMPUTED_VALUE"""),"Lakhal, Oussama")</f>
        <v>Lakhal, Oussama</v>
      </c>
      <c r="B53" s="46" t="str">
        <f>VLOOKUP(A53, RAW_Data!B:Z, 4, FALSE)</f>
        <v>Active</v>
      </c>
      <c r="C53" s="47">
        <f>VLOOKUP(A53, RAW_Data!B:Z, 10, FALSE)</f>
        <v>3</v>
      </c>
      <c r="D53" s="46" t="str">
        <f>VLOOKUP(A53, RAW_Data!B:Z, 9, FALSE)</f>
        <v>French</v>
      </c>
      <c r="E53" s="48" t="str">
        <f>IFERROR(__xludf.DUMMYFUNCTION("LET(
  x, IFERROR(VLOOKUP(A53,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53" s="46" t="str">
        <f>VLOOKUP(A53, RAW_Data!B:Z, 8, FALSE)</f>
        <v>Remote Area</v>
      </c>
      <c r="G53" s="46" t="str">
        <f>VLOOKUP(A53, RAW_Data!B:Z, 2, FALSE)</f>
        <v>T992414</v>
      </c>
      <c r="H53" s="46" t="str">
        <f>VLOOKUP(A53, RAW_Data!B:Z, 18, FALSE)</f>
        <v>M0151</v>
      </c>
      <c r="I53" s="46">
        <f>VLOOKUP(A53, RAW_Data!B:Z, 20, FALSE)</f>
        <v>100992414</v>
      </c>
      <c r="J53" s="46">
        <f>VLOOKUP(A53, RAW_Data!B:Z, 24, FALSE)</f>
        <v>1066011</v>
      </c>
      <c r="K53" s="46" t="str">
        <f>IFERROR(__xludf.DUMMYFUNCTION("IF(REGEXMATCH(VLOOKUP(A53, RAW_Data!B:BZ, 29, FALSE), ""Smart""), ""Yes"", ""No"")"),"No")</f>
        <v>No</v>
      </c>
      <c r="L53" s="46" t="str">
        <f>IFERROR(__xludf.DUMMYFUNCTION("IF(REGEXMATCH(VLOOKUP(A53, RAW_Data!B:BZ, 29, FALSE), ""Trouble""), ""Yes"", ""No"")"),"No")</f>
        <v>No</v>
      </c>
      <c r="M53" s="46" t="str">
        <f>IFERROR(__xludf.DUMMYFUNCTION("IF(REGEXMATCH(VLOOKUP(A53, RAW_Data!B:BZ, 29, FALSE), ""MRC""), ""Yes"", ""No"")"),"No")</f>
        <v>No</v>
      </c>
      <c r="N53" s="48" t="str">
        <f>VLOOKUP(A53, RAW_Data!B:Z, 12, FALSE)</f>
        <v>Lo, Mamadou</v>
      </c>
      <c r="O53" s="45" t="s">
        <v>791</v>
      </c>
    </row>
    <row r="54">
      <c r="A54" s="45" t="str">
        <f>IFERROR(__xludf.DUMMYFUNCTION("""COMPUTED_VALUE"""),"Landry, Josianne")</f>
        <v>Landry, Josianne</v>
      </c>
      <c r="B54" s="46" t="str">
        <f>VLOOKUP(A54, RAW_Data!B:Z, 4, FALSE)</f>
        <v>Active</v>
      </c>
      <c r="C54" s="47">
        <f>VLOOKUP(A54, RAW_Data!B:Z, 10, FALSE)</f>
        <v>4</v>
      </c>
      <c r="D54" s="46" t="str">
        <f>VLOOKUP(A54, RAW_Data!B:Z, 9, FALSE)</f>
        <v>Bilingual-French</v>
      </c>
      <c r="E54" s="48" t="str">
        <f>IFERROR(__xludf.DUMMYFUNCTION("LET(
  x, IFERROR(VLOOKUP(A54, RAW_Data!B:BZ, 61, FALSE), """"),
  IFS(
    REGEXMATCH(x, ""Morning""), ""Day"",
    REGEXMATCH(x, ""Evening""), ""Evening"",
    REGEXMATCH(x, ""Night""), ""Night"",
    x="""", """",
    TRUE, ""Variable""
  )
)"),"Day")</f>
        <v>Day</v>
      </c>
      <c r="F54" s="46" t="str">
        <f>VLOOKUP(A54, RAW_Data!B:Z, 8, FALSE)</f>
        <v>Montreal</v>
      </c>
      <c r="G54" s="46" t="str">
        <f>VLOOKUP(A54, RAW_Data!B:Z, 2, FALSE)</f>
        <v>T956513</v>
      </c>
      <c r="H54" s="46" t="str">
        <f>VLOOKUP(A54, RAW_Data!B:Z, 18, FALSE)</f>
        <v>M0155</v>
      </c>
      <c r="I54" s="46">
        <f>VLOOKUP(A54, RAW_Data!B:Z, 20, FALSE)</f>
        <v>100956513</v>
      </c>
      <c r="J54" s="46">
        <f>VLOOKUP(A54, RAW_Data!B:Z, 24, FALSE)</f>
        <v>1066033</v>
      </c>
      <c r="K54" s="46" t="str">
        <f>IFERROR(__xludf.DUMMYFUNCTION("IF(REGEXMATCH(VLOOKUP(A54, RAW_Data!B:BZ, 29, FALSE), ""Smart""), ""Yes"", ""No"")"),"No")</f>
        <v>No</v>
      </c>
      <c r="L54" s="46" t="str">
        <f>IFERROR(__xludf.DUMMYFUNCTION("IF(REGEXMATCH(VLOOKUP(A54, RAW_Data!B:BZ, 29, FALSE), ""Trouble""), ""Yes"", ""No"")"),"No")</f>
        <v>No</v>
      </c>
      <c r="M54" s="46" t="str">
        <f>IFERROR(__xludf.DUMMYFUNCTION("IF(REGEXMATCH(VLOOKUP(A54, RAW_Data!B:BZ, 29, FALSE), ""MRC""), ""Yes"", ""No"")"),"No")</f>
        <v>No</v>
      </c>
      <c r="N54" s="48" t="str">
        <f>VLOOKUP(A54, RAW_Data!B:Z, 12, FALSE)</f>
        <v>Kollias, Peter</v>
      </c>
      <c r="O54" s="45" t="s">
        <v>802</v>
      </c>
    </row>
    <row r="55">
      <c r="A55" s="45" t="str">
        <f>IFERROR(__xludf.DUMMYFUNCTION("""COMPUTED_VALUE"""),"Lapointe, Renelle")</f>
        <v>Lapointe, Renelle</v>
      </c>
      <c r="B55" s="46" t="str">
        <f>VLOOKUP(A55, RAW_Data!B:Z, 4, FALSE)</f>
        <v>Active</v>
      </c>
      <c r="C55" s="47">
        <f>VLOOKUP(A55, RAW_Data!B:Z, 10, FALSE)</f>
        <v>4</v>
      </c>
      <c r="D55" s="46" t="str">
        <f>VLOOKUP(A55, RAW_Data!B:Z, 9, FALSE)</f>
        <v>Bilingual-French</v>
      </c>
      <c r="E55" s="48" t="str">
        <f>IFERROR(__xludf.DUMMYFUNCTION("LET(
  x, IFERROR(VLOOKUP(A55,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55" s="46" t="str">
        <f>VLOOKUP(A55, RAW_Data!B:Z, 8, FALSE)</f>
        <v>Ottawa</v>
      </c>
      <c r="G55" s="46" t="str">
        <f>VLOOKUP(A55, RAW_Data!B:Z, 2, FALSE)</f>
        <v>T956388</v>
      </c>
      <c r="H55" s="46" t="str">
        <f>VLOOKUP(A55, RAW_Data!B:Z, 18, FALSE)</f>
        <v>M0156</v>
      </c>
      <c r="I55" s="46">
        <f>VLOOKUP(A55, RAW_Data!B:Z, 20, FALSE)</f>
        <v>100956388</v>
      </c>
      <c r="J55" s="46">
        <f>VLOOKUP(A55, RAW_Data!B:Z, 24, FALSE)</f>
        <v>1062508</v>
      </c>
      <c r="K55" s="46" t="str">
        <f>IFERROR(__xludf.DUMMYFUNCTION("IF(REGEXMATCH(VLOOKUP(A55, RAW_Data!B:BZ, 29, FALSE), ""Smart""), ""Yes"", ""No"")"),"Yes")</f>
        <v>Yes</v>
      </c>
      <c r="L55" s="46" t="str">
        <f>IFERROR(__xludf.DUMMYFUNCTION("IF(REGEXMATCH(VLOOKUP(A55, RAW_Data!B:BZ, 29, FALSE), ""Trouble""), ""Yes"", ""No"")"),"Yes")</f>
        <v>Yes</v>
      </c>
      <c r="M55" s="46" t="str">
        <f>IFERROR(__xludf.DUMMYFUNCTION("IF(REGEXMATCH(VLOOKUP(A55, RAW_Data!B:BZ, 29, FALSE), ""MRC""), ""Yes"", ""No"")"),"No")</f>
        <v>No</v>
      </c>
      <c r="N55" s="48" t="str">
        <f>VLOOKUP(A55, RAW_Data!B:Z, 12, FALSE)</f>
        <v>Dhindsa, Sukhjinder</v>
      </c>
      <c r="O55" s="45" t="s">
        <v>817</v>
      </c>
    </row>
    <row r="56">
      <c r="A56" s="45" t="str">
        <f>IFERROR(__xludf.DUMMYFUNCTION("""COMPUTED_VALUE"""),"Lee, Jadon")</f>
        <v>Lee, Jadon</v>
      </c>
      <c r="B56" s="46" t="str">
        <f>VLOOKUP(A56, RAW_Data!B:Z, 4, FALSE)</f>
        <v>Active</v>
      </c>
      <c r="C56" s="47">
        <f>VLOOKUP(A56, RAW_Data!B:Z, 10, FALSE)</f>
        <v>1</v>
      </c>
      <c r="D56" s="46" t="str">
        <f>VLOOKUP(A56, RAW_Data!B:Z, 9, FALSE)</f>
        <v>English</v>
      </c>
      <c r="E56" s="48" t="str">
        <f>IFERROR(__xludf.DUMMYFUNCTION("LET(
  x, IFERROR(VLOOKUP(A56, RAW_Data!B:BZ, 61, FALSE), """"),
  IFS(
    REGEXMATCH(x, ""Morning""), ""Day"",
    REGEXMATCH(x, ""Evening""), ""Evening"",
    REGEXMATCH(x, ""Night""), ""Night"",
    x="""", """",
    TRUE, ""Variable""
  )
)"),"")</f>
        <v/>
      </c>
      <c r="F56" s="46" t="str">
        <f>VLOOKUP(A56, RAW_Data!B:Z, 8, FALSE)</f>
        <v>Calgary</v>
      </c>
      <c r="G56" s="46" t="str">
        <f>VLOOKUP(A56, RAW_Data!B:Z, 2, FALSE)</f>
        <v>T6001502</v>
      </c>
      <c r="H56" s="46" t="str">
        <f>VLOOKUP(A56, RAW_Data!B:Z, 18, FALSE)</f>
        <v>M0542</v>
      </c>
      <c r="I56" s="46">
        <f>VLOOKUP(A56, RAW_Data!B:Z, 20, FALSE)</f>
        <v>106001502</v>
      </c>
      <c r="J56" s="46">
        <f>VLOOKUP(A56, RAW_Data!B:Z, 24, FALSE)</f>
        <v>1060006</v>
      </c>
      <c r="K56" s="46" t="str">
        <f>IFERROR(__xludf.DUMMYFUNCTION("IF(REGEXMATCH(VLOOKUP(A56, RAW_Data!B:BZ, 29, FALSE), ""Smart""), ""Yes"", ""No"")"),"No")</f>
        <v>No</v>
      </c>
      <c r="L56" s="46" t="str">
        <f>IFERROR(__xludf.DUMMYFUNCTION("IF(REGEXMATCH(VLOOKUP(A56, RAW_Data!B:BZ, 29, FALSE), ""Trouble""), ""Yes"", ""No"")"),"No")</f>
        <v>No</v>
      </c>
      <c r="M56" s="46" t="str">
        <f>IFERROR(__xludf.DUMMYFUNCTION("IF(REGEXMATCH(VLOOKUP(A56, RAW_Data!B:BZ, 29, FALSE), ""MRC""), ""Yes"", ""No"")"),"No")</f>
        <v>No</v>
      </c>
      <c r="N56" s="48" t="str">
        <f>VLOOKUP(A56, RAW_Data!B:Z, 12, FALSE)</f>
        <v>Gillingham, Shelley</v>
      </c>
      <c r="O56" s="31" t="s">
        <v>829</v>
      </c>
    </row>
    <row r="57">
      <c r="A57" s="45" t="str">
        <f>IFERROR(__xludf.DUMMYFUNCTION("""COMPUTED_VALUE"""),"Lee, Robert")</f>
        <v>Lee, Robert</v>
      </c>
      <c r="B57" s="46" t="str">
        <f>VLOOKUP(A57, RAW_Data!B:Z, 4, FALSE)</f>
        <v>Active</v>
      </c>
      <c r="C57" s="47">
        <f>VLOOKUP(A57, RAW_Data!B:Z, 10, FALSE)</f>
        <v>1</v>
      </c>
      <c r="D57" s="46" t="str">
        <f>VLOOKUP(A57, RAW_Data!B:Z, 9, FALSE)</f>
        <v>English</v>
      </c>
      <c r="E57" s="48" t="str">
        <f>IFERROR(__xludf.DUMMYFUNCTION("LET(
  x, IFERROR(VLOOKUP(A57, RAW_Data!B:BZ, 61, FALSE), """"),
  IFS(
    REGEXMATCH(x, ""Morning""), ""Day"",
    REGEXMATCH(x, ""Evening""), ""Evening"",
    REGEXMATCH(x, ""Night""), ""Night"",
    x="""", """",
    TRUE, ""Variable""
  )
)"),"")</f>
        <v/>
      </c>
      <c r="F57" s="46" t="str">
        <f>VLOOKUP(A57, RAW_Data!B:Z, 8, FALSE)</f>
        <v>Calgary</v>
      </c>
      <c r="G57" s="46" t="str">
        <f>VLOOKUP(A57, RAW_Data!B:Z, 2, FALSE)</f>
        <v>T6001469</v>
      </c>
      <c r="H57" s="46" t="str">
        <f>VLOOKUP(A57, RAW_Data!B:Z, 18, FALSE)</f>
        <v>M0534</v>
      </c>
      <c r="I57" s="46">
        <f>VLOOKUP(A57, RAW_Data!B:Z, 20, FALSE)</f>
        <v>106001469</v>
      </c>
      <c r="J57" s="46">
        <f>VLOOKUP(A57, RAW_Data!B:Z, 24, FALSE)</f>
        <v>1060025</v>
      </c>
      <c r="K57" s="46" t="str">
        <f>IFERROR(__xludf.DUMMYFUNCTION("IF(REGEXMATCH(VLOOKUP(A57, RAW_Data!B:BZ, 29, FALSE), ""Smart""), ""Yes"", ""No"")"),"No")</f>
        <v>No</v>
      </c>
      <c r="L57" s="46" t="str">
        <f>IFERROR(__xludf.DUMMYFUNCTION("IF(REGEXMATCH(VLOOKUP(A57, RAW_Data!B:BZ, 29, FALSE), ""Trouble""), ""Yes"", ""No"")"),"No")</f>
        <v>No</v>
      </c>
      <c r="M57" s="46" t="str">
        <f>IFERROR(__xludf.DUMMYFUNCTION("IF(REGEXMATCH(VLOOKUP(A57, RAW_Data!B:BZ, 29, FALSE), ""MRC""), ""Yes"", ""No"")"),"No")</f>
        <v>No</v>
      </c>
      <c r="N57" s="48" t="str">
        <f>VLOOKUP(A57, RAW_Data!B:Z, 12, FALSE)</f>
        <v>Coghiel, Caren</v>
      </c>
      <c r="O57" s="31" t="s">
        <v>837</v>
      </c>
    </row>
    <row r="58">
      <c r="A58" s="45" t="str">
        <f>IFERROR(__xludf.DUMMYFUNCTION("""COMPUTED_VALUE"""),"Malhi, Sandeep")</f>
        <v>Malhi, Sandeep</v>
      </c>
      <c r="B58" s="46" t="str">
        <f>VLOOKUP(A58, RAW_Data!B:Z, 4, FALSE)</f>
        <v>Active</v>
      </c>
      <c r="C58" s="47">
        <f>VLOOKUP(A58, RAW_Data!B:Z, 10, FALSE)</f>
        <v>2</v>
      </c>
      <c r="D58" s="46" t="str">
        <f>VLOOKUP(A58, RAW_Data!B:Z, 9, FALSE)</f>
        <v>English</v>
      </c>
      <c r="E58" s="48" t="str">
        <f>IFERROR(__xludf.DUMMYFUNCTION("LET(
  x, IFERROR(VLOOKUP(A58, RAW_Data!B:BZ, 61, FALSE), """"),
  IFS(
    REGEXMATCH(x, ""Morning""), ""Day"",
    REGEXMATCH(x, ""Evening""), ""Evening"",
    REGEXMATCH(x, ""Night""), ""Night"",
    x="""", """",
    TRUE, ""Variable""
  )
)"),"Night")</f>
        <v>Night</v>
      </c>
      <c r="F58" s="46" t="str">
        <f>VLOOKUP(A58, RAW_Data!B:Z, 8, FALSE)</f>
        <v>Calgary</v>
      </c>
      <c r="G58" s="46" t="str">
        <f>VLOOKUP(A58, RAW_Data!B:Z, 2, FALSE)</f>
        <v>T980945</v>
      </c>
      <c r="H58" s="46" t="str">
        <f>VLOOKUP(A58, RAW_Data!B:Z, 18, FALSE)</f>
        <v>M0165</v>
      </c>
      <c r="I58" s="46">
        <f>VLOOKUP(A58, RAW_Data!B:Z, 20, FALSE)</f>
        <v>100980945</v>
      </c>
      <c r="J58" s="46">
        <f>VLOOKUP(A58, RAW_Data!B:Z, 24, FALSE)</f>
        <v>1067383</v>
      </c>
      <c r="K58" s="46" t="str">
        <f>IFERROR(__xludf.DUMMYFUNCTION("IF(REGEXMATCH(VLOOKUP(A58, RAW_Data!B:BZ, 29, FALSE), ""Smart""), ""Yes"", ""No"")"),"No")</f>
        <v>No</v>
      </c>
      <c r="L58" s="46" t="str">
        <f>IFERROR(__xludf.DUMMYFUNCTION("IF(REGEXMATCH(VLOOKUP(A58, RAW_Data!B:BZ, 29, FALSE), ""Trouble""), ""Yes"", ""No"")"),"No")</f>
        <v>No</v>
      </c>
      <c r="M58" s="46" t="str">
        <f>IFERROR(__xludf.DUMMYFUNCTION("IF(REGEXMATCH(VLOOKUP(A58, RAW_Data!B:BZ, 29, FALSE), ""MRC""), ""Yes"", ""No"")"),"No")</f>
        <v>No</v>
      </c>
      <c r="N58" s="48" t="str">
        <f>VLOOKUP(A58, RAW_Data!B:Z, 12, FALSE)</f>
        <v>Coghiel, Caren</v>
      </c>
      <c r="O58" s="31" t="s">
        <v>844</v>
      </c>
    </row>
    <row r="59">
      <c r="A59" s="45" t="str">
        <f>IFERROR(__xludf.DUMMYFUNCTION("""COMPUTED_VALUE"""),"Malki, Amine")</f>
        <v>Malki, Amine</v>
      </c>
      <c r="B59" s="46" t="str">
        <f>VLOOKUP(A59, RAW_Data!B:Z, 4, FALSE)</f>
        <v>Active</v>
      </c>
      <c r="C59" s="47">
        <f>VLOOKUP(A59, RAW_Data!B:Z, 10, FALSE)</f>
        <v>2</v>
      </c>
      <c r="D59" s="46" t="str">
        <f>VLOOKUP(A59, RAW_Data!B:Z, 9, FALSE)</f>
        <v>Bilingual-French</v>
      </c>
      <c r="E59" s="48" t="str">
        <f>IFERROR(__xludf.DUMMYFUNCTION("LET(
  x, IFERROR(VLOOKUP(A59,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59" s="46" t="str">
        <f>VLOOKUP(A59, RAW_Data!B:Z, 8, FALSE)</f>
        <v>Montreal</v>
      </c>
      <c r="G59" s="46" t="str">
        <f>VLOOKUP(A59, RAW_Data!B:Z, 2, FALSE)</f>
        <v>T769716</v>
      </c>
      <c r="H59" s="46" t="str">
        <f>VLOOKUP(A59, RAW_Data!B:Z, 18, FALSE)</f>
        <v>M0483</v>
      </c>
      <c r="I59" s="46">
        <f>VLOOKUP(A59, RAW_Data!B:Z, 20, FALSE)</f>
        <v>100769716</v>
      </c>
      <c r="J59" s="46">
        <f>VLOOKUP(A59, RAW_Data!B:Z, 24, FALSE)</f>
        <v>1060023</v>
      </c>
      <c r="K59" s="46" t="str">
        <f>IFERROR(__xludf.DUMMYFUNCTION("IF(REGEXMATCH(VLOOKUP(A59, RAW_Data!B:BZ, 29, FALSE), ""Smart""), ""Yes"", ""No"")"),"No")</f>
        <v>No</v>
      </c>
      <c r="L59" s="46" t="str">
        <f>IFERROR(__xludf.DUMMYFUNCTION("IF(REGEXMATCH(VLOOKUP(A59, RAW_Data!B:BZ, 29, FALSE), ""Trouble""), ""Yes"", ""No"")"),"No")</f>
        <v>No</v>
      </c>
      <c r="M59" s="46" t="str">
        <f>IFERROR(__xludf.DUMMYFUNCTION("IF(REGEXMATCH(VLOOKUP(A59, RAW_Data!B:BZ, 29, FALSE), ""MRC""), ""Yes"", ""No"")"),"No")</f>
        <v>No</v>
      </c>
      <c r="N59" s="48" t="str">
        <f>VLOOKUP(A59, RAW_Data!B:Z, 12, FALSE)</f>
        <v>Herrati, Houcine</v>
      </c>
      <c r="O59" s="45" t="s">
        <v>856</v>
      </c>
    </row>
    <row r="60">
      <c r="A60" s="45" t="str">
        <f>IFERROR(__xludf.DUMMYFUNCTION("""COMPUTED_VALUE"""),"Mamputu, Patrick")</f>
        <v>Mamputu, Patrick</v>
      </c>
      <c r="B60" s="46" t="str">
        <f>VLOOKUP(A60, RAW_Data!B:Z, 4, FALSE)</f>
        <v>Active</v>
      </c>
      <c r="C60" s="47">
        <f>VLOOKUP(A60, RAW_Data!B:Z, 10, FALSE)</f>
        <v>3</v>
      </c>
      <c r="D60" s="46" t="str">
        <f>VLOOKUP(A60, RAW_Data!B:Z, 9, FALSE)</f>
        <v>Bilingual-French</v>
      </c>
      <c r="E60" s="48" t="str">
        <f>IFERROR(__xludf.DUMMYFUNCTION("LET(
  x, IFERROR(VLOOKUP(A60, RAW_Data!B:BZ, 61, FALSE), """"),
  IFS(
    REGEXMATCH(x, ""Morning""), ""Day"",
    REGEXMATCH(x, ""Evening""), ""Evening"",
    REGEXMATCH(x, ""Night""), ""Night"",
    x="""", """",
    TRUE, ""Variable""
  )
)"),"Variable")</f>
        <v>Variable</v>
      </c>
      <c r="F60" s="46" t="str">
        <f>VLOOKUP(A60, RAW_Data!B:Z, 8, FALSE)</f>
        <v>Ottawa</v>
      </c>
      <c r="G60" s="46" t="str">
        <f>VLOOKUP(A60, RAW_Data!B:Z, 2, FALSE)</f>
        <v>T992431</v>
      </c>
      <c r="H60" s="46" t="str">
        <f>VLOOKUP(A60, RAW_Data!B:Z, 18, FALSE)</f>
        <v>M0166</v>
      </c>
      <c r="I60" s="46">
        <f>VLOOKUP(A60, RAW_Data!B:Z, 20, FALSE)</f>
        <v>100992431</v>
      </c>
      <c r="J60" s="46">
        <f>VLOOKUP(A60, RAW_Data!B:Z, 24, FALSE)</f>
        <v>1066151</v>
      </c>
      <c r="K60" s="46" t="str">
        <f>IFERROR(__xludf.DUMMYFUNCTION("IF(REGEXMATCH(VLOOKUP(A60, RAW_Data!B:BZ, 29, FALSE), ""Smart""), ""Yes"", ""No"")"),"Yes")</f>
        <v>Yes</v>
      </c>
      <c r="L60" s="46" t="str">
        <f>IFERROR(__xludf.DUMMYFUNCTION("IF(REGEXMATCH(VLOOKUP(A60, RAW_Data!B:BZ, 29, FALSE), ""Trouble""), ""Yes"", ""No"")"),"No")</f>
        <v>No</v>
      </c>
      <c r="M60" s="46" t="str">
        <f>IFERROR(__xludf.DUMMYFUNCTION("IF(REGEXMATCH(VLOOKUP(A60, RAW_Data!B:BZ, 29, FALSE), ""MRC""), ""Yes"", ""No"")"),"No")</f>
        <v>No</v>
      </c>
      <c r="N60" s="48" t="str">
        <f>VLOOKUP(A60, RAW_Data!B:Z, 12, FALSE)</f>
        <v>Herrati, Houcine</v>
      </c>
      <c r="O60" s="49" t="s">
        <v>864</v>
      </c>
    </row>
    <row r="61">
      <c r="A61" s="45" t="str">
        <f>IFERROR(__xludf.DUMMYFUNCTION("""COMPUTED_VALUE"""),"Marcil, Carol")</f>
        <v>Marcil, Carol</v>
      </c>
      <c r="B61" s="46" t="str">
        <f>VLOOKUP(A61, RAW_Data!B:Z, 4, FALSE)</f>
        <v>Active</v>
      </c>
      <c r="C61" s="47">
        <f>VLOOKUP(A61, RAW_Data!B:Z, 10, FALSE)</f>
        <v>4</v>
      </c>
      <c r="D61" s="46" t="str">
        <f>VLOOKUP(A61, RAW_Data!B:Z, 9, FALSE)</f>
        <v>Bilingual-French</v>
      </c>
      <c r="E61" s="48" t="str">
        <f>IFERROR(__xludf.DUMMYFUNCTION("LET(
  x, IFERROR(VLOOKUP(A61, RAW_Data!B:BZ, 61, FALSE), """"),
  IFS(
    REGEXMATCH(x, ""Morning""), ""Day"",
    REGEXMATCH(x, ""Evening""), ""Evening"",
    REGEXMATCH(x, ""Night""), ""Night"",
    x="""", """",
    TRUE, ""Variable""
  )
)"),"Day")</f>
        <v>Day</v>
      </c>
      <c r="F61" s="46" t="str">
        <f>VLOOKUP(A61, RAW_Data!B:Z, 8, FALSE)</f>
        <v>Montreal</v>
      </c>
      <c r="G61" s="46" t="str">
        <f>VLOOKUP(A61, RAW_Data!B:Z, 2, FALSE)</f>
        <v>T955765</v>
      </c>
      <c r="H61" s="46" t="str">
        <f>VLOOKUP(A61, RAW_Data!B:Z, 18, FALSE)</f>
        <v>M0168</v>
      </c>
      <c r="I61" s="46">
        <f>VLOOKUP(A61, RAW_Data!B:Z, 20, FALSE)</f>
        <v>100955765</v>
      </c>
      <c r="J61" s="46">
        <f>VLOOKUP(A61, RAW_Data!B:Z, 24, FALSE)</f>
        <v>1066028</v>
      </c>
      <c r="K61" s="46" t="str">
        <f>IFERROR(__xludf.DUMMYFUNCTION("IF(REGEXMATCH(VLOOKUP(A61, RAW_Data!B:BZ, 29, FALSE), ""Smart""), ""Yes"", ""No"")"),"No")</f>
        <v>No</v>
      </c>
      <c r="L61" s="46" t="str">
        <f>IFERROR(__xludf.DUMMYFUNCTION("IF(REGEXMATCH(VLOOKUP(A61, RAW_Data!B:BZ, 29, FALSE), ""Trouble""), ""Yes"", ""No"")"),"No")</f>
        <v>No</v>
      </c>
      <c r="M61" s="46" t="str">
        <f>IFERROR(__xludf.DUMMYFUNCTION("IF(REGEXMATCH(VLOOKUP(A61, RAW_Data!B:BZ, 29, FALSE), ""MRC""), ""Yes"", ""No"")"),"No")</f>
        <v>No</v>
      </c>
      <c r="N61" s="48" t="str">
        <f>VLOOKUP(A61, RAW_Data!B:Z, 12, FALSE)</f>
        <v>Kollias, Peter</v>
      </c>
      <c r="O61" s="45" t="s">
        <v>888</v>
      </c>
    </row>
    <row r="62">
      <c r="A62" s="45" t="str">
        <f>IFERROR(__xludf.DUMMYFUNCTION("""COMPUTED_VALUE"""),"Mazari, Hichem")</f>
        <v>Mazari, Hichem</v>
      </c>
      <c r="B62" s="46" t="str">
        <f>VLOOKUP(A62, RAW_Data!B:Z, 4, FALSE)</f>
        <v>Active</v>
      </c>
      <c r="C62" s="47">
        <f>VLOOKUP(A62, RAW_Data!B:Z, 10, FALSE)</f>
        <v>2</v>
      </c>
      <c r="D62" s="46" t="str">
        <f>VLOOKUP(A62, RAW_Data!B:Z, 9, FALSE)</f>
        <v>Bilingual-French</v>
      </c>
      <c r="E62" s="48" t="str">
        <f>IFERROR(__xludf.DUMMYFUNCTION("LET(
  x, IFERROR(VLOOKUP(A62, RAW_Data!B:BZ, 61, FALSE), """"),
  IFS(
    REGEXMATCH(x, ""Morning""), ""Day"",
    REGEXMATCH(x, ""Evening""), ""Evening"",
    REGEXMATCH(x, ""Night""), ""Night"",
    x="""", """",
    TRUE, ""Variable""
  )
)"),"Night")</f>
        <v>Night</v>
      </c>
      <c r="F62" s="46" t="str">
        <f>VLOOKUP(A62, RAW_Data!B:Z, 8, FALSE)</f>
        <v>Montreal</v>
      </c>
      <c r="G62" s="46" t="str">
        <f>VLOOKUP(A62, RAW_Data!B:Z, 2, FALSE)</f>
        <v>T773651</v>
      </c>
      <c r="H62" s="46" t="str">
        <f>VLOOKUP(A62, RAW_Data!B:Z, 18, FALSE)</f>
        <v>M0512</v>
      </c>
      <c r="I62" s="46">
        <f>VLOOKUP(A62, RAW_Data!B:Z, 20, FALSE)</f>
        <v>100773651</v>
      </c>
      <c r="J62" s="46">
        <f>VLOOKUP(A62, RAW_Data!B:Z, 24, FALSE)</f>
        <v>1060062</v>
      </c>
      <c r="K62" s="46" t="str">
        <f>IFERROR(__xludf.DUMMYFUNCTION("IF(REGEXMATCH(VLOOKUP(A62, RAW_Data!B:BZ, 29, FALSE), ""Smart""), ""Yes"", ""No"")"),"No")</f>
        <v>No</v>
      </c>
      <c r="L62" s="46" t="str">
        <f>IFERROR(__xludf.DUMMYFUNCTION("IF(REGEXMATCH(VLOOKUP(A62, RAW_Data!B:BZ, 29, FALSE), ""Trouble""), ""Yes"", ""No"")"),"No")</f>
        <v>No</v>
      </c>
      <c r="M62" s="46" t="str">
        <f>IFERROR(__xludf.DUMMYFUNCTION("IF(REGEXMATCH(VLOOKUP(A62, RAW_Data!B:BZ, 29, FALSE), ""MRC""), ""Yes"", ""No"")"),"No")</f>
        <v>No</v>
      </c>
      <c r="N62" s="48" t="str">
        <f>VLOOKUP(A62, RAW_Data!B:Z, 12, FALSE)</f>
        <v>Coghiel, Caren</v>
      </c>
      <c r="O62" s="45" t="s">
        <v>900</v>
      </c>
    </row>
    <row r="63">
      <c r="A63" s="45" t="str">
        <f>IFERROR(__xludf.DUMMYFUNCTION("""COMPUTED_VALUE"""),"McCrory, Michael")</f>
        <v>McCrory, Michael</v>
      </c>
      <c r="B63" s="46" t="str">
        <f>VLOOKUP(A63, RAW_Data!B:Z, 4, FALSE)</f>
        <v>Active</v>
      </c>
      <c r="C63" s="47">
        <f>VLOOKUP(A63, RAW_Data!B:Z, 10, FALSE)</f>
        <v>1</v>
      </c>
      <c r="D63" s="46" t="str">
        <f>VLOOKUP(A63, RAW_Data!B:Z, 9, FALSE)</f>
        <v>English</v>
      </c>
      <c r="E63" s="48" t="str">
        <f>IFERROR(__xludf.DUMMYFUNCTION("LET(
  x, IFERROR(VLOOKUP(A63, RAW_Data!B:BZ, 61, FALSE), """"),
  IFS(
    REGEXMATCH(x, ""Morning""), ""Day"",
    REGEXMATCH(x, ""Evening""), ""Evening"",
    REGEXMATCH(x, ""Night""), ""Night"",
    x="""", """",
    TRUE, ""Variable""
  )
)"),"")</f>
        <v/>
      </c>
      <c r="F63" s="46" t="str">
        <f>VLOOKUP(A63, RAW_Data!B:Z, 8, FALSE)</f>
        <v>Calgary</v>
      </c>
      <c r="G63" s="46" t="str">
        <f>VLOOKUP(A63, RAW_Data!B:Z, 2, FALSE)</f>
        <v>T6001434</v>
      </c>
      <c r="H63" s="46" t="str">
        <f>VLOOKUP(A63, RAW_Data!B:Z, 18, FALSE)</f>
        <v>M0536</v>
      </c>
      <c r="I63" s="46">
        <f>VLOOKUP(A63, RAW_Data!B:Z, 20, FALSE)</f>
        <v>106001434</v>
      </c>
      <c r="J63" s="46">
        <f>VLOOKUP(A63, RAW_Data!B:Z, 24, FALSE)</f>
        <v>1060042</v>
      </c>
      <c r="K63" s="46" t="str">
        <f>IFERROR(__xludf.DUMMYFUNCTION("IF(REGEXMATCH(VLOOKUP(A63, RAW_Data!B:BZ, 29, FALSE), ""Smart""), ""Yes"", ""No"")"),"No")</f>
        <v>No</v>
      </c>
      <c r="L63" s="46" t="str">
        <f>IFERROR(__xludf.DUMMYFUNCTION("IF(REGEXMATCH(VLOOKUP(A63, RAW_Data!B:BZ, 29, FALSE), ""Trouble""), ""Yes"", ""No"")"),"No")</f>
        <v>No</v>
      </c>
      <c r="M63" s="46" t="str">
        <f>IFERROR(__xludf.DUMMYFUNCTION("IF(REGEXMATCH(VLOOKUP(A63, RAW_Data!B:BZ, 29, FALSE), ""MRC""), ""Yes"", ""No"")"),"No")</f>
        <v>No</v>
      </c>
      <c r="N63" s="48" t="str">
        <f>VLOOKUP(A63, RAW_Data!B:Z, 12, FALSE)</f>
        <v>Gillingham, Shelley</v>
      </c>
      <c r="O63" s="31" t="s">
        <v>908</v>
      </c>
    </row>
    <row r="64">
      <c r="A64" s="45" t="str">
        <f>IFERROR(__xludf.DUMMYFUNCTION("""COMPUTED_VALUE"""),"Medrano Sibrian, Yahshua")</f>
        <v>Medrano Sibrian, Yahshua</v>
      </c>
      <c r="B64" s="46" t="str">
        <f>VLOOKUP(A64, RAW_Data!B:Z, 4, FALSE)</f>
        <v>Active</v>
      </c>
      <c r="C64" s="47">
        <f>VLOOKUP(A64, RAW_Data!B:Z, 10, FALSE)</f>
        <v>2</v>
      </c>
      <c r="D64" s="46" t="str">
        <f>VLOOKUP(A64, RAW_Data!B:Z, 9, FALSE)</f>
        <v>Bilingual-French</v>
      </c>
      <c r="E64" s="48" t="str">
        <f>IFERROR(__xludf.DUMMYFUNCTION("LET(
  x, IFERROR(VLOOKUP(A64, RAW_Data!B:BZ, 61, FALSE), """"),
  IFS(
    REGEXMATCH(x, ""Morning""), ""Day"",
    REGEXMATCH(x, ""Evening""), ""Evening"",
    REGEXMATCH(x, ""Night""), ""Night"",
    x="""", """",
    TRUE, ""Variable""
  )
)"),"Night")</f>
        <v>Night</v>
      </c>
      <c r="F64" s="46" t="str">
        <f>VLOOKUP(A64, RAW_Data!B:Z, 8, FALSE)</f>
        <v>Montreal</v>
      </c>
      <c r="G64" s="46" t="str">
        <f>VLOOKUP(A64, RAW_Data!B:Z, 2, FALSE)</f>
        <v>T773727</v>
      </c>
      <c r="H64" s="46" t="str">
        <f>VLOOKUP(A64, RAW_Data!B:Z, 18, FALSE)</f>
        <v>M0517</v>
      </c>
      <c r="I64" s="46">
        <f>VLOOKUP(A64, RAW_Data!B:Z, 20, FALSE)</f>
        <v>100773727</v>
      </c>
      <c r="J64" s="46">
        <f>VLOOKUP(A64, RAW_Data!B:Z, 24, FALSE)</f>
        <v>1060065</v>
      </c>
      <c r="K64" s="46" t="str">
        <f>IFERROR(__xludf.DUMMYFUNCTION("IF(REGEXMATCH(VLOOKUP(A64, RAW_Data!B:BZ, 29, FALSE), ""Smart""), ""Yes"", ""No"")"),"No")</f>
        <v>No</v>
      </c>
      <c r="L64" s="46" t="str">
        <f>IFERROR(__xludf.DUMMYFUNCTION("IF(REGEXMATCH(VLOOKUP(A64, RAW_Data!B:BZ, 29, FALSE), ""Trouble""), ""Yes"", ""No"")"),"No")</f>
        <v>No</v>
      </c>
      <c r="M64" s="46" t="str">
        <f>IFERROR(__xludf.DUMMYFUNCTION("IF(REGEXMATCH(VLOOKUP(A64, RAW_Data!B:BZ, 29, FALSE), ""MRC""), ""Yes"", ""No"")"),"No")</f>
        <v>No</v>
      </c>
      <c r="N64" s="48" t="str">
        <f>VLOOKUP(A64, RAW_Data!B:Z, 12, FALSE)</f>
        <v>Coghiel, Caren</v>
      </c>
      <c r="O64" s="45" t="s">
        <v>916</v>
      </c>
    </row>
    <row r="65">
      <c r="A65" s="45" t="str">
        <f>IFERROR(__xludf.DUMMYFUNCTION("""COMPUTED_VALUE"""),"Melgar, Rafael")</f>
        <v>Melgar, Rafael</v>
      </c>
      <c r="B65" s="46" t="str">
        <f>VLOOKUP(A65, RAW_Data!B:Z, 4, FALSE)</f>
        <v>Active</v>
      </c>
      <c r="C65" s="47">
        <f>VLOOKUP(A65, RAW_Data!B:Z, 10, FALSE)</f>
        <v>3</v>
      </c>
      <c r="D65" s="46" t="str">
        <f>VLOOKUP(A65, RAW_Data!B:Z, 9, FALSE)</f>
        <v>English</v>
      </c>
      <c r="E65" s="48" t="str">
        <f>IFERROR(__xludf.DUMMYFUNCTION("LET(
  x, IFERROR(VLOOKUP(A65, RAW_Data!B:BZ, 61, FALSE), """"),
  IFS(
    REGEXMATCH(x, ""Morning""), ""Day"",
    REGEXMATCH(x, ""Evening""), ""Evening"",
    REGEXMATCH(x, ""Night""), ""Night"",
    x="""", """",
    TRUE, ""Variable""
  )
)"),"Day")</f>
        <v>Day</v>
      </c>
      <c r="F65" s="46" t="str">
        <f>VLOOKUP(A65, RAW_Data!B:Z, 8, FALSE)</f>
        <v>Calgary</v>
      </c>
      <c r="G65" s="46" t="str">
        <f>VLOOKUP(A65, RAW_Data!B:Z, 2, FALSE)</f>
        <v>T955719</v>
      </c>
      <c r="H65" s="46" t="str">
        <f>VLOOKUP(A65, RAW_Data!B:Z, 18, FALSE)</f>
        <v>M0174</v>
      </c>
      <c r="I65" s="46">
        <f>VLOOKUP(A65, RAW_Data!B:Z, 20, FALSE)</f>
        <v>100955719</v>
      </c>
      <c r="J65" s="46">
        <f>VLOOKUP(A65, RAW_Data!B:Z, 24, FALSE)</f>
        <v>1210691</v>
      </c>
      <c r="K65" s="46" t="str">
        <f>IFERROR(__xludf.DUMMYFUNCTION("IF(REGEXMATCH(VLOOKUP(A65, RAW_Data!B:BZ, 29, FALSE), ""Smart""), ""Yes"", ""No"")"),"No")</f>
        <v>No</v>
      </c>
      <c r="L65" s="46" t="str">
        <f>IFERROR(__xludf.DUMMYFUNCTION("IF(REGEXMATCH(VLOOKUP(A65, RAW_Data!B:BZ, 29, FALSE), ""Trouble""), ""Yes"", ""No"")"),"No")</f>
        <v>No</v>
      </c>
      <c r="M65" s="46" t="str">
        <f>IFERROR(__xludf.DUMMYFUNCTION("IF(REGEXMATCH(VLOOKUP(A65, RAW_Data!B:BZ, 29, FALSE), ""MRC""), ""Yes"", ""No"")"),"No")</f>
        <v>No</v>
      </c>
      <c r="N65" s="48" t="str">
        <f>VLOOKUP(A65, RAW_Data!B:Z, 12, FALSE)</f>
        <v>Gillingham, Shelley</v>
      </c>
      <c r="O65" s="45" t="s">
        <v>924</v>
      </c>
    </row>
    <row r="66">
      <c r="A66" s="45" t="str">
        <f>IFERROR(__xludf.DUMMYFUNCTION("""COMPUTED_VALUE"""),"Mertens, Antonia")</f>
        <v>Mertens, Antonia</v>
      </c>
      <c r="B66" s="46" t="str">
        <f>VLOOKUP(A66, RAW_Data!B:Z, 4, FALSE)</f>
        <v>Active</v>
      </c>
      <c r="C66" s="47">
        <f>VLOOKUP(A66, RAW_Data!B:Z, 10, FALSE)</f>
        <v>2</v>
      </c>
      <c r="D66" s="46" t="str">
        <f>VLOOKUP(A66, RAW_Data!B:Z, 9, FALSE)</f>
        <v>English</v>
      </c>
      <c r="E66" s="48" t="str">
        <f>IFERROR(__xludf.DUMMYFUNCTION("LET(
  x, IFERROR(VLOOKUP(A66, RAW_Data!B:BZ, 61, FALSE), """"),
  IFS(
    REGEXMATCH(x, ""Morning""), ""Day"",
    REGEXMATCH(x, ""Evening""), ""Evening"",
    REGEXMATCH(x, ""Night""), ""Night"",
    x="""", """",
    TRUE, ""Variable""
  )
)"),"Day")</f>
        <v>Day</v>
      </c>
      <c r="F66" s="46" t="str">
        <f>VLOOKUP(A66, RAW_Data!B:Z, 8, FALSE)</f>
        <v>Burnaby</v>
      </c>
      <c r="G66" s="46" t="str">
        <f>VLOOKUP(A66, RAW_Data!B:Z, 2, FALSE)</f>
        <v>T988378</v>
      </c>
      <c r="H66" s="46" t="str">
        <f>VLOOKUP(A66, RAW_Data!B:Z, 18, FALSE)</f>
        <v>M0031</v>
      </c>
      <c r="I66" s="46">
        <f>VLOOKUP(A66, RAW_Data!B:Z, 20, FALSE)</f>
        <v>100988378</v>
      </c>
      <c r="J66" s="46">
        <f>VLOOKUP(A66, RAW_Data!B:Z, 24, FALSE)</f>
        <v>1030045</v>
      </c>
      <c r="K66" s="46" t="str">
        <f>IFERROR(__xludf.DUMMYFUNCTION("IF(REGEXMATCH(VLOOKUP(A66, RAW_Data!B:BZ, 29, FALSE), ""Smart""), ""Yes"", ""No"")"),"No")</f>
        <v>No</v>
      </c>
      <c r="L66" s="46" t="str">
        <f>IFERROR(__xludf.DUMMYFUNCTION("IF(REGEXMATCH(VLOOKUP(A66, RAW_Data!B:BZ, 29, FALSE), ""Trouble""), ""Yes"", ""No"")"),"Yes")</f>
        <v>Yes</v>
      </c>
      <c r="M66" s="46" t="str">
        <f>IFERROR(__xludf.DUMMYFUNCTION("IF(REGEXMATCH(VLOOKUP(A66, RAW_Data!B:BZ, 29, FALSE), ""MRC""), ""Yes"", ""No"")"),"No")</f>
        <v>No</v>
      </c>
      <c r="N66" s="48" t="str">
        <f>VLOOKUP(A66, RAW_Data!B:Z, 12, FALSE)</f>
        <v>Dhindsa, Sukhjinder</v>
      </c>
      <c r="O66" s="45" t="s">
        <v>936</v>
      </c>
    </row>
    <row r="67">
      <c r="A67" s="45" t="str">
        <f>IFERROR(__xludf.DUMMYFUNCTION("""COMPUTED_VALUE"""),"Miclisse-Polat, Lorenzo Misael")</f>
        <v>Miclisse-Polat, Lorenzo Misael</v>
      </c>
      <c r="B67" s="46" t="str">
        <f>VLOOKUP(A67, RAW_Data!B:Z, 4, FALSE)</f>
        <v>Active</v>
      </c>
      <c r="C67" s="47">
        <f>VLOOKUP(A67, RAW_Data!B:Z, 10, FALSE)</f>
        <v>4</v>
      </c>
      <c r="D67" s="46" t="str">
        <f>VLOOKUP(A67, RAW_Data!B:Z, 9, FALSE)</f>
        <v>Bilingual-English</v>
      </c>
      <c r="E67" s="48" t="str">
        <f>IFERROR(__xludf.DUMMYFUNCTION("LET(
  x, IFERROR(VLOOKUP(A67,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67" s="46" t="str">
        <f>VLOOKUP(A67, RAW_Data!B:Z, 8, FALSE)</f>
        <v>Montreal</v>
      </c>
      <c r="G67" s="46" t="str">
        <f>VLOOKUP(A67, RAW_Data!B:Z, 2, FALSE)</f>
        <v>T998180</v>
      </c>
      <c r="H67" s="46" t="str">
        <f>VLOOKUP(A67, RAW_Data!B:Z, 18, FALSE)</f>
        <v>M0179</v>
      </c>
      <c r="I67" s="46">
        <f>VLOOKUP(A67, RAW_Data!B:Z, 20, FALSE)</f>
        <v>100998180</v>
      </c>
      <c r="J67" s="46">
        <f>VLOOKUP(A67, RAW_Data!B:Z, 24, FALSE)</f>
        <v>1060037</v>
      </c>
      <c r="K67" s="46" t="str">
        <f>IFERROR(__xludf.DUMMYFUNCTION("IF(REGEXMATCH(VLOOKUP(A67, RAW_Data!B:BZ, 29, FALSE), ""Smart""), ""Yes"", ""No"")"),"Yes")</f>
        <v>Yes</v>
      </c>
      <c r="L67" s="46" t="str">
        <f>IFERROR(__xludf.DUMMYFUNCTION("IF(REGEXMATCH(VLOOKUP(A67, RAW_Data!B:BZ, 29, FALSE), ""Trouble""), ""Yes"", ""No"")"),"No")</f>
        <v>No</v>
      </c>
      <c r="M67" s="46" t="str">
        <f>IFERROR(__xludf.DUMMYFUNCTION("IF(REGEXMATCH(VLOOKUP(A67, RAW_Data!B:BZ, 29, FALSE), ""MRC""), ""Yes"", ""No"")"),"No")</f>
        <v>No</v>
      </c>
      <c r="N67" s="48" t="str">
        <f>VLOOKUP(A67, RAW_Data!B:Z, 12, FALSE)</f>
        <v>Rwano, Guy Fremin</v>
      </c>
      <c r="O67" s="45" t="s">
        <v>956</v>
      </c>
    </row>
    <row r="68">
      <c r="A68" s="45" t="str">
        <f>IFERROR(__xludf.DUMMYFUNCTION("""COMPUTED_VALUE"""),"Mondrzejewski, Dave")</f>
        <v>Mondrzejewski, Dave</v>
      </c>
      <c r="B68" s="46" t="str">
        <f>VLOOKUP(A68, RAW_Data!B:Z, 4, FALSE)</f>
        <v>Active</v>
      </c>
      <c r="C68" s="47">
        <f>VLOOKUP(A68, RAW_Data!B:Z, 10, FALSE)</f>
        <v>4</v>
      </c>
      <c r="D68" s="46" t="str">
        <f>VLOOKUP(A68, RAW_Data!B:Z, 9, FALSE)</f>
        <v>Bilingual-French</v>
      </c>
      <c r="E68" s="48" t="str">
        <f>IFERROR(__xludf.DUMMYFUNCTION("LET(
  x, IFERROR(VLOOKUP(A68, RAW_Data!B:BZ, 61, FALSE), """"),
  IFS(
    REGEXMATCH(x, ""Morning""), ""Day"",
    REGEXMATCH(x, ""Evening""), ""Evening"",
    REGEXMATCH(x, ""Night""), ""Night"",
    x="""", """",
    TRUE, ""Variable""
  )
)"),"Day")</f>
        <v>Day</v>
      </c>
      <c r="F68" s="46" t="str">
        <f>VLOOKUP(A68, RAW_Data!B:Z, 8, FALSE)</f>
        <v>Montreal</v>
      </c>
      <c r="G68" s="46" t="str">
        <f>VLOOKUP(A68, RAW_Data!B:Z, 2, FALSE)</f>
        <v>T955932</v>
      </c>
      <c r="H68" s="46" t="str">
        <f>VLOOKUP(A68, RAW_Data!B:Z, 18, FALSE)</f>
        <v>M0183</v>
      </c>
      <c r="I68" s="46">
        <f>VLOOKUP(A68, RAW_Data!B:Z, 20, FALSE)</f>
        <v>100955932</v>
      </c>
      <c r="J68" s="46">
        <f>VLOOKUP(A68, RAW_Data!B:Z, 24, FALSE)</f>
        <v>1067232</v>
      </c>
      <c r="K68" s="46" t="str">
        <f>IFERROR(__xludf.DUMMYFUNCTION("IF(REGEXMATCH(VLOOKUP(A68, RAW_Data!B:BZ, 29, FALSE), ""Smart""), ""Yes"", ""No"")"),"Yes")</f>
        <v>Yes</v>
      </c>
      <c r="L68" s="46" t="str">
        <f>IFERROR(__xludf.DUMMYFUNCTION("IF(REGEXMATCH(VLOOKUP(A68, RAW_Data!B:BZ, 29, FALSE), ""Trouble""), ""Yes"", ""No"")"),"No")</f>
        <v>No</v>
      </c>
      <c r="M68" s="46" t="str">
        <f>IFERROR(__xludf.DUMMYFUNCTION("IF(REGEXMATCH(VLOOKUP(A68, RAW_Data!B:BZ, 29, FALSE), ""MRC""), ""Yes"", ""No"")"),"No")</f>
        <v>No</v>
      </c>
      <c r="N68" s="48" t="str">
        <f>VLOOKUP(A68, RAW_Data!B:Z, 12, FALSE)</f>
        <v>Lo, Mamadou</v>
      </c>
      <c r="O68" s="45" t="s">
        <v>966</v>
      </c>
    </row>
    <row r="69">
      <c r="A69" s="45" t="str">
        <f>IFERROR(__xludf.DUMMYFUNCTION("""COMPUTED_VALUE"""),"Narayanaparambath, Ekta")</f>
        <v>Narayanaparambath, Ekta</v>
      </c>
      <c r="B69" s="46" t="str">
        <f>VLOOKUP(A69, RAW_Data!B:Z, 4, FALSE)</f>
        <v>Active</v>
      </c>
      <c r="C69" s="47">
        <f>VLOOKUP(A69, RAW_Data!B:Z, 10, FALSE)</f>
        <v>2</v>
      </c>
      <c r="D69" s="46" t="str">
        <f>VLOOKUP(A69, RAW_Data!B:Z, 9, FALSE)</f>
        <v>English</v>
      </c>
      <c r="E69" s="48" t="str">
        <f>IFERROR(__xludf.DUMMYFUNCTION("LET(
  x, IFERROR(VLOOKUP(A69, RAW_Data!B:BZ, 61, FALSE), """"),
  IFS(
    REGEXMATCH(x, ""Morning""), ""Day"",
    REGEXMATCH(x, ""Evening""), ""Evening"",
    REGEXMATCH(x, ""Night""), ""Night"",
    x="""", """",
    TRUE, ""Variable""
  )
)"),"Day")</f>
        <v>Day</v>
      </c>
      <c r="F69" s="46" t="str">
        <f>VLOOKUP(A69, RAW_Data!B:Z, 8, FALSE)</f>
        <v>Calgary</v>
      </c>
      <c r="G69" s="46" t="str">
        <f>VLOOKUP(A69, RAW_Data!B:Z, 2, FALSE)</f>
        <v>T956363</v>
      </c>
      <c r="H69" s="46" t="str">
        <f>VLOOKUP(A69, RAW_Data!B:Z, 18, FALSE)</f>
        <v>M0185</v>
      </c>
      <c r="I69" s="46">
        <f>VLOOKUP(A69, RAW_Data!B:Z, 20, FALSE)</f>
        <v>100956363</v>
      </c>
      <c r="J69" s="46">
        <f>VLOOKUP(A69, RAW_Data!B:Z, 24, FALSE)</f>
        <v>1020242</v>
      </c>
      <c r="K69" s="46" t="str">
        <f>IFERROR(__xludf.DUMMYFUNCTION("IF(REGEXMATCH(VLOOKUP(A69, RAW_Data!B:BZ, 29, FALSE), ""Smart""), ""Yes"", ""No"")"),"No")</f>
        <v>No</v>
      </c>
      <c r="L69" s="46" t="str">
        <f>IFERROR(__xludf.DUMMYFUNCTION("IF(REGEXMATCH(VLOOKUP(A69, RAW_Data!B:BZ, 29, FALSE), ""Trouble""), ""Yes"", ""No"")"),"No")</f>
        <v>No</v>
      </c>
      <c r="M69" s="46" t="str">
        <f>IFERROR(__xludf.DUMMYFUNCTION("IF(REGEXMATCH(VLOOKUP(A69, RAW_Data!B:BZ, 29, FALSE), ""MRC""), ""Yes"", ""No"")"),"No")</f>
        <v>No</v>
      </c>
      <c r="N69" s="48" t="str">
        <f>VLOOKUP(A69, RAW_Data!B:Z, 12, FALSE)</f>
        <v>Gillingham, Shelley</v>
      </c>
      <c r="O69" s="45" t="s">
        <v>978</v>
      </c>
    </row>
    <row r="70">
      <c r="A70" s="45" t="str">
        <f>IFERROR(__xludf.DUMMYFUNCTION("""COMPUTED_VALUE"""),"Ndihokubwayo, Twahiba")</f>
        <v>Ndihokubwayo, Twahiba</v>
      </c>
      <c r="B70" s="46" t="str">
        <f>VLOOKUP(A70, RAW_Data!B:Z, 4, FALSE)</f>
        <v>Active</v>
      </c>
      <c r="C70" s="47">
        <f>VLOOKUP(A70, RAW_Data!B:Z, 10, FALSE)</f>
        <v>4</v>
      </c>
      <c r="D70" s="46" t="str">
        <f>VLOOKUP(A70, RAW_Data!B:Z, 9, FALSE)</f>
        <v>Bilingual-English</v>
      </c>
      <c r="E70" s="48" t="str">
        <f>IFERROR(__xludf.DUMMYFUNCTION("LET(
  x, IFERROR(VLOOKUP(A70,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70" s="46" t="str">
        <f>VLOOKUP(A70, RAW_Data!B:Z, 8, FALSE)</f>
        <v>Montreal</v>
      </c>
      <c r="G70" s="46" t="str">
        <f>VLOOKUP(A70, RAW_Data!B:Z, 2, FALSE)</f>
        <v>T956501</v>
      </c>
      <c r="H70" s="46" t="str">
        <f>VLOOKUP(A70, RAW_Data!B:Z, 18, FALSE)</f>
        <v>M0186</v>
      </c>
      <c r="I70" s="46">
        <f>VLOOKUP(A70, RAW_Data!B:Z, 20, FALSE)</f>
        <v>100956501</v>
      </c>
      <c r="J70" s="46">
        <f>VLOOKUP(A70, RAW_Data!B:Z, 24, FALSE)</f>
        <v>1020683</v>
      </c>
      <c r="K70" s="46" t="str">
        <f>IFERROR(__xludf.DUMMYFUNCTION("IF(REGEXMATCH(VLOOKUP(A70, RAW_Data!B:BZ, 29, FALSE), ""Smart""), ""Yes"", ""No"")"),"No")</f>
        <v>No</v>
      </c>
      <c r="L70" s="46" t="str">
        <f>IFERROR(__xludf.DUMMYFUNCTION("IF(REGEXMATCH(VLOOKUP(A70, RAW_Data!B:BZ, 29, FALSE), ""Trouble""), ""Yes"", ""No"")"),"No")</f>
        <v>No</v>
      </c>
      <c r="M70" s="46" t="str">
        <f>IFERROR(__xludf.DUMMYFUNCTION("IF(REGEXMATCH(VLOOKUP(A70, RAW_Data!B:BZ, 29, FALSE), ""MRC""), ""Yes"", ""No"")"),"No")</f>
        <v>No</v>
      </c>
      <c r="N70" s="48" t="str">
        <f>VLOOKUP(A70, RAW_Data!B:Z, 12, FALSE)</f>
        <v>Coghiel, Caren</v>
      </c>
      <c r="O70" s="52" t="s">
        <v>1471</v>
      </c>
    </row>
    <row r="71">
      <c r="A71" s="45" t="str">
        <f>IFERROR(__xludf.DUMMYFUNCTION("""COMPUTED_VALUE"""),"Ndjiapanda, Arlette")</f>
        <v>Ndjiapanda, Arlette</v>
      </c>
      <c r="B71" s="46" t="str">
        <f>VLOOKUP(A71, RAW_Data!B:Z, 4, FALSE)</f>
        <v>Active</v>
      </c>
      <c r="C71" s="47">
        <f>VLOOKUP(A71, RAW_Data!B:Z, 10, FALSE)</f>
        <v>3</v>
      </c>
      <c r="D71" s="46" t="str">
        <f>VLOOKUP(A71, RAW_Data!B:Z, 9, FALSE)</f>
        <v>Bilingual-French</v>
      </c>
      <c r="E71" s="48" t="str">
        <f>IFERROR(__xludf.DUMMYFUNCTION("LET(
  x, IFERROR(VLOOKUP(A71,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71" s="46" t="str">
        <f>VLOOKUP(A71, RAW_Data!B:Z, 8, FALSE)</f>
        <v>Ottawa</v>
      </c>
      <c r="G71" s="46" t="str">
        <f>VLOOKUP(A71, RAW_Data!B:Z, 2, FALSE)</f>
        <v>T956520</v>
      </c>
      <c r="H71" s="46" t="str">
        <f>VLOOKUP(A71, RAW_Data!B:Z, 18, FALSE)</f>
        <v>M0187</v>
      </c>
      <c r="I71" s="46">
        <f>VLOOKUP(A71, RAW_Data!B:Z, 20, FALSE)</f>
        <v>100956520</v>
      </c>
      <c r="J71" s="46">
        <f>VLOOKUP(A71, RAW_Data!B:Z, 24, FALSE)</f>
        <v>1062202</v>
      </c>
      <c r="K71" s="46" t="str">
        <f>IFERROR(__xludf.DUMMYFUNCTION("IF(REGEXMATCH(VLOOKUP(A71, RAW_Data!B:BZ, 29, FALSE), ""Smart""), ""Yes"", ""No"")"),"No")</f>
        <v>No</v>
      </c>
      <c r="L71" s="46" t="str">
        <f>IFERROR(__xludf.DUMMYFUNCTION("IF(REGEXMATCH(VLOOKUP(A71, RAW_Data!B:BZ, 29, FALSE), ""Trouble""), ""Yes"", ""No"")"),"No")</f>
        <v>No</v>
      </c>
      <c r="M71" s="46" t="str">
        <f>IFERROR(__xludf.DUMMYFUNCTION("IF(REGEXMATCH(VLOOKUP(A71, RAW_Data!B:BZ, 29, FALSE), ""MRC""), ""Yes"", ""No"")"),"No")</f>
        <v>No</v>
      </c>
      <c r="N71" s="48" t="str">
        <f>VLOOKUP(A71, RAW_Data!B:Z, 12, FALSE)</f>
        <v>Lo, Mamadou</v>
      </c>
      <c r="O71" s="31" t="s">
        <v>1000</v>
      </c>
    </row>
    <row r="72">
      <c r="A72" s="45" t="str">
        <f>IFERROR(__xludf.DUMMYFUNCTION("""COMPUTED_VALUE"""),"Nhek, Sotham")</f>
        <v>Nhek, Sotham</v>
      </c>
      <c r="B72" s="46" t="str">
        <f>VLOOKUP(A72, RAW_Data!B:Z, 4, FALSE)</f>
        <v>Active</v>
      </c>
      <c r="C72" s="47">
        <f>VLOOKUP(A72, RAW_Data!B:Z, 10, FALSE)</f>
        <v>1</v>
      </c>
      <c r="D72" s="46" t="str">
        <f>VLOOKUP(A72, RAW_Data!B:Z, 9, FALSE)</f>
        <v>Bilingual-French</v>
      </c>
      <c r="E72" s="48" t="str">
        <f>IFERROR(__xludf.DUMMYFUNCTION("LET(
  x, IFERROR(VLOOKUP(A72, RAW_Data!B:BZ, 61, FALSE), """"),
  IFS(
    REGEXMATCH(x, ""Morning""), ""Day"",
    REGEXMATCH(x, ""Evening""), ""Evening"",
    REGEXMATCH(x, ""Night""), ""Night"",
    x="""", """",
    TRUE, ""Variable""
  )
)"),"")</f>
        <v/>
      </c>
      <c r="F72" s="46" t="str">
        <f>VLOOKUP(A72, RAW_Data!B:Z, 8, FALSE)</f>
        <v>Montreal</v>
      </c>
      <c r="G72" s="46" t="str">
        <f>VLOOKUP(A72, RAW_Data!B:Z, 2, FALSE)</f>
        <v>T6001466</v>
      </c>
      <c r="H72" s="46" t="str">
        <f>VLOOKUP(A72, RAW_Data!B:Z, 18, FALSE)</f>
        <v>M0529</v>
      </c>
      <c r="I72" s="46">
        <f>VLOOKUP(A72, RAW_Data!B:Z, 20, FALSE)</f>
        <v>106001466</v>
      </c>
      <c r="J72" s="46">
        <f>VLOOKUP(A72, RAW_Data!B:Z, 24, FALSE)</f>
        <v>1060047</v>
      </c>
      <c r="K72" s="46" t="str">
        <f>IFERROR(__xludf.DUMMYFUNCTION("IF(REGEXMATCH(VLOOKUP(A72, RAW_Data!B:BZ, 29, FALSE), ""Smart""), ""Yes"", ""No"")"),"No")</f>
        <v>No</v>
      </c>
      <c r="L72" s="46" t="str">
        <f>IFERROR(__xludf.DUMMYFUNCTION("IF(REGEXMATCH(VLOOKUP(A72, RAW_Data!B:BZ, 29, FALSE), ""Trouble""), ""Yes"", ""No"")"),"No")</f>
        <v>No</v>
      </c>
      <c r="M72" s="46" t="str">
        <f>IFERROR(__xludf.DUMMYFUNCTION("IF(REGEXMATCH(VLOOKUP(A72, RAW_Data!B:BZ, 29, FALSE), ""MRC""), ""Yes"", ""No"")"),"No")</f>
        <v>No</v>
      </c>
      <c r="N72" s="48" t="str">
        <f>VLOOKUP(A72, RAW_Data!B:Z, 12, FALSE)</f>
        <v>Diegue, Kerry</v>
      </c>
      <c r="O72" s="31" t="s">
        <v>1012</v>
      </c>
    </row>
    <row r="73">
      <c r="A73" s="45" t="str">
        <f>IFERROR(__xludf.DUMMYFUNCTION("""COMPUTED_VALUE"""),"Nicholas (Nick) Grégoire")</f>
        <v>Nicholas (Nick) Grégoire</v>
      </c>
      <c r="B73" s="46" t="str">
        <f>VLOOKUP(A73, RAW_Data!B:Z, 4, FALSE)</f>
        <v>Active</v>
      </c>
      <c r="C73" s="47" t="str">
        <f>VLOOKUP(A73, RAW_Data!B:Z, 10, FALSE)</f>
        <v>Trainee</v>
      </c>
      <c r="D73" s="46" t="str">
        <f>VLOOKUP(A73, RAW_Data!B:Z, 9, FALSE)</f>
        <v>Bilingual-English</v>
      </c>
      <c r="E73" s="48" t="str">
        <f>IFERROR(__xludf.DUMMYFUNCTION("LET(
  x, IFERROR(VLOOKUP(A73, RAW_Data!B:BZ, 61, FALSE), """"),
  IFS(
    REGEXMATCH(x, ""Morning""), ""Day"",
    REGEXMATCH(x, ""Evening""), ""Evening"",
    REGEXMATCH(x, ""Night""), ""Night"",
    x="""", """",
    TRUE, ""Variable""
  )
)"),"")</f>
        <v/>
      </c>
      <c r="F73" s="46" t="str">
        <f>VLOOKUP(A73, RAW_Data!B:Z, 8, FALSE)</f>
        <v>Montreal</v>
      </c>
      <c r="G73" s="46" t="str">
        <f>VLOOKUP(A73, RAW_Data!B:Z, 2, FALSE)</f>
        <v>T6001655</v>
      </c>
      <c r="H73" s="46" t="str">
        <f>VLOOKUP(A73, RAW_Data!B:Z, 18, FALSE)</f>
        <v/>
      </c>
      <c r="I73" s="46" t="str">
        <f>VLOOKUP(A73, RAW_Data!B:Z, 20, FALSE)</f>
        <v/>
      </c>
      <c r="J73" s="46">
        <f>VLOOKUP(A73, RAW_Data!B:Z, 24, FALSE)</f>
        <v>1060070</v>
      </c>
      <c r="K73" s="46" t="str">
        <f>IFERROR(__xludf.DUMMYFUNCTION("IF(REGEXMATCH(VLOOKUP(A73, RAW_Data!B:BZ, 29, FALSE), ""Smart""), ""Yes"", ""No"")"),"No")</f>
        <v>No</v>
      </c>
      <c r="L73" s="46" t="str">
        <f>IFERROR(__xludf.DUMMYFUNCTION("IF(REGEXMATCH(VLOOKUP(A73, RAW_Data!B:BZ, 29, FALSE), ""Trouble""), ""Yes"", ""No"")"),"No")</f>
        <v>No</v>
      </c>
      <c r="M73" s="46" t="str">
        <f>IFERROR(__xludf.DUMMYFUNCTION("IF(REGEXMATCH(VLOOKUP(A73, RAW_Data!B:BZ, 29, FALSE), ""MRC""), ""Yes"", ""No"")"),"No")</f>
        <v>No</v>
      </c>
      <c r="N73" s="48" t="str">
        <f>VLOOKUP(A73, RAW_Data!B:Z, 12, FALSE)</f>
        <v>Diegue, Kerry</v>
      </c>
      <c r="O73" s="51"/>
    </row>
    <row r="74">
      <c r="A74" s="45" t="str">
        <f>IFERROR(__xludf.DUMMYFUNCTION("""COMPUTED_VALUE"""),"Nineza, Roxhannah")</f>
        <v>Nineza, Roxhannah</v>
      </c>
      <c r="B74" s="46" t="str">
        <f>VLOOKUP(A74, RAW_Data!B:Z, 4, FALSE)</f>
        <v>Active</v>
      </c>
      <c r="C74" s="47">
        <f>VLOOKUP(A74, RAW_Data!B:Z, 10, FALSE)</f>
        <v>2</v>
      </c>
      <c r="D74" s="46" t="str">
        <f>VLOOKUP(A74, RAW_Data!B:Z, 9, FALSE)</f>
        <v>Bilingual-French</v>
      </c>
      <c r="E74" s="48" t="str">
        <f>IFERROR(__xludf.DUMMYFUNCTION("LET(
  x, IFERROR(VLOOKUP(A74,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74" s="46" t="str">
        <f>VLOOKUP(A74, RAW_Data!B:Z, 8, FALSE)</f>
        <v>Ottawa</v>
      </c>
      <c r="G74" s="46" t="str">
        <f>VLOOKUP(A74, RAW_Data!B:Z, 2, FALSE)</f>
        <v>T769717</v>
      </c>
      <c r="H74" s="46" t="str">
        <f>VLOOKUP(A74, RAW_Data!B:Z, 18, FALSE)</f>
        <v>M0484</v>
      </c>
      <c r="I74" s="46">
        <f>VLOOKUP(A74, RAW_Data!B:Z, 20, FALSE)</f>
        <v>100769717</v>
      </c>
      <c r="J74" s="46">
        <f>VLOOKUP(A74, RAW_Data!B:Z, 24, FALSE)</f>
        <v>1060016</v>
      </c>
      <c r="K74" s="46" t="str">
        <f>IFERROR(__xludf.DUMMYFUNCTION("IF(REGEXMATCH(VLOOKUP(A74, RAW_Data!B:BZ, 29, FALSE), ""Smart""), ""Yes"", ""No"")"),"No")</f>
        <v>No</v>
      </c>
      <c r="L74" s="46" t="str">
        <f>IFERROR(__xludf.DUMMYFUNCTION("IF(REGEXMATCH(VLOOKUP(A74, RAW_Data!B:BZ, 29, FALSE), ""Trouble""), ""Yes"", ""No"")"),"No")</f>
        <v>No</v>
      </c>
      <c r="M74" s="46" t="str">
        <f>IFERROR(__xludf.DUMMYFUNCTION("IF(REGEXMATCH(VLOOKUP(A74, RAW_Data!B:BZ, 29, FALSE), ""MRC""), ""Yes"", ""No"")"),"No")</f>
        <v>No</v>
      </c>
      <c r="N74" s="48" t="str">
        <f>VLOOKUP(A74, RAW_Data!B:Z, 12, FALSE)</f>
        <v>Rwano, Guy Fremin</v>
      </c>
      <c r="O74" s="45" t="s">
        <v>1026</v>
      </c>
    </row>
    <row r="75">
      <c r="A75" s="45" t="str">
        <f>IFERROR(__xludf.DUMMYFUNCTION("""COMPUTED_VALUE"""),"Ouchchane, Myriam")</f>
        <v>Ouchchane, Myriam</v>
      </c>
      <c r="B75" s="46" t="str">
        <f>VLOOKUP(A75, RAW_Data!B:Z, 4, FALSE)</f>
        <v>Active</v>
      </c>
      <c r="C75" s="47">
        <f>VLOOKUP(A75, RAW_Data!B:Z, 10, FALSE)</f>
        <v>4</v>
      </c>
      <c r="D75" s="46" t="str">
        <f>VLOOKUP(A75, RAW_Data!B:Z, 9, FALSE)</f>
        <v>Bilingual-French</v>
      </c>
      <c r="E75" s="48" t="str">
        <f>IFERROR(__xludf.DUMMYFUNCTION("LET(
  x, IFERROR(VLOOKUP(A75, RAW_Data!B:BZ, 61, FALSE), """"),
  IFS(
    REGEXMATCH(x, ""Morning""), ""Day"",
    REGEXMATCH(x, ""Evening""), ""Evening"",
    REGEXMATCH(x, ""Night""), ""Night"",
    x="""", """",
    TRUE, ""Variable""
  )
)"),"Night")</f>
        <v>Night</v>
      </c>
      <c r="F75" s="46" t="str">
        <f>VLOOKUP(A75, RAW_Data!B:Z, 8, FALSE)</f>
        <v>Montreal</v>
      </c>
      <c r="G75" s="46" t="str">
        <f>VLOOKUP(A75, RAW_Data!B:Z, 2, FALSE)</f>
        <v>T956393</v>
      </c>
      <c r="H75" s="46" t="str">
        <f>VLOOKUP(A75, RAW_Data!B:Z, 18, FALSE)</f>
        <v>M0191</v>
      </c>
      <c r="I75" s="46">
        <f>VLOOKUP(A75, RAW_Data!B:Z, 20, FALSE)</f>
        <v>100956393</v>
      </c>
      <c r="J75" s="46">
        <f>VLOOKUP(A75, RAW_Data!B:Z, 24, FALSE)</f>
        <v>1067172</v>
      </c>
      <c r="K75" s="46" t="str">
        <f>IFERROR(__xludf.DUMMYFUNCTION("IF(REGEXMATCH(VLOOKUP(A75, RAW_Data!B:BZ, 29, FALSE), ""Smart""), ""Yes"", ""No"")"),"Yes")</f>
        <v>Yes</v>
      </c>
      <c r="L75" s="46" t="str">
        <f>IFERROR(__xludf.DUMMYFUNCTION("IF(REGEXMATCH(VLOOKUP(A75, RAW_Data!B:BZ, 29, FALSE), ""Trouble""), ""Yes"", ""No"")"),"Yes")</f>
        <v>Yes</v>
      </c>
      <c r="M75" s="46" t="str">
        <f>IFERROR(__xludf.DUMMYFUNCTION("IF(REGEXMATCH(VLOOKUP(A75, RAW_Data!B:BZ, 29, FALSE), ""MRC""), ""Yes"", ""No"")"),"Yes")</f>
        <v>Yes</v>
      </c>
      <c r="N75" s="48" t="str">
        <f>VLOOKUP(A75, RAW_Data!B:Z, 12, FALSE)</f>
        <v>Herrati, Houcine</v>
      </c>
      <c r="O75" s="45" t="s">
        <v>1036</v>
      </c>
    </row>
    <row r="76">
      <c r="A76" s="45" t="str">
        <f>IFERROR(__xludf.DUMMYFUNCTION("""COMPUTED_VALUE"""),"Panayiotis (Peter) Tsoraidis")</f>
        <v>Panayiotis (Peter) Tsoraidis</v>
      </c>
      <c r="B76" s="46" t="str">
        <f>VLOOKUP(A76, RAW_Data!B:Z, 4, FALSE)</f>
        <v>Active</v>
      </c>
      <c r="C76" s="47" t="str">
        <f>VLOOKUP(A76, RAW_Data!B:Z, 10, FALSE)</f>
        <v>Trainee</v>
      </c>
      <c r="D76" s="46" t="str">
        <f>VLOOKUP(A76, RAW_Data!B:Z, 9, FALSE)</f>
        <v>Bilingual-French</v>
      </c>
      <c r="E76" s="48" t="str">
        <f>IFERROR(__xludf.DUMMYFUNCTION("LET(
  x, IFERROR(VLOOKUP(A76, RAW_Data!B:BZ, 61, FALSE), """"),
  IFS(
    REGEXMATCH(x, ""Morning""), ""Day"",
    REGEXMATCH(x, ""Evening""), ""Evening"",
    REGEXMATCH(x, ""Night""), ""Night"",
    x="""", """",
    TRUE, ""Variable""
  )
)"),"")</f>
        <v/>
      </c>
      <c r="F76" s="46" t="str">
        <f>VLOOKUP(A76, RAW_Data!B:Z, 8, FALSE)</f>
        <v>Montreal</v>
      </c>
      <c r="G76" s="46" t="str">
        <f>VLOOKUP(A76, RAW_Data!B:Z, 2, FALSE)</f>
        <v>T6001657</v>
      </c>
      <c r="H76" s="46" t="str">
        <f>VLOOKUP(A76, RAW_Data!B:Z, 18, FALSE)</f>
        <v/>
      </c>
      <c r="I76" s="46" t="str">
        <f>VLOOKUP(A76, RAW_Data!B:Z, 20, FALSE)</f>
        <v/>
      </c>
      <c r="J76" s="46">
        <f>VLOOKUP(A76, RAW_Data!B:Z, 24, FALSE)</f>
        <v>1060072</v>
      </c>
      <c r="K76" s="46" t="str">
        <f>IFERROR(__xludf.DUMMYFUNCTION("IF(REGEXMATCH(VLOOKUP(A76, RAW_Data!B:BZ, 29, FALSE), ""Smart""), ""Yes"", ""No"")"),"No")</f>
        <v>No</v>
      </c>
      <c r="L76" s="46" t="str">
        <f>IFERROR(__xludf.DUMMYFUNCTION("IF(REGEXMATCH(VLOOKUP(A76, RAW_Data!B:BZ, 29, FALSE), ""Trouble""), ""Yes"", ""No"")"),"No")</f>
        <v>No</v>
      </c>
      <c r="M76" s="46" t="str">
        <f>IFERROR(__xludf.DUMMYFUNCTION("IF(REGEXMATCH(VLOOKUP(A76, RAW_Data!B:BZ, 29, FALSE), ""MRC""), ""Yes"", ""No"")"),"No")</f>
        <v>No</v>
      </c>
      <c r="N76" s="48" t="str">
        <f>VLOOKUP(A76, RAW_Data!B:Z, 12, FALSE)</f>
        <v>Diegue, Kerry</v>
      </c>
      <c r="O76" s="51"/>
    </row>
    <row r="77">
      <c r="A77" s="45" t="str">
        <f>IFERROR(__xludf.DUMMYFUNCTION("""COMPUTED_VALUE"""),"Pandey, Mridula")</f>
        <v>Pandey, Mridula</v>
      </c>
      <c r="B77" s="46" t="str">
        <f>VLOOKUP(A77, RAW_Data!B:Z, 4, FALSE)</f>
        <v>Active</v>
      </c>
      <c r="C77" s="47">
        <f>VLOOKUP(A77, RAW_Data!B:Z, 10, FALSE)</f>
        <v>2</v>
      </c>
      <c r="D77" s="46" t="str">
        <f>VLOOKUP(A77, RAW_Data!B:Z, 9, FALSE)</f>
        <v>English</v>
      </c>
      <c r="E77" s="48" t="str">
        <f>IFERROR(__xludf.DUMMYFUNCTION("LET(
  x, IFERROR(VLOOKUP(A77, RAW_Data!B:BZ, 61, FALSE), """"),
  IFS(
    REGEXMATCH(x, ""Morning""), ""Day"",
    REGEXMATCH(x, ""Evening""), ""Evening"",
    REGEXMATCH(x, ""Night""), ""Night"",
    x="""", """",
    TRUE, ""Variable""
  )
)"),"Day")</f>
        <v>Day</v>
      </c>
      <c r="F77" s="46" t="str">
        <f>VLOOKUP(A77, RAW_Data!B:Z, 8, FALSE)</f>
        <v>Calgary</v>
      </c>
      <c r="G77" s="46" t="str">
        <f>VLOOKUP(A77, RAW_Data!B:Z, 2, FALSE)</f>
        <v>T956359</v>
      </c>
      <c r="H77" s="46" t="str">
        <f>VLOOKUP(A77, RAW_Data!B:Z, 18, FALSE)</f>
        <v>M0193</v>
      </c>
      <c r="I77" s="46">
        <f>VLOOKUP(A77, RAW_Data!B:Z, 20, FALSE)</f>
        <v>100956359</v>
      </c>
      <c r="J77" s="46">
        <f>VLOOKUP(A77, RAW_Data!B:Z, 24, FALSE)</f>
        <v>1066539</v>
      </c>
      <c r="K77" s="46" t="str">
        <f>IFERROR(__xludf.DUMMYFUNCTION("IF(REGEXMATCH(VLOOKUP(A77, RAW_Data!B:BZ, 29, FALSE), ""Smart""), ""Yes"", ""No"")"),"No")</f>
        <v>No</v>
      </c>
      <c r="L77" s="46" t="str">
        <f>IFERROR(__xludf.DUMMYFUNCTION("IF(REGEXMATCH(VLOOKUP(A77, RAW_Data!B:BZ, 29, FALSE), ""Trouble""), ""Yes"", ""No"")"),"No")</f>
        <v>No</v>
      </c>
      <c r="M77" s="46" t="str">
        <f>IFERROR(__xludf.DUMMYFUNCTION("IF(REGEXMATCH(VLOOKUP(A77, RAW_Data!B:BZ, 29, FALSE), ""MRC""), ""Yes"", ""No"")"),"No")</f>
        <v>No</v>
      </c>
      <c r="N77" s="48" t="str">
        <f>VLOOKUP(A77, RAW_Data!B:Z, 12, FALSE)</f>
        <v>Gillingham, Shelley</v>
      </c>
      <c r="O77" s="31" t="s">
        <v>1055</v>
      </c>
    </row>
    <row r="78">
      <c r="A78" s="45" t="str">
        <f>IFERROR(__xludf.DUMMYFUNCTION("""COMPUTED_VALUE"""),"Paquette, Adam")</f>
        <v>Paquette, Adam</v>
      </c>
      <c r="B78" s="46" t="str">
        <f>VLOOKUP(A78, RAW_Data!B:Z, 4, FALSE)</f>
        <v>Active</v>
      </c>
      <c r="C78" s="47">
        <f>VLOOKUP(A78, RAW_Data!B:Z, 10, FALSE)</f>
        <v>4</v>
      </c>
      <c r="D78" s="46" t="str">
        <f>VLOOKUP(A78, RAW_Data!B:Z, 9, FALSE)</f>
        <v>Bilingual-French</v>
      </c>
      <c r="E78" s="48" t="str">
        <f>IFERROR(__xludf.DUMMYFUNCTION("LET(
  x, IFERROR(VLOOKUP(A78,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78" s="46" t="str">
        <f>VLOOKUP(A78, RAW_Data!B:Z, 8, FALSE)</f>
        <v>Montreal</v>
      </c>
      <c r="G78" s="46" t="str">
        <f>VLOOKUP(A78, RAW_Data!B:Z, 2, FALSE)</f>
        <v>T955844</v>
      </c>
      <c r="H78" s="46" t="str">
        <f>VLOOKUP(A78, RAW_Data!B:Z, 18, FALSE)</f>
        <v>M0194</v>
      </c>
      <c r="I78" s="46">
        <f>VLOOKUP(A78, RAW_Data!B:Z, 20, FALSE)</f>
        <v>100955844</v>
      </c>
      <c r="J78" s="46">
        <f>VLOOKUP(A78, RAW_Data!B:Z, 24, FALSE)</f>
        <v>1066707</v>
      </c>
      <c r="K78" s="46" t="str">
        <f>IFERROR(__xludf.DUMMYFUNCTION("IF(REGEXMATCH(VLOOKUP(A78, RAW_Data!B:BZ, 29, FALSE), ""Smart""), ""Yes"", ""No"")"),"Yes")</f>
        <v>Yes</v>
      </c>
      <c r="L78" s="46" t="str">
        <f>IFERROR(__xludf.DUMMYFUNCTION("IF(REGEXMATCH(VLOOKUP(A78, RAW_Data!B:BZ, 29, FALSE), ""Trouble""), ""Yes"", ""No"")"),"No")</f>
        <v>No</v>
      </c>
      <c r="M78" s="46" t="str">
        <f>IFERROR(__xludf.DUMMYFUNCTION("IF(REGEXMATCH(VLOOKUP(A78, RAW_Data!B:BZ, 29, FALSE), ""MRC""), ""Yes"", ""No"")"),"Yes")</f>
        <v>Yes</v>
      </c>
      <c r="N78" s="48" t="str">
        <f>VLOOKUP(A78, RAW_Data!B:Z, 12, FALSE)</f>
        <v>Kollias, Peter</v>
      </c>
      <c r="O78" s="45" t="s">
        <v>1065</v>
      </c>
    </row>
    <row r="79">
      <c r="A79" s="45" t="str">
        <f>IFERROR(__xludf.DUMMYFUNCTION("""COMPUTED_VALUE"""),"Peter Brown")</f>
        <v>Peter Brown</v>
      </c>
      <c r="B79" s="46" t="str">
        <f>VLOOKUP(A79, RAW_Data!B:Z, 4, FALSE)</f>
        <v>Active</v>
      </c>
      <c r="C79" s="47" t="str">
        <f>VLOOKUP(A79, RAW_Data!B:Z, 10, FALSE)</f>
        <v>Trainee</v>
      </c>
      <c r="D79" s="46" t="str">
        <f>VLOOKUP(A79, RAW_Data!B:Z, 9, FALSE)</f>
        <v>English</v>
      </c>
      <c r="E79" s="48" t="str">
        <f>IFERROR(__xludf.DUMMYFUNCTION("LET(
  x, IFERROR(VLOOKUP(A79, RAW_Data!B:BZ, 61, FALSE), """"),
  IFS(
    REGEXMATCH(x, ""Morning""), ""Day"",
    REGEXMATCH(x, ""Evening""), ""Evening"",
    REGEXMATCH(x, ""Night""), ""Night"",
    x="""", """",
    TRUE, ""Variable""
  )
)"),"")</f>
        <v/>
      </c>
      <c r="F79" s="46" t="str">
        <f>VLOOKUP(A79, RAW_Data!B:Z, 8, FALSE)</f>
        <v>Calgary</v>
      </c>
      <c r="G79" s="46" t="str">
        <f>VLOOKUP(A79, RAW_Data!B:Z, 2, FALSE)</f>
        <v>T6001714</v>
      </c>
      <c r="H79" s="46" t="str">
        <f>VLOOKUP(A79, RAW_Data!B:Z, 18, FALSE)</f>
        <v/>
      </c>
      <c r="I79" s="46" t="str">
        <f>VLOOKUP(A79, RAW_Data!B:Z, 20, FALSE)</f>
        <v/>
      </c>
      <c r="J79" s="46">
        <f>VLOOKUP(A79, RAW_Data!B:Z, 24, FALSE)</f>
        <v>1060075</v>
      </c>
      <c r="K79" s="46" t="str">
        <f>IFERROR(__xludf.DUMMYFUNCTION("IF(REGEXMATCH(VLOOKUP(A79, RAW_Data!B:BZ, 29, FALSE), ""Smart""), ""Yes"", ""No"")"),"No")</f>
        <v>No</v>
      </c>
      <c r="L79" s="46" t="str">
        <f>IFERROR(__xludf.DUMMYFUNCTION("IF(REGEXMATCH(VLOOKUP(A79, RAW_Data!B:BZ, 29, FALSE), ""Trouble""), ""Yes"", ""No"")"),"No")</f>
        <v>No</v>
      </c>
      <c r="M79" s="46" t="str">
        <f>IFERROR(__xludf.DUMMYFUNCTION("IF(REGEXMATCH(VLOOKUP(A79, RAW_Data!B:BZ, 29, FALSE), ""MRC""), ""Yes"", ""No"")"),"No")</f>
        <v>No</v>
      </c>
      <c r="N79" s="48" t="str">
        <f>VLOOKUP(A79, RAW_Data!B:Z, 12, FALSE)</f>
        <v>Diegue, Kerry</v>
      </c>
      <c r="O79" s="51"/>
    </row>
    <row r="80">
      <c r="A80" s="45" t="str">
        <f>IFERROR(__xludf.DUMMYFUNCTION("""COMPUTED_VALUE"""),"Petruska, Jennifer")</f>
        <v>Petruska, Jennifer</v>
      </c>
      <c r="B80" s="46" t="str">
        <f>VLOOKUP(A80, RAW_Data!B:Z, 4, FALSE)</f>
        <v>Active</v>
      </c>
      <c r="C80" s="47">
        <f>VLOOKUP(A80, RAW_Data!B:Z, 10, FALSE)</f>
        <v>2</v>
      </c>
      <c r="D80" s="46" t="str">
        <f>VLOOKUP(A80, RAW_Data!B:Z, 9, FALSE)</f>
        <v>English</v>
      </c>
      <c r="E80" s="48" t="str">
        <f>IFERROR(__xludf.DUMMYFUNCTION("LET(
  x, IFERROR(VLOOKUP(A80, RAW_Data!B:BZ, 61, FALSE), """"),
  IFS(
    REGEXMATCH(x, ""Morning""), ""Day"",
    REGEXMATCH(x, ""Evening""), ""Evening"",
    REGEXMATCH(x, ""Night""), ""Night"",
    x="""", """",
    TRUE, ""Variable""
  )
)"),"Day")</f>
        <v>Day</v>
      </c>
      <c r="F80" s="46" t="str">
        <f>VLOOKUP(A80, RAW_Data!B:Z, 8, FALSE)</f>
        <v>Calgary</v>
      </c>
      <c r="G80" s="46" t="str">
        <f>VLOOKUP(A80, RAW_Data!B:Z, 2, FALSE)</f>
        <v>T956351</v>
      </c>
      <c r="H80" s="46" t="str">
        <f>VLOOKUP(A80, RAW_Data!B:Z, 18, FALSE)</f>
        <v>M0195</v>
      </c>
      <c r="I80" s="46">
        <f>VLOOKUP(A80, RAW_Data!B:Z, 20, FALSE)</f>
        <v>100956351</v>
      </c>
      <c r="J80" s="46">
        <f>VLOOKUP(A80, RAW_Data!B:Z, 24, FALSE)</f>
        <v>1210806</v>
      </c>
      <c r="K80" s="46" t="str">
        <f>IFERROR(__xludf.DUMMYFUNCTION("IF(REGEXMATCH(VLOOKUP(A80, RAW_Data!B:BZ, 29, FALSE), ""Smart""), ""Yes"", ""No"")"),"No")</f>
        <v>No</v>
      </c>
      <c r="L80" s="46" t="str">
        <f>IFERROR(__xludf.DUMMYFUNCTION("IF(REGEXMATCH(VLOOKUP(A80, RAW_Data!B:BZ, 29, FALSE), ""Trouble""), ""Yes"", ""No"")"),"No")</f>
        <v>No</v>
      </c>
      <c r="M80" s="46" t="str">
        <f>IFERROR(__xludf.DUMMYFUNCTION("IF(REGEXMATCH(VLOOKUP(A80, RAW_Data!B:BZ, 29, FALSE), ""MRC""), ""Yes"", ""No"")"),"No")</f>
        <v>No</v>
      </c>
      <c r="N80" s="48" t="str">
        <f>VLOOKUP(A80, RAW_Data!B:Z, 12, FALSE)</f>
        <v>Gillingham, Shelley</v>
      </c>
      <c r="O80" s="45" t="s">
        <v>1084</v>
      </c>
    </row>
    <row r="81">
      <c r="A81" s="45" t="str">
        <f>IFERROR(__xludf.DUMMYFUNCTION("""COMPUTED_VALUE"""),"Philemy, Weetler")</f>
        <v>Philemy, Weetler</v>
      </c>
      <c r="B81" s="46" t="str">
        <f>VLOOKUP(A81, RAW_Data!B:Z, 4, FALSE)</f>
        <v>Active</v>
      </c>
      <c r="C81" s="47">
        <f>VLOOKUP(A81, RAW_Data!B:Z, 10, FALSE)</f>
        <v>1</v>
      </c>
      <c r="D81" s="46" t="str">
        <f>VLOOKUP(A81, RAW_Data!B:Z, 9, FALSE)</f>
        <v>Bilingual-French</v>
      </c>
      <c r="E81" s="48" t="str">
        <f>IFERROR(__xludf.DUMMYFUNCTION("LET(
  x, IFERROR(VLOOKUP(A81, RAW_Data!B:BZ, 61, FALSE), """"),
  IFS(
    REGEXMATCH(x, ""Morning""), ""Day"",
    REGEXMATCH(x, ""Evening""), ""Evening"",
    REGEXMATCH(x, ""Night""), ""Night"",
    x="""", """",
    TRUE, ""Variable""
  )
)"),"")</f>
        <v/>
      </c>
      <c r="F81" s="46" t="str">
        <f>VLOOKUP(A81, RAW_Data!B:Z, 8, FALSE)</f>
        <v>Montreal</v>
      </c>
      <c r="G81" s="46" t="str">
        <f>VLOOKUP(A81, RAW_Data!B:Z, 2, FALSE)</f>
        <v>T6001435</v>
      </c>
      <c r="H81" s="46" t="str">
        <f>VLOOKUP(A81, RAW_Data!B:Z, 18, FALSE)</f>
        <v>M0537</v>
      </c>
      <c r="I81" s="46">
        <f>VLOOKUP(A81, RAW_Data!B:Z, 20, FALSE)</f>
        <v>106001435</v>
      </c>
      <c r="J81" s="46">
        <f>VLOOKUP(A81, RAW_Data!B:Z, 24, FALSE)</f>
        <v>1060005</v>
      </c>
      <c r="K81" s="46" t="str">
        <f>IFERROR(__xludf.DUMMYFUNCTION("IF(REGEXMATCH(VLOOKUP(A81, RAW_Data!B:BZ, 29, FALSE), ""Smart""), ""Yes"", ""No"")"),"No")</f>
        <v>No</v>
      </c>
      <c r="L81" s="46" t="str">
        <f>IFERROR(__xludf.DUMMYFUNCTION("IF(REGEXMATCH(VLOOKUP(A81, RAW_Data!B:BZ, 29, FALSE), ""Trouble""), ""Yes"", ""No"")"),"No")</f>
        <v>No</v>
      </c>
      <c r="M81" s="46" t="str">
        <f>IFERROR(__xludf.DUMMYFUNCTION("IF(REGEXMATCH(VLOOKUP(A81, RAW_Data!B:BZ, 29, FALSE), ""MRC""), ""Yes"", ""No"")"),"No")</f>
        <v>No</v>
      </c>
      <c r="N81" s="48" t="str">
        <f>VLOOKUP(A81, RAW_Data!B:Z, 12, FALSE)</f>
        <v>Herrati, Houcine</v>
      </c>
      <c r="O81" s="31" t="s">
        <v>1096</v>
      </c>
    </row>
    <row r="82">
      <c r="A82" s="45" t="str">
        <f>IFERROR(__xludf.DUMMYFUNCTION("""COMPUTED_VALUE"""),"Pierre, Christopher")</f>
        <v>Pierre, Christopher</v>
      </c>
      <c r="B82" s="46" t="str">
        <f>VLOOKUP(A82, RAW_Data!B:Z, 4, FALSE)</f>
        <v>Active</v>
      </c>
      <c r="C82" s="47">
        <f>VLOOKUP(A82, RAW_Data!B:Z, 10, FALSE)</f>
        <v>4</v>
      </c>
      <c r="D82" s="46" t="str">
        <f>VLOOKUP(A82, RAW_Data!B:Z, 9, FALSE)</f>
        <v>Bilingual-English</v>
      </c>
      <c r="E82" s="48" t="str">
        <f>IFERROR(__xludf.DUMMYFUNCTION("LET(
  x, IFERROR(VLOOKUP(A82,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82" s="46" t="str">
        <f>VLOOKUP(A82, RAW_Data!B:Z, 8, FALSE)</f>
        <v>Montreal</v>
      </c>
      <c r="G82" s="46" t="str">
        <f>VLOOKUP(A82, RAW_Data!B:Z, 2, FALSE)</f>
        <v>T955923</v>
      </c>
      <c r="H82" s="46" t="str">
        <f>VLOOKUP(A82, RAW_Data!B:Z, 18, FALSE)</f>
        <v>M0197</v>
      </c>
      <c r="I82" s="46">
        <f>VLOOKUP(A82, RAW_Data!B:Z, 20, FALSE)</f>
        <v>100955923</v>
      </c>
      <c r="J82" s="46">
        <f>VLOOKUP(A82, RAW_Data!B:Z, 24, FALSE)</f>
        <v>1067168</v>
      </c>
      <c r="K82" s="46" t="str">
        <f>IFERROR(__xludf.DUMMYFUNCTION("IF(REGEXMATCH(VLOOKUP(A82, RAW_Data!B:BZ, 29, FALSE), ""Smart""), ""Yes"", ""No"")"),"No")</f>
        <v>No</v>
      </c>
      <c r="L82" s="46" t="str">
        <f>IFERROR(__xludf.DUMMYFUNCTION("IF(REGEXMATCH(VLOOKUP(A82, RAW_Data!B:BZ, 29, FALSE), ""Trouble""), ""Yes"", ""No"")"),"No")</f>
        <v>No</v>
      </c>
      <c r="M82" s="46" t="str">
        <f>IFERROR(__xludf.DUMMYFUNCTION("IF(REGEXMATCH(VLOOKUP(A82, RAW_Data!B:BZ, 29, FALSE), ""MRC""), ""Yes"", ""No"")"),"No")</f>
        <v>No</v>
      </c>
      <c r="N82" s="48" t="str">
        <f>VLOOKUP(A82, RAW_Data!B:Z, 12, FALSE)</f>
        <v>Kollias, Peter</v>
      </c>
      <c r="O82" s="45" t="s">
        <v>1104</v>
      </c>
    </row>
    <row r="83">
      <c r="A83" s="45" t="str">
        <f>IFERROR(__xludf.DUMMYFUNCTION("""COMPUTED_VALUE"""),"Popovic, Jessica")</f>
        <v>Popovic, Jessica</v>
      </c>
      <c r="B83" s="46" t="str">
        <f>VLOOKUP(A83, RAW_Data!B:Z, 4, FALSE)</f>
        <v>Active</v>
      </c>
      <c r="C83" s="47">
        <f>VLOOKUP(A83, RAW_Data!B:Z, 10, FALSE)</f>
        <v>4</v>
      </c>
      <c r="D83" s="46" t="str">
        <f>VLOOKUP(A83, RAW_Data!B:Z, 9, FALSE)</f>
        <v>Bilingual-English</v>
      </c>
      <c r="E83" s="48" t="str">
        <f>IFERROR(__xludf.DUMMYFUNCTION("LET(
  x, IFERROR(VLOOKUP(A83, RAW_Data!B:BZ, 61, FALSE), """"),
  IFS(
    REGEXMATCH(x, ""Morning""), ""Day"",
    REGEXMATCH(x, ""Evening""), ""Evening"",
    REGEXMATCH(x, ""Night""), ""Night"",
    x="""", """",
    TRUE, ""Variable""
  )
)"),"Night")</f>
        <v>Night</v>
      </c>
      <c r="F83" s="46" t="str">
        <f>VLOOKUP(A83, RAW_Data!B:Z, 8, FALSE)</f>
        <v>Montreal</v>
      </c>
      <c r="G83" s="46" t="str">
        <f>VLOOKUP(A83, RAW_Data!B:Z, 2, FALSE)</f>
        <v>T998426</v>
      </c>
      <c r="H83" s="46" t="str">
        <f>VLOOKUP(A83, RAW_Data!B:Z, 18, FALSE)</f>
        <v>M0016</v>
      </c>
      <c r="I83" s="46">
        <f>VLOOKUP(A83, RAW_Data!B:Z, 20, FALSE)</f>
        <v>100998426</v>
      </c>
      <c r="J83" s="46">
        <f>VLOOKUP(A83, RAW_Data!B:Z, 24, FALSE)</f>
        <v>1060036</v>
      </c>
      <c r="K83" s="46" t="str">
        <f>IFERROR(__xludf.DUMMYFUNCTION("IF(REGEXMATCH(VLOOKUP(A83, RAW_Data!B:BZ, 29, FALSE), ""Smart""), ""Yes"", ""No"")"),"Yes")</f>
        <v>Yes</v>
      </c>
      <c r="L83" s="46" t="str">
        <f>IFERROR(__xludf.DUMMYFUNCTION("IF(REGEXMATCH(VLOOKUP(A83, RAW_Data!B:BZ, 29, FALSE), ""Trouble""), ""Yes"", ""No"")"),"No")</f>
        <v>No</v>
      </c>
      <c r="M83" s="46" t="str">
        <f>IFERROR(__xludf.DUMMYFUNCTION("IF(REGEXMATCH(VLOOKUP(A83, RAW_Data!B:BZ, 29, FALSE), ""MRC""), ""Yes"", ""No"")"),"Yes")</f>
        <v>Yes</v>
      </c>
      <c r="N83" s="48" t="str">
        <f>VLOOKUP(A83, RAW_Data!B:Z, 12, FALSE)</f>
        <v>Herrati, Houcine</v>
      </c>
      <c r="O83" s="45" t="s">
        <v>1126</v>
      </c>
    </row>
    <row r="84">
      <c r="A84" s="45" t="str">
        <f>IFERROR(__xludf.DUMMYFUNCTION("""COMPUTED_VALUE"""),"Quero, Michael")</f>
        <v>Quero, Michael</v>
      </c>
      <c r="B84" s="46" t="str">
        <f>VLOOKUP(A84, RAW_Data!B:Z, 4, FALSE)</f>
        <v>Active</v>
      </c>
      <c r="C84" s="47">
        <f>VLOOKUP(A84, RAW_Data!B:Z, 10, FALSE)</f>
        <v>3</v>
      </c>
      <c r="D84" s="46" t="str">
        <f>VLOOKUP(A84, RAW_Data!B:Z, 9, FALSE)</f>
        <v>English</v>
      </c>
      <c r="E84" s="48" t="str">
        <f>IFERROR(__xludf.DUMMYFUNCTION("LET(
  x, IFERROR(VLOOKUP(A84,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84" s="46" t="str">
        <f>VLOOKUP(A84, RAW_Data!B:Z, 8, FALSE)</f>
        <v>Calgary</v>
      </c>
      <c r="G84" s="46" t="str">
        <f>VLOOKUP(A84, RAW_Data!B:Z, 2, FALSE)</f>
        <v>T955717</v>
      </c>
      <c r="H84" s="46" t="str">
        <f>VLOOKUP(A84, RAW_Data!B:Z, 18, FALSE)</f>
        <v>M0203</v>
      </c>
      <c r="I84" s="46">
        <f>VLOOKUP(A84, RAW_Data!B:Z, 20, FALSE)</f>
        <v>100955717</v>
      </c>
      <c r="J84" s="46">
        <f>VLOOKUP(A84, RAW_Data!B:Z, 24, FALSE)</f>
        <v>1210391</v>
      </c>
      <c r="K84" s="46" t="str">
        <f>IFERROR(__xludf.DUMMYFUNCTION("IF(REGEXMATCH(VLOOKUP(A84, RAW_Data!B:BZ, 29, FALSE), ""Smart""), ""Yes"", ""No"")"),"Yes")</f>
        <v>Yes</v>
      </c>
      <c r="L84" s="46" t="str">
        <f>IFERROR(__xludf.DUMMYFUNCTION("IF(REGEXMATCH(VLOOKUP(A84, RAW_Data!B:BZ, 29, FALSE), ""Trouble""), ""Yes"", ""No"")"),"No")</f>
        <v>No</v>
      </c>
      <c r="M84" s="46" t="str">
        <f>IFERROR(__xludf.DUMMYFUNCTION("IF(REGEXMATCH(VLOOKUP(A84, RAW_Data!B:BZ, 29, FALSE), ""MRC""), ""Yes"", ""No"")"),"No")</f>
        <v>No</v>
      </c>
      <c r="N84" s="48" t="str">
        <f>VLOOKUP(A84, RAW_Data!B:Z, 12, FALSE)</f>
        <v>Gillingham, Shelley</v>
      </c>
      <c r="O84" s="45" t="s">
        <v>1136</v>
      </c>
    </row>
    <row r="85">
      <c r="A85" s="45" t="str">
        <f>IFERROR(__xludf.DUMMYFUNCTION("""COMPUTED_VALUE"""),"Ratz, Emily")</f>
        <v>Ratz, Emily</v>
      </c>
      <c r="B85" s="46" t="str">
        <f>VLOOKUP(A85, RAW_Data!B:Z, 4, FALSE)</f>
        <v>Active</v>
      </c>
      <c r="C85" s="47">
        <f>VLOOKUP(A85, RAW_Data!B:Z, 10, FALSE)</f>
        <v>4</v>
      </c>
      <c r="D85" s="46" t="str">
        <f>VLOOKUP(A85, RAW_Data!B:Z, 9, FALSE)</f>
        <v>English</v>
      </c>
      <c r="E85" s="48" t="str">
        <f>IFERROR(__xludf.DUMMYFUNCTION("LET(
  x, IFERROR(VLOOKUP(A85, RAW_Data!B:BZ, 61, FALSE), """"),
  IFS(
    REGEXMATCH(x, ""Morning""), ""Day"",
    REGEXMATCH(x, ""Evening""), ""Evening"",
    REGEXMATCH(x, ""Night""), ""Night"",
    x="""", """",
    TRUE, ""Variable""
  )
)"),"Night")</f>
        <v>Night</v>
      </c>
      <c r="F85" s="46" t="str">
        <f>VLOOKUP(A85, RAW_Data!B:Z, 8, FALSE)</f>
        <v>Prince George</v>
      </c>
      <c r="G85" s="46" t="str">
        <f>VLOOKUP(A85, RAW_Data!B:Z, 2, FALSE)</f>
        <v>T952567</v>
      </c>
      <c r="H85" s="46" t="str">
        <f>VLOOKUP(A85, RAW_Data!B:Z, 18, FALSE)</f>
        <v>M0204</v>
      </c>
      <c r="I85" s="46">
        <f>VLOOKUP(A85, RAW_Data!B:Z, 20, FALSE)</f>
        <v>100952567</v>
      </c>
      <c r="J85" s="46">
        <f>VLOOKUP(A85, RAW_Data!B:Z, 24, FALSE)</f>
        <v>1067367</v>
      </c>
      <c r="K85" s="46" t="str">
        <f>IFERROR(__xludf.DUMMYFUNCTION("IF(REGEXMATCH(VLOOKUP(A85, RAW_Data!B:BZ, 29, FALSE), ""Smart""), ""Yes"", ""No"")"),"Yes")</f>
        <v>Yes</v>
      </c>
      <c r="L85" s="46" t="str">
        <f>IFERROR(__xludf.DUMMYFUNCTION("IF(REGEXMATCH(VLOOKUP(A85, RAW_Data!B:BZ, 29, FALSE), ""Trouble""), ""Yes"", ""No"")"),"Yes")</f>
        <v>Yes</v>
      </c>
      <c r="M85" s="46" t="str">
        <f>IFERROR(__xludf.DUMMYFUNCTION("IF(REGEXMATCH(VLOOKUP(A85, RAW_Data!B:BZ, 29, FALSE), ""MRC""), ""Yes"", ""No"")"),"No")</f>
        <v>No</v>
      </c>
      <c r="N85" s="48" t="str">
        <f>VLOOKUP(A85, RAW_Data!B:Z, 12, FALSE)</f>
        <v>Diegue, Kerry</v>
      </c>
      <c r="O85" s="45" t="s">
        <v>1146</v>
      </c>
    </row>
    <row r="86">
      <c r="A86" s="45" t="str">
        <f>IFERROR(__xludf.DUMMYFUNCTION("""COMPUTED_VALUE"""),"Rea, Shannon")</f>
        <v>Rea, Shannon</v>
      </c>
      <c r="B86" s="46" t="str">
        <f>VLOOKUP(A86, RAW_Data!B:Z, 4, FALSE)</f>
        <v>Active</v>
      </c>
      <c r="C86" s="47">
        <f>VLOOKUP(A86, RAW_Data!B:Z, 10, FALSE)</f>
        <v>4</v>
      </c>
      <c r="D86" s="46" t="str">
        <f>VLOOKUP(A86, RAW_Data!B:Z, 9, FALSE)</f>
        <v>English</v>
      </c>
      <c r="E86" s="48" t="str">
        <f>IFERROR(__xludf.DUMMYFUNCTION("LET(
  x, IFERROR(VLOOKUP(A86,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86" s="46" t="str">
        <f>VLOOKUP(A86, RAW_Data!B:Z, 8, FALSE)</f>
        <v>Prince George</v>
      </c>
      <c r="G86" s="46" t="str">
        <f>VLOOKUP(A86, RAW_Data!B:Z, 2, FALSE)</f>
        <v>T937529</v>
      </c>
      <c r="H86" s="46" t="str">
        <f>VLOOKUP(A86, RAW_Data!B:Z, 18, FALSE)</f>
        <v>M0205</v>
      </c>
      <c r="I86" s="46">
        <f>VLOOKUP(A86, RAW_Data!B:Z, 20, FALSE)</f>
        <v>100937529</v>
      </c>
      <c r="J86" s="46">
        <f>VLOOKUP(A86, RAW_Data!B:Z, 24, FALSE)</f>
        <v>1067368</v>
      </c>
      <c r="K86" s="46" t="str">
        <f>IFERROR(__xludf.DUMMYFUNCTION("IF(REGEXMATCH(VLOOKUP(A86, RAW_Data!B:BZ, 29, FALSE), ""Smart""), ""Yes"", ""No"")"),"Yes")</f>
        <v>Yes</v>
      </c>
      <c r="L86" s="46" t="str">
        <f>IFERROR(__xludf.DUMMYFUNCTION("IF(REGEXMATCH(VLOOKUP(A86, RAW_Data!B:BZ, 29, FALSE), ""Trouble""), ""Yes"", ""No"")"),"Yes")</f>
        <v>Yes</v>
      </c>
      <c r="M86" s="46" t="str">
        <f>IFERROR(__xludf.DUMMYFUNCTION("IF(REGEXMATCH(VLOOKUP(A86, RAW_Data!B:BZ, 29, FALSE), ""MRC""), ""Yes"", ""No"")"),"No")</f>
        <v>No</v>
      </c>
      <c r="N86" s="48" t="str">
        <f>VLOOKUP(A86, RAW_Data!B:Z, 12, FALSE)</f>
        <v>Dhindsa, Sukhjinder</v>
      </c>
      <c r="O86" s="49" t="s">
        <v>1158</v>
      </c>
    </row>
    <row r="87">
      <c r="A87" s="45" t="str">
        <f>IFERROR(__xludf.DUMMYFUNCTION("""COMPUTED_VALUE"""),"Rebelo-Bayle, Antoine")</f>
        <v>Rebelo-Bayle, Antoine</v>
      </c>
      <c r="B87" s="46" t="str">
        <f>VLOOKUP(A87, RAW_Data!B:Z, 4, FALSE)</f>
        <v>Active</v>
      </c>
      <c r="C87" s="47">
        <f>VLOOKUP(A87, RAW_Data!B:Z, 10, FALSE)</f>
        <v>2</v>
      </c>
      <c r="D87" s="46" t="str">
        <f>VLOOKUP(A87, RAW_Data!B:Z, 9, FALSE)</f>
        <v>Bilingual-French</v>
      </c>
      <c r="E87" s="48" t="str">
        <f>IFERROR(__xludf.DUMMYFUNCTION("LET(
  x, IFERROR(VLOOKUP(A87,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87" s="46" t="str">
        <f>VLOOKUP(A87, RAW_Data!B:Z, 8, FALSE)</f>
        <v>Montreal</v>
      </c>
      <c r="G87" s="46" t="str">
        <f>VLOOKUP(A87, RAW_Data!B:Z, 2, FALSE)</f>
        <v>T996383</v>
      </c>
      <c r="H87" s="46" t="str">
        <f>VLOOKUP(A87, RAW_Data!B:Z, 18, FALSE)</f>
        <v>M0206</v>
      </c>
      <c r="I87" s="46">
        <f>VLOOKUP(A87, RAW_Data!B:Z, 20, FALSE)</f>
        <v>100996383</v>
      </c>
      <c r="J87" s="46">
        <f>VLOOKUP(A87, RAW_Data!B:Z, 24, FALSE)</f>
        <v>1060017</v>
      </c>
      <c r="K87" s="46" t="str">
        <f>IFERROR(__xludf.DUMMYFUNCTION("IF(REGEXMATCH(VLOOKUP(A87, RAW_Data!B:BZ, 29, FALSE), ""Smart""), ""Yes"", ""No"")"),"No")</f>
        <v>No</v>
      </c>
      <c r="L87" s="46" t="str">
        <f>IFERROR(__xludf.DUMMYFUNCTION("IF(REGEXMATCH(VLOOKUP(A87, RAW_Data!B:BZ, 29, FALSE), ""Trouble""), ""Yes"", ""No"")"),"No")</f>
        <v>No</v>
      </c>
      <c r="M87" s="46" t="str">
        <f>IFERROR(__xludf.DUMMYFUNCTION("IF(REGEXMATCH(VLOOKUP(A87, RAW_Data!B:BZ, 29, FALSE), ""MRC""), ""Yes"", ""No"")"),"No")</f>
        <v>No</v>
      </c>
      <c r="N87" s="48" t="str">
        <f>VLOOKUP(A87, RAW_Data!B:Z, 12, FALSE)</f>
        <v>Rwano, Guy Fremin</v>
      </c>
      <c r="O87" s="52" t="s">
        <v>1169</v>
      </c>
    </row>
    <row r="88">
      <c r="A88" s="45" t="str">
        <f>IFERROR(__xludf.DUMMYFUNCTION("""COMPUTED_VALUE"""),"Rennie, Vida")</f>
        <v>Rennie, Vida</v>
      </c>
      <c r="B88" s="46" t="str">
        <f>VLOOKUP(A88, RAW_Data!B:Z, 4, FALSE)</f>
        <v>Active</v>
      </c>
      <c r="C88" s="47">
        <f>VLOOKUP(A88, RAW_Data!B:Z, 10, FALSE)</f>
        <v>4</v>
      </c>
      <c r="D88" s="46" t="str">
        <f>VLOOKUP(A88, RAW_Data!B:Z, 9, FALSE)</f>
        <v>English</v>
      </c>
      <c r="E88" s="48" t="str">
        <f>IFERROR(__xludf.DUMMYFUNCTION("LET(
  x, IFERROR(VLOOKUP(A88, RAW_Data!B:BZ, 61, FALSE), """"),
  IFS(
    REGEXMATCH(x, ""Morning""), ""Day"",
    REGEXMATCH(x, ""Evening""), ""Evening"",
    REGEXMATCH(x, ""Night""), ""Night"",
    x="""", """",
    TRUE, ""Variable""
  )
)"),"Night")</f>
        <v>Night</v>
      </c>
      <c r="F88" s="46" t="str">
        <f>VLOOKUP(A88, RAW_Data!B:Z, 8, FALSE)</f>
        <v>Prince George</v>
      </c>
      <c r="G88" s="46" t="str">
        <f>VLOOKUP(A88, RAW_Data!B:Z, 2, FALSE)</f>
        <v>T937531</v>
      </c>
      <c r="H88" s="46" t="str">
        <f>VLOOKUP(A88, RAW_Data!B:Z, 18, FALSE)</f>
        <v>M0208</v>
      </c>
      <c r="I88" s="46">
        <f>VLOOKUP(A88, RAW_Data!B:Z, 20, FALSE)</f>
        <v>100937531</v>
      </c>
      <c r="J88" s="46">
        <f>VLOOKUP(A88, RAW_Data!B:Z, 24, FALSE)</f>
        <v>1067369</v>
      </c>
      <c r="K88" s="46" t="str">
        <f>IFERROR(__xludf.DUMMYFUNCTION("IF(REGEXMATCH(VLOOKUP(A88, RAW_Data!B:BZ, 29, FALSE), ""Smart""), ""Yes"", ""No"")"),"Yes")</f>
        <v>Yes</v>
      </c>
      <c r="L88" s="46" t="str">
        <f>IFERROR(__xludf.DUMMYFUNCTION("IF(REGEXMATCH(VLOOKUP(A88, RAW_Data!B:BZ, 29, FALSE), ""Trouble""), ""Yes"", ""No"")"),"Yes")</f>
        <v>Yes</v>
      </c>
      <c r="M88" s="46" t="str">
        <f>IFERROR(__xludf.DUMMYFUNCTION("IF(REGEXMATCH(VLOOKUP(A88, RAW_Data!B:BZ, 29, FALSE), ""MRC""), ""Yes"", ""No"")"),"Yes")</f>
        <v>Yes</v>
      </c>
      <c r="N88" s="48" t="str">
        <f>VLOOKUP(A88, RAW_Data!B:Z, 12, FALSE)</f>
        <v>Kollias, Peter</v>
      </c>
      <c r="O88" s="45" t="s">
        <v>1178</v>
      </c>
    </row>
    <row r="89">
      <c r="A89" s="45" t="str">
        <f>IFERROR(__xludf.DUMMYFUNCTION("""COMPUTED_VALUE"""),"Saint-Firmin, Alexandra")</f>
        <v>Saint-Firmin, Alexandra</v>
      </c>
      <c r="B89" s="46" t="str">
        <f>VLOOKUP(A89, RAW_Data!B:Z, 4, FALSE)</f>
        <v>Active</v>
      </c>
      <c r="C89" s="47">
        <f>VLOOKUP(A89, RAW_Data!B:Z, 10, FALSE)</f>
        <v>1</v>
      </c>
      <c r="D89" s="46" t="str">
        <f>VLOOKUP(A89, RAW_Data!B:Z, 9, FALSE)</f>
        <v>Bilingual-French</v>
      </c>
      <c r="E89" s="48" t="str">
        <f>IFERROR(__xludf.DUMMYFUNCTION("LET(
  x, IFERROR(VLOOKUP(A89, RAW_Data!B:BZ, 61, FALSE), """"),
  IFS(
    REGEXMATCH(x, ""Morning""), ""Day"",
    REGEXMATCH(x, ""Evening""), ""Evening"",
    REGEXMATCH(x, ""Night""), ""Night"",
    x="""", """",
    TRUE, ""Variable""
  )
)"),"")</f>
        <v/>
      </c>
      <c r="F89" s="46" t="str">
        <f>VLOOKUP(A89, RAW_Data!B:Z, 8, FALSE)</f>
        <v>Montreal</v>
      </c>
      <c r="G89" s="46" t="str">
        <f>VLOOKUP(A89, RAW_Data!B:Z, 2, FALSE)</f>
        <v>T6001490</v>
      </c>
      <c r="H89" s="46" t="str">
        <f>VLOOKUP(A89, RAW_Data!B:Z, 18, FALSE)</f>
        <v>M0528</v>
      </c>
      <c r="I89" s="46">
        <f>VLOOKUP(A89, RAW_Data!B:Z, 20, FALSE)</f>
        <v>106001490</v>
      </c>
      <c r="J89" s="46">
        <f>VLOOKUP(A89, RAW_Data!B:Z, 24, FALSE)</f>
        <v>1060014</v>
      </c>
      <c r="K89" s="46" t="str">
        <f>IFERROR(__xludf.DUMMYFUNCTION("IF(REGEXMATCH(VLOOKUP(A89, RAW_Data!B:BZ, 29, FALSE), ""Smart""), ""Yes"", ""No"")"),"No")</f>
        <v>No</v>
      </c>
      <c r="L89" s="46" t="str">
        <f>IFERROR(__xludf.DUMMYFUNCTION("IF(REGEXMATCH(VLOOKUP(A89, RAW_Data!B:BZ, 29, FALSE), ""Trouble""), ""Yes"", ""No"")"),"No")</f>
        <v>No</v>
      </c>
      <c r="M89" s="46" t="str">
        <f>IFERROR(__xludf.DUMMYFUNCTION("IF(REGEXMATCH(VLOOKUP(A89, RAW_Data!B:BZ, 29, FALSE), ""MRC""), ""Yes"", ""No"")"),"No")</f>
        <v>No</v>
      </c>
      <c r="N89" s="48" t="str">
        <f>VLOOKUP(A89, RAW_Data!B:Z, 12, FALSE)</f>
        <v>Dhindsa, Sukhjinder</v>
      </c>
      <c r="O89" s="31" t="s">
        <v>1191</v>
      </c>
    </row>
    <row r="90">
      <c r="A90" s="45" t="str">
        <f>IFERROR(__xludf.DUMMYFUNCTION("""COMPUTED_VALUE"""),"Sanon, Shana")</f>
        <v>Sanon, Shana</v>
      </c>
      <c r="B90" s="46" t="str">
        <f>VLOOKUP(A90, RAW_Data!B:Z, 4, FALSE)</f>
        <v>Active</v>
      </c>
      <c r="C90" s="47">
        <f>VLOOKUP(A90, RAW_Data!B:Z, 10, FALSE)</f>
        <v>4</v>
      </c>
      <c r="D90" s="46" t="str">
        <f>VLOOKUP(A90, RAW_Data!B:Z, 9, FALSE)</f>
        <v>Bilingual-French</v>
      </c>
      <c r="E90" s="48" t="str">
        <f>IFERROR(__xludf.DUMMYFUNCTION("LET(
  x, IFERROR(VLOOKUP(A90, RAW_Data!B:BZ, 61, FALSE), """"),
  IFS(
    REGEXMATCH(x, ""Morning""), ""Day"",
    REGEXMATCH(x, ""Evening""), ""Evening"",
    REGEXMATCH(x, ""Night""), ""Night"",
    x="""", """",
    TRUE, ""Variable""
  )
)"),"Day")</f>
        <v>Day</v>
      </c>
      <c r="F90" s="46" t="str">
        <f>VLOOKUP(A90, RAW_Data!B:Z, 8, FALSE)</f>
        <v>Montreal</v>
      </c>
      <c r="G90" s="46" t="str">
        <f>VLOOKUP(A90, RAW_Data!B:Z, 2, FALSE)</f>
        <v>T956395</v>
      </c>
      <c r="H90" s="46" t="str">
        <f>VLOOKUP(A90, RAW_Data!B:Z, 18, FALSE)</f>
        <v>M0216</v>
      </c>
      <c r="I90" s="46">
        <f>VLOOKUP(A90, RAW_Data!B:Z, 20, FALSE)</f>
        <v>100956395</v>
      </c>
      <c r="J90" s="46">
        <f>VLOOKUP(A90, RAW_Data!B:Z, 24, FALSE)</f>
        <v>1067177</v>
      </c>
      <c r="K90" s="46" t="str">
        <f>IFERROR(__xludf.DUMMYFUNCTION("IF(REGEXMATCH(VLOOKUP(A90, RAW_Data!B:BZ, 29, FALSE), ""Smart""), ""Yes"", ""No"")"),"No")</f>
        <v>No</v>
      </c>
      <c r="L90" s="46" t="str">
        <f>IFERROR(__xludf.DUMMYFUNCTION("IF(REGEXMATCH(VLOOKUP(A90, RAW_Data!B:BZ, 29, FALSE), ""Trouble""), ""Yes"", ""No"")"),"No")</f>
        <v>No</v>
      </c>
      <c r="M90" s="46" t="str">
        <f>IFERROR(__xludf.DUMMYFUNCTION("IF(REGEXMATCH(VLOOKUP(A90, RAW_Data!B:BZ, 29, FALSE), ""MRC""), ""Yes"", ""No"")"),"No")</f>
        <v>No</v>
      </c>
      <c r="N90" s="48" t="str">
        <f>VLOOKUP(A90, RAW_Data!B:Z, 12, FALSE)</f>
        <v>Kollias, Peter</v>
      </c>
      <c r="O90" s="50" t="s">
        <v>1472</v>
      </c>
    </row>
    <row r="91">
      <c r="A91" s="45" t="str">
        <f>IFERROR(__xludf.DUMMYFUNCTION("""COMPUTED_VALUE"""),"Sekhon, Gurman")</f>
        <v>Sekhon, Gurman</v>
      </c>
      <c r="B91" s="46" t="str">
        <f>VLOOKUP(A91, RAW_Data!B:Z, 4, FALSE)</f>
        <v>Active</v>
      </c>
      <c r="C91" s="47">
        <f>VLOOKUP(A91, RAW_Data!B:Z, 10, FALSE)</f>
        <v>4</v>
      </c>
      <c r="D91" s="46" t="str">
        <f>VLOOKUP(A91, RAW_Data!B:Z, 9, FALSE)</f>
        <v>English</v>
      </c>
      <c r="E91" s="48" t="str">
        <f>IFERROR(__xludf.DUMMYFUNCTION("LET(
  x, IFERROR(VLOOKUP(A91, RAW_Data!B:BZ, 61, FALSE), """"),
  IFS(
    REGEXMATCH(x, ""Morning""), ""Day"",
    REGEXMATCH(x, ""Evening""), ""Evening"",
    REGEXMATCH(x, ""Night""), ""Night"",
    x="""", """",
    TRUE, ""Variable""
  )
)"),"Night")</f>
        <v>Night</v>
      </c>
      <c r="F91" s="46" t="str">
        <f>VLOOKUP(A91, RAW_Data!B:Z, 8, FALSE)</f>
        <v>Prince George</v>
      </c>
      <c r="G91" s="46" t="str">
        <f>VLOOKUP(A91, RAW_Data!B:Z, 2, FALSE)</f>
        <v>T980929</v>
      </c>
      <c r="H91" s="46" t="str">
        <f>VLOOKUP(A91, RAW_Data!B:Z, 18, FALSE)</f>
        <v>M0217</v>
      </c>
      <c r="I91" s="46">
        <f>VLOOKUP(A91, RAW_Data!B:Z, 20, FALSE)</f>
        <v>100980929</v>
      </c>
      <c r="J91" s="46">
        <f>VLOOKUP(A91, RAW_Data!B:Z, 24, FALSE)</f>
        <v>1067382</v>
      </c>
      <c r="K91" s="46" t="str">
        <f>IFERROR(__xludf.DUMMYFUNCTION("IF(REGEXMATCH(VLOOKUP(A91, RAW_Data!B:BZ, 29, FALSE), ""Smart""), ""Yes"", ""No"")"),"No")</f>
        <v>No</v>
      </c>
      <c r="L91" s="46" t="str">
        <f>IFERROR(__xludf.DUMMYFUNCTION("IF(REGEXMATCH(VLOOKUP(A91, RAW_Data!B:BZ, 29, FALSE), ""Trouble""), ""Yes"", ""No"")"),"Yes")</f>
        <v>Yes</v>
      </c>
      <c r="M91" s="46" t="str">
        <f>IFERROR(__xludf.DUMMYFUNCTION("IF(REGEXMATCH(VLOOKUP(A91, RAW_Data!B:BZ, 29, FALSE), ""MRC""), ""Yes"", ""No"")"),"No")</f>
        <v>No</v>
      </c>
      <c r="N91" s="48" t="str">
        <f>VLOOKUP(A91, RAW_Data!B:Z, 12, FALSE)</f>
        <v>Dhindsa, Sukhjinder</v>
      </c>
      <c r="O91" s="31" t="s">
        <v>1473</v>
      </c>
    </row>
    <row r="92">
      <c r="A92" s="45" t="str">
        <f>IFERROR(__xludf.DUMMYFUNCTION("""COMPUTED_VALUE"""),"Senechal, Manon")</f>
        <v>Senechal, Manon</v>
      </c>
      <c r="B92" s="46" t="str">
        <f>VLOOKUP(A92, RAW_Data!B:Z, 4, FALSE)</f>
        <v>Active</v>
      </c>
      <c r="C92" s="47">
        <f>VLOOKUP(A92, RAW_Data!B:Z, 10, FALSE)</f>
        <v>3</v>
      </c>
      <c r="D92" s="46" t="str">
        <f>VLOOKUP(A92, RAW_Data!B:Z, 9, FALSE)</f>
        <v>French</v>
      </c>
      <c r="E92" s="48" t="str">
        <f>IFERROR(__xludf.DUMMYFUNCTION("LET(
  x, IFERROR(VLOOKUP(A92, RAW_Data!B:BZ, 61, FALSE), """"),
  IFS(
    REGEXMATCH(x, ""Morning""), ""Day"",
    REGEXMATCH(x, ""Evening""), ""Evening"",
    REGEXMATCH(x, ""Night""), ""Night"",
    x="""", """",
    TRUE, ""Variable""
  )
)"),"Day")</f>
        <v>Day</v>
      </c>
      <c r="F92" s="46" t="str">
        <f>VLOOKUP(A92, RAW_Data!B:Z, 8, FALSE)</f>
        <v>Montreal</v>
      </c>
      <c r="G92" s="46" t="str">
        <f>VLOOKUP(A92, RAW_Data!B:Z, 2, FALSE)</f>
        <v>T956377</v>
      </c>
      <c r="H92" s="46" t="str">
        <f>VLOOKUP(A92, RAW_Data!B:Z, 18, FALSE)</f>
        <v>M0218</v>
      </c>
      <c r="I92" s="46">
        <f>VLOOKUP(A92, RAW_Data!B:Z, 20, FALSE)</f>
        <v>100956377</v>
      </c>
      <c r="J92" s="46">
        <f>VLOOKUP(A92, RAW_Data!B:Z, 24, FALSE)</f>
        <v>1066132</v>
      </c>
      <c r="K92" s="46" t="str">
        <f>IFERROR(__xludf.DUMMYFUNCTION("IF(REGEXMATCH(VLOOKUP(A92, RAW_Data!B:BZ, 29, FALSE), ""Smart""), ""Yes"", ""No"")"),"No")</f>
        <v>No</v>
      </c>
      <c r="L92" s="46" t="str">
        <f>IFERROR(__xludf.DUMMYFUNCTION("IF(REGEXMATCH(VLOOKUP(A92, RAW_Data!B:BZ, 29, FALSE), ""Trouble""), ""Yes"", ""No"")"),"No")</f>
        <v>No</v>
      </c>
      <c r="M92" s="46" t="str">
        <f>IFERROR(__xludf.DUMMYFUNCTION("IF(REGEXMATCH(VLOOKUP(A92, RAW_Data!B:BZ, 29, FALSE), ""MRC""), ""Yes"", ""No"")"),"No")</f>
        <v>No</v>
      </c>
      <c r="N92" s="48" t="str">
        <f>VLOOKUP(A92, RAW_Data!B:Z, 12, FALSE)</f>
        <v>Lo, Mamadou</v>
      </c>
      <c r="O92" s="45" t="s">
        <v>1220</v>
      </c>
    </row>
    <row r="93">
      <c r="A93" s="45" t="str">
        <f>IFERROR(__xludf.DUMMYFUNCTION("""COMPUTED_VALUE"""),"Shantilal Mehboob")</f>
        <v>Shantilal Mehboob</v>
      </c>
      <c r="B93" s="46" t="str">
        <f>VLOOKUP(A93, RAW_Data!B:Z, 4, FALSE)</f>
        <v>Active</v>
      </c>
      <c r="C93" s="47" t="str">
        <f>VLOOKUP(A93, RAW_Data!B:Z, 10, FALSE)</f>
        <v>Trainee</v>
      </c>
      <c r="D93" s="46" t="str">
        <f>VLOOKUP(A93, RAW_Data!B:Z, 9, FALSE)</f>
        <v>Bilingual-French</v>
      </c>
      <c r="E93" s="48" t="str">
        <f>IFERROR(__xludf.DUMMYFUNCTION("LET(
  x, IFERROR(VLOOKUP(A93, RAW_Data!B:BZ, 61, FALSE), """"),
  IFS(
    REGEXMATCH(x, ""Morning""), ""Day"",
    REGEXMATCH(x, ""Evening""), ""Evening"",
    REGEXMATCH(x, ""Night""), ""Night"",
    x="""", """",
    TRUE, ""Variable""
  )
)"),"")</f>
        <v/>
      </c>
      <c r="F93" s="46" t="str">
        <f>VLOOKUP(A93, RAW_Data!B:Z, 8, FALSE)</f>
        <v>Montreal</v>
      </c>
      <c r="G93" s="46" t="str">
        <f>VLOOKUP(A93, RAW_Data!B:Z, 2, FALSE)</f>
        <v>T6001671</v>
      </c>
      <c r="H93" s="46" t="str">
        <f>VLOOKUP(A93, RAW_Data!B:Z, 18, FALSE)</f>
        <v/>
      </c>
      <c r="I93" s="46" t="str">
        <f>VLOOKUP(A93, RAW_Data!B:Z, 20, FALSE)</f>
        <v/>
      </c>
      <c r="J93" s="46">
        <f>VLOOKUP(A93, RAW_Data!B:Z, 24, FALSE)</f>
        <v>1060076</v>
      </c>
      <c r="K93" s="46" t="str">
        <f>IFERROR(__xludf.DUMMYFUNCTION("IF(REGEXMATCH(VLOOKUP(A93, RAW_Data!B:BZ, 29, FALSE), ""Smart""), ""Yes"", ""No"")"),"No")</f>
        <v>No</v>
      </c>
      <c r="L93" s="46" t="str">
        <f>IFERROR(__xludf.DUMMYFUNCTION("IF(REGEXMATCH(VLOOKUP(A93, RAW_Data!B:BZ, 29, FALSE), ""Trouble""), ""Yes"", ""No"")"),"No")</f>
        <v>No</v>
      </c>
      <c r="M93" s="46" t="str">
        <f>IFERROR(__xludf.DUMMYFUNCTION("IF(REGEXMATCH(VLOOKUP(A93, RAW_Data!B:BZ, 29, FALSE), ""MRC""), ""Yes"", ""No"")"),"No")</f>
        <v>No</v>
      </c>
      <c r="N93" s="48" t="str">
        <f>VLOOKUP(A93, RAW_Data!B:Z, 12, FALSE)</f>
        <v>Diegue, Kerry</v>
      </c>
      <c r="O93" s="51"/>
    </row>
    <row r="94">
      <c r="A94" s="45" t="str">
        <f>IFERROR(__xludf.DUMMYFUNCTION("""COMPUTED_VALUE"""),"Simranjeet (Simran) Sanghera")</f>
        <v>Simranjeet (Simran) Sanghera</v>
      </c>
      <c r="B94" s="46" t="str">
        <f>VLOOKUP(A94, RAW_Data!B:Z, 4, FALSE)</f>
        <v>Active</v>
      </c>
      <c r="C94" s="47" t="str">
        <f>VLOOKUP(A94, RAW_Data!B:Z, 10, FALSE)</f>
        <v>Trainee</v>
      </c>
      <c r="D94" s="46" t="str">
        <f>VLOOKUP(A94, RAW_Data!B:Z, 9, FALSE)</f>
        <v>English</v>
      </c>
      <c r="E94" s="48" t="str">
        <f>IFERROR(__xludf.DUMMYFUNCTION("LET(
  x, IFERROR(VLOOKUP(A94, RAW_Data!B:BZ, 61, FALSE), """"),
  IFS(
    REGEXMATCH(x, ""Morning""), ""Day"",
    REGEXMATCH(x, ""Evening""), ""Evening"",
    REGEXMATCH(x, ""Night""), ""Night"",
    x="""", """",
    TRUE, ""Variable""
  )
)"),"")</f>
        <v/>
      </c>
      <c r="F94" s="46" t="str">
        <f>VLOOKUP(A94, RAW_Data!B:Z, 8, FALSE)</f>
        <v>Calgary</v>
      </c>
      <c r="G94" s="46" t="str">
        <f>VLOOKUP(A94, RAW_Data!B:Z, 2, FALSE)</f>
        <v>T6001716</v>
      </c>
      <c r="H94" s="46" t="str">
        <f>VLOOKUP(A94, RAW_Data!B:Z, 18, FALSE)</f>
        <v/>
      </c>
      <c r="I94" s="46" t="str">
        <f>VLOOKUP(A94, RAW_Data!B:Z, 20, FALSE)</f>
        <v/>
      </c>
      <c r="J94" s="46" t="str">
        <f>VLOOKUP(A94, RAW_Data!B:Z, 24, FALSE)</f>
        <v/>
      </c>
      <c r="K94" s="46" t="str">
        <f>IFERROR(__xludf.DUMMYFUNCTION("IF(REGEXMATCH(VLOOKUP(A94, RAW_Data!B:BZ, 29, FALSE), ""Smart""), ""Yes"", ""No"")"),"No")</f>
        <v>No</v>
      </c>
      <c r="L94" s="46" t="str">
        <f>IFERROR(__xludf.DUMMYFUNCTION("IF(REGEXMATCH(VLOOKUP(A94, RAW_Data!B:BZ, 29, FALSE), ""Trouble""), ""Yes"", ""No"")"),"No")</f>
        <v>No</v>
      </c>
      <c r="M94" s="46" t="str">
        <f>IFERROR(__xludf.DUMMYFUNCTION("IF(REGEXMATCH(VLOOKUP(A94, RAW_Data!B:BZ, 29, FALSE), ""MRC""), ""Yes"", ""No"")"),"No")</f>
        <v>No</v>
      </c>
      <c r="N94" s="48" t="str">
        <f>VLOOKUP(A94, RAW_Data!B:Z, 12, FALSE)</f>
        <v>Diegue, Kerry</v>
      </c>
      <c r="O94" s="51"/>
    </row>
    <row r="95">
      <c r="A95" s="45" t="str">
        <f>IFERROR(__xludf.DUMMYFUNCTION("""COMPUTED_VALUE"""),"Sivoravong, Kanitha")</f>
        <v>Sivoravong, Kanitha</v>
      </c>
      <c r="B95" s="46" t="str">
        <f>VLOOKUP(A95, RAW_Data!B:Z, 4, FALSE)</f>
        <v>Active</v>
      </c>
      <c r="C95" s="47">
        <f>VLOOKUP(A95, RAW_Data!B:Z, 10, FALSE)</f>
        <v>4</v>
      </c>
      <c r="D95" s="46" t="str">
        <f>VLOOKUP(A95, RAW_Data!B:Z, 9, FALSE)</f>
        <v>Bilingual-French</v>
      </c>
      <c r="E95" s="48" t="str">
        <f>IFERROR(__xludf.DUMMYFUNCTION("LET(
  x, IFERROR(VLOOKUP(A95,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95" s="46" t="str">
        <f>VLOOKUP(A95, RAW_Data!B:Z, 8, FALSE)</f>
        <v>Montreal</v>
      </c>
      <c r="G95" s="46" t="str">
        <f>VLOOKUP(A95, RAW_Data!B:Z, 2, FALSE)</f>
        <v>T955826</v>
      </c>
      <c r="H95" s="46" t="str">
        <f>VLOOKUP(A95, RAW_Data!B:Z, 18, FALSE)</f>
        <v>M0222</v>
      </c>
      <c r="I95" s="46">
        <f>VLOOKUP(A95, RAW_Data!B:Z, 20, FALSE)</f>
        <v>100955826</v>
      </c>
      <c r="J95" s="46">
        <f>VLOOKUP(A95, RAW_Data!B:Z, 24, FALSE)</f>
        <v>1066111</v>
      </c>
      <c r="K95" s="46" t="str">
        <f>IFERROR(__xludf.DUMMYFUNCTION("IF(REGEXMATCH(VLOOKUP(A95, RAW_Data!B:BZ, 29, FALSE), ""Smart""), ""Yes"", ""No"")"),"Yes")</f>
        <v>Yes</v>
      </c>
      <c r="L95" s="46" t="str">
        <f>IFERROR(__xludf.DUMMYFUNCTION("IF(REGEXMATCH(VLOOKUP(A95, RAW_Data!B:BZ, 29, FALSE), ""Trouble""), ""Yes"", ""No"")"),"No")</f>
        <v>No</v>
      </c>
      <c r="M95" s="46" t="str">
        <f>IFERROR(__xludf.DUMMYFUNCTION("IF(REGEXMATCH(VLOOKUP(A95, RAW_Data!B:BZ, 29, FALSE), ""MRC""), ""Yes"", ""No"")"),"Yes")</f>
        <v>Yes</v>
      </c>
      <c r="N95" s="48" t="str">
        <f>VLOOKUP(A95, RAW_Data!B:Z, 12, FALSE)</f>
        <v>Kollias, Peter</v>
      </c>
      <c r="O95" s="45" t="s">
        <v>1256</v>
      </c>
    </row>
    <row r="96">
      <c r="A96" s="45" t="str">
        <f>IFERROR(__xludf.DUMMYFUNCTION("""COMPUTED_VALUE"""),"Snelgrove, Sylvia")</f>
        <v>Snelgrove, Sylvia</v>
      </c>
      <c r="B96" s="46" t="str">
        <f>VLOOKUP(A96, RAW_Data!B:Z, 4, FALSE)</f>
        <v>Active</v>
      </c>
      <c r="C96" s="47">
        <f>VLOOKUP(A96, RAW_Data!B:Z, 10, FALSE)</f>
        <v>2</v>
      </c>
      <c r="D96" s="46" t="str">
        <f>VLOOKUP(A96, RAW_Data!B:Z, 9, FALSE)</f>
        <v>Bilingual-English</v>
      </c>
      <c r="E96" s="48" t="str">
        <f>IFERROR(__xludf.DUMMYFUNCTION("LET(
  x, IFERROR(VLOOKUP(A96, RAW_Data!B:BZ, 61, FALSE), """"),
  IFS(
    REGEXMATCH(x, ""Morning""), ""Day"",
    REGEXMATCH(x, ""Evening""), ""Evening"",
    REGEXMATCH(x, ""Night""), ""Night"",
    x="""", """",
    TRUE, ""Variable""
  )
)"),"Day")</f>
        <v>Day</v>
      </c>
      <c r="F96" s="46" t="str">
        <f>VLOOKUP(A96, RAW_Data!B:Z, 8, FALSE)</f>
        <v>Remote Area</v>
      </c>
      <c r="G96" s="46" t="str">
        <f>VLOOKUP(A96, RAW_Data!B:Z, 2, FALSE)</f>
        <v>T996777</v>
      </c>
      <c r="H96" s="46" t="str">
        <f>VLOOKUP(A96, RAW_Data!B:Z, 18, FALSE)</f>
        <v>M0224</v>
      </c>
      <c r="I96" s="46">
        <f>VLOOKUP(A96, RAW_Data!B:Z, 20, FALSE)</f>
        <v>100996777</v>
      </c>
      <c r="J96" s="46">
        <f>VLOOKUP(A96, RAW_Data!B:Z, 24, FALSE)</f>
        <v>1060020</v>
      </c>
      <c r="K96" s="46" t="str">
        <f>IFERROR(__xludf.DUMMYFUNCTION("IF(REGEXMATCH(VLOOKUP(A96, RAW_Data!B:BZ, 29, FALSE), ""Smart""), ""Yes"", ""No"")"),"Yes")</f>
        <v>Yes</v>
      </c>
      <c r="L96" s="46" t="str">
        <f>IFERROR(__xludf.DUMMYFUNCTION("IF(REGEXMATCH(VLOOKUP(A96, RAW_Data!B:BZ, 29, FALSE), ""Trouble""), ""Yes"", ""No"")"),"No")</f>
        <v>No</v>
      </c>
      <c r="M96" s="46" t="str">
        <f>IFERROR(__xludf.DUMMYFUNCTION("IF(REGEXMATCH(VLOOKUP(A96, RAW_Data!B:BZ, 29, FALSE), ""MRC""), ""Yes"", ""No"")"),"No")</f>
        <v>No</v>
      </c>
      <c r="N96" s="48" t="str">
        <f>VLOOKUP(A96, RAW_Data!B:Z, 12, FALSE)</f>
        <v>Gillingham, Shelley</v>
      </c>
      <c r="O96" s="45" t="s">
        <v>1270</v>
      </c>
    </row>
    <row r="97">
      <c r="A97" s="45" t="str">
        <f>IFERROR(__xludf.DUMMYFUNCTION("""COMPUTED_VALUE"""),"Tanguay-Roy, Marcel")</f>
        <v>Tanguay-Roy, Marcel</v>
      </c>
      <c r="B97" s="46" t="str">
        <f>VLOOKUP(A97, RAW_Data!B:Z, 4, FALSE)</f>
        <v>Active</v>
      </c>
      <c r="C97" s="47">
        <f>VLOOKUP(A97, RAW_Data!B:Z, 10, FALSE)</f>
        <v>2</v>
      </c>
      <c r="D97" s="46" t="str">
        <f>VLOOKUP(A97, RAW_Data!B:Z, 9, FALSE)</f>
        <v>Bilingual-French</v>
      </c>
      <c r="E97" s="48" t="str">
        <f>IFERROR(__xludf.DUMMYFUNCTION("LET(
  x, IFERROR(VLOOKUP(A97, RAW_Data!B:BZ, 61, FALSE), """"),
  IFS(
    REGEXMATCH(x, ""Morning""), ""Day"",
    REGEXMATCH(x, ""Evening""), ""Evening"",
    REGEXMATCH(x, ""Night""), ""Night"",
    x="""", """",
    TRUE, ""Variable""
  )
)"),"Day")</f>
        <v>Day</v>
      </c>
      <c r="F97" s="46" t="str">
        <f>VLOOKUP(A97, RAW_Data!B:Z, 8, FALSE)</f>
        <v>Montreal</v>
      </c>
      <c r="G97" s="46" t="str">
        <f>VLOOKUP(A97, RAW_Data!B:Z, 2, FALSE)</f>
        <v>T955842</v>
      </c>
      <c r="H97" s="46" t="str">
        <f>VLOOKUP(A97, RAW_Data!B:Z, 18, FALSE)</f>
        <v>M0230</v>
      </c>
      <c r="I97" s="46">
        <f>VLOOKUP(A97, RAW_Data!B:Z, 20, FALSE)</f>
        <v>100955842</v>
      </c>
      <c r="J97" s="46">
        <f>VLOOKUP(A97, RAW_Data!B:Z, 24, FALSE)</f>
        <v>1066075</v>
      </c>
      <c r="K97" s="46" t="str">
        <f>IFERROR(__xludf.DUMMYFUNCTION("IF(REGEXMATCH(VLOOKUP(A97, RAW_Data!B:BZ, 29, FALSE), ""Smart""), ""Yes"", ""No"")"),"No")</f>
        <v>No</v>
      </c>
      <c r="L97" s="46" t="str">
        <f>IFERROR(__xludf.DUMMYFUNCTION("IF(REGEXMATCH(VLOOKUP(A97, RAW_Data!B:BZ, 29, FALSE), ""Trouble""), ""Yes"", ""No"")"),"No")</f>
        <v>No</v>
      </c>
      <c r="M97" s="46" t="str">
        <f>IFERROR(__xludf.DUMMYFUNCTION("IF(REGEXMATCH(VLOOKUP(A97, RAW_Data!B:BZ, 29, FALSE), ""MRC""), ""Yes"", ""No"")"),"No")</f>
        <v>No</v>
      </c>
      <c r="N97" s="48" t="str">
        <f>VLOOKUP(A97, RAW_Data!B:Z, 12, FALSE)</f>
        <v>Kollias, Peter</v>
      </c>
      <c r="O97" s="45" t="s">
        <v>1279</v>
      </c>
    </row>
    <row r="98" ht="18.0" customHeight="1">
      <c r="A98" s="45" t="str">
        <f>IFERROR(__xludf.DUMMYFUNCTION("""COMPUTED_VALUE"""),"Tawa Soh, Basile")</f>
        <v>Tawa Soh, Basile</v>
      </c>
      <c r="B98" s="46" t="str">
        <f>VLOOKUP(A98, RAW_Data!B:Z, 4, FALSE)</f>
        <v>Active</v>
      </c>
      <c r="C98" s="47">
        <f>VLOOKUP(A98, RAW_Data!B:Z, 10, FALSE)</f>
        <v>1</v>
      </c>
      <c r="D98" s="46" t="str">
        <f>VLOOKUP(A98, RAW_Data!B:Z, 9, FALSE)</f>
        <v>Bilingual-French</v>
      </c>
      <c r="E98" s="48" t="str">
        <f>IFERROR(__xludf.DUMMYFUNCTION("LET(
  x, IFERROR(VLOOKUP(A98, RAW_Data!B:BZ, 61, FALSE), """"),
  IFS(
    REGEXMATCH(x, ""Morning""), ""Day"",
    REGEXMATCH(x, ""Evening""), ""Evening"",
    REGEXMATCH(x, ""Night""), ""Night"",
    x="""", """",
    TRUE, ""Variable""
  )
)"),"")</f>
        <v/>
      </c>
      <c r="F98" s="46" t="str">
        <f>VLOOKUP(A98, RAW_Data!B:Z, 8, FALSE)</f>
        <v>Montreal</v>
      </c>
      <c r="G98" s="46"/>
      <c r="H98" s="46" t="str">
        <f>VLOOKUP(A98, RAW_Data!B:Z, 18, FALSE)</f>
        <v>M0531</v>
      </c>
      <c r="I98" s="46">
        <f>VLOOKUP(A98, RAW_Data!B:Z, 20, FALSE)</f>
        <v>106001433</v>
      </c>
      <c r="J98" s="46">
        <f>VLOOKUP(A98, RAW_Data!B:Z, 24, FALSE)</f>
        <v>1060031</v>
      </c>
      <c r="K98" s="46" t="str">
        <f>IFERROR(__xludf.DUMMYFUNCTION("IF(REGEXMATCH(VLOOKUP(A98, RAW_Data!B:BZ, 29, FALSE), ""Smart""), ""Yes"", ""No"")"),"No")</f>
        <v>No</v>
      </c>
      <c r="L98" s="46" t="str">
        <f>IFERROR(__xludf.DUMMYFUNCTION("IF(REGEXMATCH(VLOOKUP(A98, RAW_Data!B:BZ, 29, FALSE), ""Trouble""), ""Yes"", ""No"")"),"No")</f>
        <v>No</v>
      </c>
      <c r="M98" s="46" t="str">
        <f>IFERROR(__xludf.DUMMYFUNCTION("IF(REGEXMATCH(VLOOKUP(A98, RAW_Data!B:BZ, 29, FALSE), ""MRC""), ""Yes"", ""No"")"),"No")</f>
        <v>No</v>
      </c>
      <c r="N98" s="48" t="str">
        <f>VLOOKUP(A98, RAW_Data!B:Z, 12, FALSE)</f>
        <v>Kollias, Peter</v>
      </c>
      <c r="O98" s="31" t="s">
        <v>1290</v>
      </c>
    </row>
    <row r="99">
      <c r="A99" s="45" t="str">
        <f>IFERROR(__xludf.DUMMYFUNCTION("""COMPUTED_VALUE"""),"Thibert, Lise Valery")</f>
        <v>Thibert, Lise Valery</v>
      </c>
      <c r="B99" s="46" t="str">
        <f>VLOOKUP(A99, RAW_Data!B:Z, 4, FALSE)</f>
        <v>Active</v>
      </c>
      <c r="C99" s="47">
        <f>VLOOKUP(A99, RAW_Data!B:Z, 10, FALSE)</f>
        <v>2</v>
      </c>
      <c r="D99" s="46" t="str">
        <f>VLOOKUP(A99, RAW_Data!B:Z, 9, FALSE)</f>
        <v>Bilingual-French</v>
      </c>
      <c r="E99" s="48" t="str">
        <f>IFERROR(__xludf.DUMMYFUNCTION("LET(
  x, IFERROR(VLOOKUP(A99,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99" s="46" t="str">
        <f>VLOOKUP(A99, RAW_Data!B:Z, 8, FALSE)</f>
        <v>Montreal</v>
      </c>
      <c r="G99" s="46" t="str">
        <f>VLOOKUP(A99, RAW_Data!B:Z, 2, FALSE)</f>
        <v>T956176</v>
      </c>
      <c r="H99" s="46" t="str">
        <f>VLOOKUP(A99, RAW_Data!B:Z, 18, FALSE)</f>
        <v>M0233</v>
      </c>
      <c r="I99" s="46">
        <f>VLOOKUP(A99, RAW_Data!B:Z, 20, FALSE)</f>
        <v>100956176</v>
      </c>
      <c r="J99" s="46">
        <f>VLOOKUP(A99, RAW_Data!B:Z, 24, FALSE)</f>
        <v>1066783</v>
      </c>
      <c r="K99" s="46" t="str">
        <f>IFERROR(__xludf.DUMMYFUNCTION("IF(REGEXMATCH(VLOOKUP(A99, RAW_Data!B:BZ, 29, FALSE), ""Smart""), ""Yes"", ""No"")"),"Yes")</f>
        <v>Yes</v>
      </c>
      <c r="L99" s="46" t="str">
        <f>IFERROR(__xludf.DUMMYFUNCTION("IF(REGEXMATCH(VLOOKUP(A99, RAW_Data!B:BZ, 29, FALSE), ""Trouble""), ""Yes"", ""No"")"),"No")</f>
        <v>No</v>
      </c>
      <c r="M99" s="46" t="str">
        <f>IFERROR(__xludf.DUMMYFUNCTION("IF(REGEXMATCH(VLOOKUP(A99, RAW_Data!B:BZ, 29, FALSE), ""MRC""), ""Yes"", ""No"")"),"No")</f>
        <v>No</v>
      </c>
      <c r="N99" s="48" t="str">
        <f>VLOOKUP(A99, RAW_Data!B:Z, 12, FALSE)</f>
        <v>Diegue, Kerry</v>
      </c>
      <c r="O99" s="45" t="s">
        <v>1298</v>
      </c>
    </row>
    <row r="100">
      <c r="A100" s="45" t="str">
        <f>IFERROR(__xludf.DUMMYFUNCTION("""COMPUTED_VALUE"""),"Thurston, Sean")</f>
        <v>Thurston, Sean</v>
      </c>
      <c r="B100" s="46" t="str">
        <f>VLOOKUP(A100, RAW_Data!B:Z, 4, FALSE)</f>
        <v>Active</v>
      </c>
      <c r="C100" s="47">
        <f>VLOOKUP(A100, RAW_Data!B:Z, 10, FALSE)</f>
        <v>4</v>
      </c>
      <c r="D100" s="46" t="str">
        <f>VLOOKUP(A100, RAW_Data!B:Z, 9, FALSE)</f>
        <v>English</v>
      </c>
      <c r="E100" s="48" t="str">
        <f>IFERROR(__xludf.DUMMYFUNCTION("LET(
  x, IFERROR(VLOOKUP(A100, RAW_Data!B:BZ, 61, FALSE), """"),
  IFS(
    REGEXMATCH(x, ""Morning""), ""Day"",
    REGEXMATCH(x, ""Evening""), ""Evening"",
    REGEXMATCH(x, ""Night""), ""Night"",
    x="""", """",
    TRUE, ""Variable""
  )
)"),"Night")</f>
        <v>Night</v>
      </c>
      <c r="F100" s="46" t="str">
        <f>VLOOKUP(A100, RAW_Data!B:Z, 8, FALSE)</f>
        <v>Victoria</v>
      </c>
      <c r="G100" s="46" t="str">
        <f>VLOOKUP(A100, RAW_Data!B:Z, 2, FALSE)</f>
        <v>T973167</v>
      </c>
      <c r="H100" s="46" t="str">
        <f>VLOOKUP(A100, RAW_Data!B:Z, 18, FALSE)</f>
        <v>M0234</v>
      </c>
      <c r="I100" s="46">
        <f>VLOOKUP(A100, RAW_Data!B:Z, 20, FALSE)</f>
        <v>100973167</v>
      </c>
      <c r="J100" s="46">
        <f>VLOOKUP(A100, RAW_Data!B:Z, 24, FALSE)</f>
        <v>1030122</v>
      </c>
      <c r="K100" s="46" t="str">
        <f>IFERROR(__xludf.DUMMYFUNCTION("IF(REGEXMATCH(VLOOKUP(A100, RAW_Data!B:BZ, 29, FALSE), ""Smart""), ""Yes"", ""No"")"),"Yes")</f>
        <v>Yes</v>
      </c>
      <c r="L100" s="46" t="str">
        <f>IFERROR(__xludf.DUMMYFUNCTION("IF(REGEXMATCH(VLOOKUP(A100, RAW_Data!B:BZ, 29, FALSE), ""Trouble""), ""Yes"", ""No"")"),"Yes")</f>
        <v>Yes</v>
      </c>
      <c r="M100" s="46" t="str">
        <f>IFERROR(__xludf.DUMMYFUNCTION("IF(REGEXMATCH(VLOOKUP(A100, RAW_Data!B:BZ, 29, FALSE), ""MRC""), ""Yes"", ""No"")"),"No")</f>
        <v>No</v>
      </c>
      <c r="N100" s="48" t="str">
        <f>VLOOKUP(A100, RAW_Data!B:Z, 12, FALSE)</f>
        <v>Coghiel, Caren</v>
      </c>
      <c r="O100" s="31" t="s">
        <v>1310</v>
      </c>
    </row>
    <row r="101">
      <c r="A101" s="45" t="str">
        <f>IFERROR(__xludf.DUMMYFUNCTION("""COMPUTED_VALUE"""),"Tounsi, Taha")</f>
        <v>Tounsi, Taha</v>
      </c>
      <c r="B101" s="46" t="str">
        <f>VLOOKUP(A101, RAW_Data!B:Z, 4, FALSE)</f>
        <v>Active</v>
      </c>
      <c r="C101" s="47">
        <f>VLOOKUP(A101, RAW_Data!B:Z, 10, FALSE)</f>
        <v>2</v>
      </c>
      <c r="D101" s="46" t="str">
        <f>VLOOKUP(A101, RAW_Data!B:Z, 9, FALSE)</f>
        <v>Bilingual-French</v>
      </c>
      <c r="E101" s="48" t="str">
        <f>IFERROR(__xludf.DUMMYFUNCTION("LET(
  x, IFERROR(VLOOKUP(A101, RAW_Data!B:BZ, 61, FALSE), """"),
  IFS(
    REGEXMATCH(x, ""Morning""), ""Day"",
    REGEXMATCH(x, ""Evening""), ""Evening"",
    REGEXMATCH(x, ""Night""), ""Night"",
    x="""", """",
    TRUE, ""Variable""
  )
)"),"Night")</f>
        <v>Night</v>
      </c>
      <c r="F101" s="46" t="str">
        <f>VLOOKUP(A101, RAW_Data!B:Z, 8, FALSE)</f>
        <v>Montreal</v>
      </c>
      <c r="G101" s="46" t="str">
        <f>VLOOKUP(A101, RAW_Data!B:Z, 2, FALSE)</f>
        <v>T773674</v>
      </c>
      <c r="H101" s="46" t="str">
        <f>VLOOKUP(A101, RAW_Data!B:Z, 18, FALSE)</f>
        <v>M0513</v>
      </c>
      <c r="I101" s="46">
        <f>VLOOKUP(A101, RAW_Data!B:Z, 20, FALSE)</f>
        <v>100773674</v>
      </c>
      <c r="J101" s="46">
        <f>VLOOKUP(A101, RAW_Data!B:Z, 24, FALSE)</f>
        <v>1060066</v>
      </c>
      <c r="K101" s="46" t="str">
        <f>IFERROR(__xludf.DUMMYFUNCTION("IF(REGEXMATCH(VLOOKUP(A101, RAW_Data!B:BZ, 29, FALSE), ""Smart""), ""Yes"", ""No"")"),"No")</f>
        <v>No</v>
      </c>
      <c r="L101" s="46" t="str">
        <f>IFERROR(__xludf.DUMMYFUNCTION("IF(REGEXMATCH(VLOOKUP(A101, RAW_Data!B:BZ, 29, FALSE), ""Trouble""), ""Yes"", ""No"")"),"No")</f>
        <v>No</v>
      </c>
      <c r="M101" s="46" t="str">
        <f>IFERROR(__xludf.DUMMYFUNCTION("IF(REGEXMATCH(VLOOKUP(A101, RAW_Data!B:BZ, 29, FALSE), ""MRC""), ""Yes"", ""No"")"),"No")</f>
        <v>No</v>
      </c>
      <c r="N101" s="48" t="str">
        <f>VLOOKUP(A101, RAW_Data!B:Z, 12, FALSE)</f>
        <v>Coghiel, Caren</v>
      </c>
      <c r="O101" s="31" t="s">
        <v>1335</v>
      </c>
    </row>
    <row r="102">
      <c r="A102" s="45" t="str">
        <f>IFERROR(__xludf.DUMMYFUNCTION("""COMPUTED_VALUE"""),"Tredwell, Chris")</f>
        <v>Tredwell, Chris</v>
      </c>
      <c r="B102" s="46" t="str">
        <f>VLOOKUP(A102, RAW_Data!B:Z, 4, FALSE)</f>
        <v>Active</v>
      </c>
      <c r="C102" s="47">
        <f>VLOOKUP(A102, RAW_Data!B:Z, 10, FALSE)</f>
        <v>4</v>
      </c>
      <c r="D102" s="46" t="str">
        <f>VLOOKUP(A102, RAW_Data!B:Z, 9, FALSE)</f>
        <v>English</v>
      </c>
      <c r="E102" s="48" t="str">
        <f>IFERROR(__xludf.DUMMYFUNCTION("LET(
  x, IFERROR(VLOOKUP(A102, RAW_Data!B:BZ, 61, FALSE), """"),
  IFS(
    REGEXMATCH(x, ""Morning""), ""Day"",
    REGEXMATCH(x, ""Evening""), ""Evening"",
    REGEXMATCH(x, ""Night""), ""Night"",
    x="""", """",
    TRUE, ""Variable""
  )
)"),"Day")</f>
        <v>Day</v>
      </c>
      <c r="F102" s="46" t="str">
        <f>VLOOKUP(A102, RAW_Data!B:Z, 8, FALSE)</f>
        <v>Victoria</v>
      </c>
      <c r="G102" s="46" t="str">
        <f>VLOOKUP(A102, RAW_Data!B:Z, 2, FALSE)</f>
        <v>T973170</v>
      </c>
      <c r="H102" s="46" t="str">
        <f>VLOOKUP(A102, RAW_Data!B:Z, 18, FALSE)</f>
        <v>M0236</v>
      </c>
      <c r="I102" s="46">
        <f>VLOOKUP(A102, RAW_Data!B:Z, 20, FALSE)</f>
        <v>100973170</v>
      </c>
      <c r="J102" s="46">
        <f>VLOOKUP(A102, RAW_Data!B:Z, 24, FALSE)</f>
        <v>1030135</v>
      </c>
      <c r="K102" s="46" t="str">
        <f>IFERROR(__xludf.DUMMYFUNCTION("IF(REGEXMATCH(VLOOKUP(A102, RAW_Data!B:BZ, 29, FALSE), ""Smart""), ""Yes"", ""No"")"),"Yes")</f>
        <v>Yes</v>
      </c>
      <c r="L102" s="46" t="str">
        <f>IFERROR(__xludf.DUMMYFUNCTION("IF(REGEXMATCH(VLOOKUP(A102, RAW_Data!B:BZ, 29, FALSE), ""Trouble""), ""Yes"", ""No"")"),"No")</f>
        <v>No</v>
      </c>
      <c r="M102" s="46" t="str">
        <f>IFERROR(__xludf.DUMMYFUNCTION("IF(REGEXMATCH(VLOOKUP(A102, RAW_Data!B:BZ, 29, FALSE), ""MRC""), ""Yes"", ""No"")"),"No")</f>
        <v>No</v>
      </c>
      <c r="N102" s="48" t="str">
        <f>VLOOKUP(A102, RAW_Data!B:Z, 12, FALSE)</f>
        <v>Lo, Mamadou</v>
      </c>
      <c r="O102" s="45" t="s">
        <v>1346</v>
      </c>
    </row>
    <row r="103">
      <c r="A103" s="45" t="str">
        <f>IFERROR(__xludf.DUMMYFUNCTION("""COMPUTED_VALUE"""),"Tsan, Senh")</f>
        <v>Tsan, Senh</v>
      </c>
      <c r="B103" s="46" t="str">
        <f>VLOOKUP(A103, RAW_Data!B:Z, 4, FALSE)</f>
        <v>Active</v>
      </c>
      <c r="C103" s="47">
        <f>VLOOKUP(A103, RAW_Data!B:Z, 10, FALSE)</f>
        <v>4</v>
      </c>
      <c r="D103" s="46" t="str">
        <f>VLOOKUP(A103, RAW_Data!B:Z, 9, FALSE)</f>
        <v>English</v>
      </c>
      <c r="E103" s="48" t="str">
        <f>IFERROR(__xludf.DUMMYFUNCTION("LET(
  x, IFERROR(VLOOKUP(A103, RAW_Data!B:BZ, 61, FALSE), """"),
  IFS(
    REGEXMATCH(x, ""Morning""), ""Day"",
    REGEXMATCH(x, ""Evening""), ""Evening"",
    REGEXMATCH(x, ""Night""), ""Night"",
    x="""", """",
    TRUE, ""Variable""
  )
)"),"Evening")</f>
        <v>Evening</v>
      </c>
      <c r="F103" s="46" t="str">
        <f>VLOOKUP(A103, RAW_Data!B:Z, 8, FALSE)</f>
        <v>Vancouver</v>
      </c>
      <c r="G103" s="46" t="str">
        <f>VLOOKUP(A103, RAW_Data!B:Z, 2, FALSE)</f>
        <v>T936683</v>
      </c>
      <c r="H103" s="46" t="str">
        <f>VLOOKUP(A103, RAW_Data!B:Z, 18, FALSE)</f>
        <v>M0238</v>
      </c>
      <c r="I103" s="46">
        <f>VLOOKUP(A103, RAW_Data!B:Z, 20, FALSE)</f>
        <v>100936683</v>
      </c>
      <c r="J103" s="46">
        <f>VLOOKUP(A103, RAW_Data!B:Z, 24, FALSE)</f>
        <v>1067373</v>
      </c>
      <c r="K103" s="46" t="str">
        <f>IFERROR(__xludf.DUMMYFUNCTION("IF(REGEXMATCH(VLOOKUP(A103, RAW_Data!B:BZ, 29, FALSE), ""Smart""), ""Yes"", ""No"")"),"Yes")</f>
        <v>Yes</v>
      </c>
      <c r="L103" s="46" t="str">
        <f>IFERROR(__xludf.DUMMYFUNCTION("IF(REGEXMATCH(VLOOKUP(A103, RAW_Data!B:BZ, 29, FALSE), ""Trouble""), ""Yes"", ""No"")"),"Yes")</f>
        <v>Yes</v>
      </c>
      <c r="M103" s="46" t="str">
        <f>IFERROR(__xludf.DUMMYFUNCTION("IF(REGEXMATCH(VLOOKUP(A103, RAW_Data!B:BZ, 29, FALSE), ""MRC""), ""Yes"", ""No"")"),"No")</f>
        <v>No</v>
      </c>
      <c r="N103" s="48" t="str">
        <f>VLOOKUP(A103, RAW_Data!B:Z, 12, FALSE)</f>
        <v>Dhindsa, Sukhjinder</v>
      </c>
      <c r="O103" s="45" t="s">
        <v>1357</v>
      </c>
    </row>
    <row r="104">
      <c r="A104" s="45" t="str">
        <f>IFERROR(__xludf.DUMMYFUNCTION("""COMPUTED_VALUE"""),"Vachon, Genevieve")</f>
        <v>Vachon, Genevieve</v>
      </c>
      <c r="B104" s="46" t="str">
        <f>VLOOKUP(A104, RAW_Data!B:Z, 4, FALSE)</f>
        <v>Active</v>
      </c>
      <c r="C104" s="47">
        <f>VLOOKUP(A104, RAW_Data!B:Z, 10, FALSE)</f>
        <v>3</v>
      </c>
      <c r="D104" s="46" t="str">
        <f>VLOOKUP(A104, RAW_Data!B:Z, 9, FALSE)</f>
        <v>Bilingual-French</v>
      </c>
      <c r="E104" s="48" t="str">
        <f>IFERROR(__xludf.DUMMYFUNCTION("LET(
  x, IFERROR(VLOOKUP(A104, RAW_Data!B:BZ, 61, FALSE), """"),
  IFS(
    REGEXMATCH(x, ""Morning""), ""Day"",
    REGEXMATCH(x, ""Evening""), ""Evening"",
    REGEXMATCH(x, ""Night""), ""Night"",
    x="""", """",
    TRUE, ""Variable""
  )
)"),"Day")</f>
        <v>Day</v>
      </c>
      <c r="F104" s="46" t="str">
        <f>VLOOKUP(A104, RAW_Data!B:Z, 8, FALSE)</f>
        <v>Montreal</v>
      </c>
      <c r="G104" s="46" t="str">
        <f>VLOOKUP(A104, RAW_Data!B:Z, 2, FALSE)</f>
        <v>T956378</v>
      </c>
      <c r="H104" s="46" t="str">
        <f>VLOOKUP(A104, RAW_Data!B:Z, 18, FALSE)</f>
        <v>M0240</v>
      </c>
      <c r="I104" s="46">
        <f>VLOOKUP(A104, RAW_Data!B:Z, 20, FALSE)</f>
        <v>100956378</v>
      </c>
      <c r="J104" s="46">
        <f>VLOOKUP(A104, RAW_Data!B:Z, 24, FALSE)</f>
        <v>1066428</v>
      </c>
      <c r="K104" s="46" t="str">
        <f>IFERROR(__xludf.DUMMYFUNCTION("IF(REGEXMATCH(VLOOKUP(A104, RAW_Data!B:BZ, 29, FALSE), ""Smart""), ""Yes"", ""No"")"),"Yes")</f>
        <v>Yes</v>
      </c>
      <c r="L104" s="46" t="str">
        <f>IFERROR(__xludf.DUMMYFUNCTION("IF(REGEXMATCH(VLOOKUP(A104, RAW_Data!B:BZ, 29, FALSE), ""Trouble""), ""Yes"", ""No"")"),"Yes")</f>
        <v>Yes</v>
      </c>
      <c r="M104" s="46" t="str">
        <f>IFERROR(__xludf.DUMMYFUNCTION("IF(REGEXMATCH(VLOOKUP(A104, RAW_Data!B:BZ, 29, FALSE), ""MRC""), ""Yes"", ""No"")"),"No")</f>
        <v>No</v>
      </c>
      <c r="N104" s="48" t="str">
        <f>VLOOKUP(A104, RAW_Data!B:Z, 12, FALSE)</f>
        <v>Lo, Mamadou</v>
      </c>
      <c r="O104" s="45" t="s">
        <v>1370</v>
      </c>
    </row>
    <row r="105">
      <c r="A105" s="45" t="str">
        <f>IFERROR(__xludf.DUMMYFUNCTION("""COMPUTED_VALUE"""),"Villanueva, Tara")</f>
        <v>Villanueva, Tara</v>
      </c>
      <c r="B105" s="46" t="str">
        <f>VLOOKUP(A105, RAW_Data!B:Z, 4, FALSE)</f>
        <v>Active</v>
      </c>
      <c r="C105" s="47">
        <f>VLOOKUP(A105, RAW_Data!B:Z, 10, FALSE)</f>
        <v>1</v>
      </c>
      <c r="D105" s="46" t="str">
        <f>VLOOKUP(A105, RAW_Data!B:Z, 9, FALSE)</f>
        <v>English</v>
      </c>
      <c r="E105" s="48" t="str">
        <f>IFERROR(__xludf.DUMMYFUNCTION("LET(
  x, IFERROR(VLOOKUP(A105, RAW_Data!B:BZ, 61, FALSE), """"),
  IFS(
    REGEXMATCH(x, ""Morning""), ""Day"",
    REGEXMATCH(x, ""Evening""), ""Evening"",
    REGEXMATCH(x, ""Night""), ""Night"",
    x="""", """",
    TRUE, ""Variable""
  )
)"),"")</f>
        <v/>
      </c>
      <c r="F105" s="46" t="str">
        <f>VLOOKUP(A105, RAW_Data!B:Z, 8, FALSE)</f>
        <v>Calgary</v>
      </c>
      <c r="G105" s="46" t="str">
        <f>VLOOKUP(A105, RAW_Data!B:Z, 2, FALSE)</f>
        <v>T6001442</v>
      </c>
      <c r="H105" s="46" t="str">
        <f>VLOOKUP(A105, RAW_Data!B:Z, 18, FALSE)</f>
        <v>M0540</v>
      </c>
      <c r="I105" s="46">
        <f>VLOOKUP(A105, RAW_Data!B:Z, 20, FALSE)</f>
        <v>106001442</v>
      </c>
      <c r="J105" s="46">
        <f>VLOOKUP(A105, RAW_Data!B:Z, 24, FALSE)</f>
        <v>1060021</v>
      </c>
      <c r="K105" s="46" t="str">
        <f>IFERROR(__xludf.DUMMYFUNCTION("IF(REGEXMATCH(VLOOKUP(A105, RAW_Data!B:BZ, 29, FALSE), ""Smart""), ""Yes"", ""No"")"),"No")</f>
        <v>No</v>
      </c>
      <c r="L105" s="46" t="str">
        <f>IFERROR(__xludf.DUMMYFUNCTION("IF(REGEXMATCH(VLOOKUP(A105, RAW_Data!B:BZ, 29, FALSE), ""Trouble""), ""Yes"", ""No"")"),"No")</f>
        <v>No</v>
      </c>
      <c r="M105" s="46" t="str">
        <f>IFERROR(__xludf.DUMMYFUNCTION("IF(REGEXMATCH(VLOOKUP(A105, RAW_Data!B:BZ, 29, FALSE), ""MRC""), ""Yes"", ""No"")"),"No")</f>
        <v>No</v>
      </c>
      <c r="N105" s="48" t="str">
        <f>VLOOKUP(A105, RAW_Data!B:Z, 12, FALSE)</f>
        <v>Coghiel, Caren</v>
      </c>
      <c r="O105" s="31" t="s">
        <v>1382</v>
      </c>
    </row>
    <row r="106">
      <c r="A106" s="45" t="str">
        <f>IFERROR(__xludf.DUMMYFUNCTION("""COMPUTED_VALUE"""),"Wong, Jordan")</f>
        <v>Wong, Jordan</v>
      </c>
      <c r="B106" s="46" t="str">
        <f>VLOOKUP(A106, RAW_Data!B:Z, 4, FALSE)</f>
        <v>Active</v>
      </c>
      <c r="C106" s="47">
        <f>VLOOKUP(A106, RAW_Data!B:Z, 10, FALSE)</f>
        <v>4</v>
      </c>
      <c r="D106" s="46" t="str">
        <f>VLOOKUP(A106, RAW_Data!B:Z, 9, FALSE)</f>
        <v>English</v>
      </c>
      <c r="E106" s="48" t="str">
        <f>IFERROR(__xludf.DUMMYFUNCTION("LET(
  x, IFERROR(VLOOKUP(A106, RAW_Data!B:BZ, 61, FALSE), """"),
  IFS(
    REGEXMATCH(x, ""Morning""), ""Day"",
    REGEXMATCH(x, ""Evening""), ""Evening"",
    REGEXMATCH(x, ""Night""), ""Night"",
    x="""", """",
    TRUE, ""Variable""
  )
)"),"Day")</f>
        <v>Day</v>
      </c>
      <c r="F106" s="46" t="str">
        <f>VLOOKUP(A106, RAW_Data!B:Z, 8, FALSE)</f>
        <v>Vancouver</v>
      </c>
      <c r="G106" s="46" t="str">
        <f>VLOOKUP(A106, RAW_Data!B:Z, 2, FALSE)</f>
        <v>T936703</v>
      </c>
      <c r="H106" s="46" t="str">
        <f>VLOOKUP(A106, RAW_Data!B:Z, 18, FALSE)</f>
        <v>M0245</v>
      </c>
      <c r="I106" s="46">
        <f>VLOOKUP(A106, RAW_Data!B:Z, 20, FALSE)</f>
        <v>100936703</v>
      </c>
      <c r="J106" s="46">
        <f>VLOOKUP(A106, RAW_Data!B:Z, 24, FALSE)</f>
        <v>1067374</v>
      </c>
      <c r="K106" s="46" t="str">
        <f>IFERROR(__xludf.DUMMYFUNCTION("IF(REGEXMATCH(VLOOKUP(A106, RAW_Data!B:BZ, 29, FALSE), ""Smart""), ""Yes"", ""No"")"),"Yes")</f>
        <v>Yes</v>
      </c>
      <c r="L106" s="46" t="str">
        <f>IFERROR(__xludf.DUMMYFUNCTION("IF(REGEXMATCH(VLOOKUP(A106, RAW_Data!B:BZ, 29, FALSE), ""Trouble""), ""Yes"", ""No"")"),"Yes")</f>
        <v>Yes</v>
      </c>
      <c r="M106" s="46" t="str">
        <f>IFERROR(__xludf.DUMMYFUNCTION("IF(REGEXMATCH(VLOOKUP(A106, RAW_Data!B:BZ, 29, FALSE), ""MRC""), ""Yes"", ""No"")"),"No")</f>
        <v>No</v>
      </c>
      <c r="N106" s="48" t="str">
        <f>VLOOKUP(A106, RAW_Data!B:Z, 12, FALSE)</f>
        <v>Dhindsa, Sukhjinder</v>
      </c>
      <c r="O106" s="45" t="s">
        <v>1401</v>
      </c>
    </row>
    <row r="107">
      <c r="A107" s="45" t="str">
        <f>IFERROR(__xludf.DUMMYFUNCTION("""COMPUTED_VALUE"""),"Wong, Lawrence")</f>
        <v>Wong, Lawrence</v>
      </c>
      <c r="B107" s="46" t="str">
        <f>VLOOKUP(A107, RAW_Data!B:Z, 4, FALSE)</f>
        <v>Active</v>
      </c>
      <c r="C107" s="47">
        <f>VLOOKUP(A107, RAW_Data!B:Z, 10, FALSE)</f>
        <v>2</v>
      </c>
      <c r="D107" s="46" t="str">
        <f>VLOOKUP(A107, RAW_Data!B:Z, 9, FALSE)</f>
        <v>English</v>
      </c>
      <c r="E107" s="48" t="str">
        <f>IFERROR(__xludf.DUMMYFUNCTION("LET(
  x, IFERROR(VLOOKUP(A107, RAW_Data!B:BZ, 61, FALSE), """"),
  IFS(
    REGEXMATCH(x, ""Morning""), ""Day"",
    REGEXMATCH(x, ""Evening""), ""Evening"",
    REGEXMATCH(x, ""Night""), ""Night"",
    x="""", """",
    TRUE, ""Variable""
  )
)"),"Night")</f>
        <v>Night</v>
      </c>
      <c r="F107" s="46" t="str">
        <f>VLOOKUP(A107, RAW_Data!B:Z, 8, FALSE)</f>
        <v>Vancouver</v>
      </c>
      <c r="G107" s="46" t="str">
        <f>VLOOKUP(A107, RAW_Data!B:Z, 2, FALSE)</f>
        <v>T936684</v>
      </c>
      <c r="H107" s="46" t="str">
        <f>VLOOKUP(A107, RAW_Data!B:Z, 18, FALSE)</f>
        <v>M0246</v>
      </c>
      <c r="I107" s="46">
        <f>VLOOKUP(A107, RAW_Data!B:Z, 20, FALSE)</f>
        <v>100936684</v>
      </c>
      <c r="J107" s="46">
        <f>VLOOKUP(A107, RAW_Data!B:Z, 24, FALSE)</f>
        <v>1067375</v>
      </c>
      <c r="K107" s="46" t="str">
        <f>IFERROR(__xludf.DUMMYFUNCTION("IF(REGEXMATCH(VLOOKUP(A107, RAW_Data!B:BZ, 29, FALSE), ""Smart""), ""Yes"", ""No"")"),"Yes")</f>
        <v>Yes</v>
      </c>
      <c r="L107" s="46" t="str">
        <f>IFERROR(__xludf.DUMMYFUNCTION("IF(REGEXMATCH(VLOOKUP(A107, RAW_Data!B:BZ, 29, FALSE), ""Trouble""), ""Yes"", ""No"")"),"Yes")</f>
        <v>Yes</v>
      </c>
      <c r="M107" s="46" t="str">
        <f>IFERROR(__xludf.DUMMYFUNCTION("IF(REGEXMATCH(VLOOKUP(A107, RAW_Data!B:BZ, 29, FALSE), ""MRC""), ""Yes"", ""No"")"),"No")</f>
        <v>No</v>
      </c>
      <c r="N107" s="48" t="str">
        <f>VLOOKUP(A107, RAW_Data!B:Z, 12, FALSE)</f>
        <v>Herrati, Houcine</v>
      </c>
      <c r="O107" s="45" t="s">
        <v>1413</v>
      </c>
    </row>
    <row r="108">
      <c r="A108" s="45" t="str">
        <f>IFERROR(__xludf.DUMMYFUNCTION("""COMPUTED_VALUE"""),"Young, Helen")</f>
        <v>Young, Helen</v>
      </c>
      <c r="B108" s="46" t="str">
        <f>VLOOKUP(A108, RAW_Data!B:Z, 4, FALSE)</f>
        <v>Active</v>
      </c>
      <c r="C108" s="47">
        <f>VLOOKUP(A108, RAW_Data!B:Z, 10, FALSE)</f>
        <v>2</v>
      </c>
      <c r="D108" s="46" t="str">
        <f>VLOOKUP(A108, RAW_Data!B:Z, 9, FALSE)</f>
        <v>English</v>
      </c>
      <c r="E108" s="48" t="str">
        <f>IFERROR(__xludf.DUMMYFUNCTION("LET(
  x, IFERROR(VLOOKUP(A108, RAW_Data!B:BZ, 61, FALSE), """"),
  IFS(
    REGEXMATCH(x, ""Morning""), ""Day"",
    REGEXMATCH(x, ""Evening""), ""Evening"",
    REGEXMATCH(x, ""Night""), ""Night"",
    x="""", """",
    TRUE, ""Variable""
  )
)"),"Day")</f>
        <v>Day</v>
      </c>
      <c r="F108" s="46" t="str">
        <f>VLOOKUP(A108, RAW_Data!B:Z, 8, FALSE)</f>
        <v>Calgary</v>
      </c>
      <c r="G108" s="46" t="str">
        <f>VLOOKUP(A108, RAW_Data!B:Z, 2, FALSE)</f>
        <v>T956361</v>
      </c>
      <c r="H108" s="46" t="str">
        <f>VLOOKUP(A108, RAW_Data!B:Z, 18, FALSE)</f>
        <v>M0247</v>
      </c>
      <c r="I108" s="46">
        <f>VLOOKUP(A108, RAW_Data!B:Z, 20, FALSE)</f>
        <v>100956361</v>
      </c>
      <c r="J108" s="46">
        <f>VLOOKUP(A108, RAW_Data!B:Z, 24, FALSE)</f>
        <v>1066538</v>
      </c>
      <c r="K108" s="46" t="str">
        <f>IFERROR(__xludf.DUMMYFUNCTION("IF(REGEXMATCH(VLOOKUP(A108, RAW_Data!B:BZ, 29, FALSE), ""Smart""), ""Yes"", ""No"")"),"Yes")</f>
        <v>Yes</v>
      </c>
      <c r="L108" s="46" t="str">
        <f>IFERROR(__xludf.DUMMYFUNCTION("IF(REGEXMATCH(VLOOKUP(A108, RAW_Data!B:BZ, 29, FALSE), ""Trouble""), ""Yes"", ""No"")"),"No")</f>
        <v>No</v>
      </c>
      <c r="M108" s="46" t="str">
        <f>IFERROR(__xludf.DUMMYFUNCTION("IF(REGEXMATCH(VLOOKUP(A108, RAW_Data!B:BZ, 29, FALSE), ""MRC""), ""Yes"", ""No"")"),"No")</f>
        <v>No</v>
      </c>
      <c r="N108" s="48" t="str">
        <f>VLOOKUP(A108, RAW_Data!B:Z, 12, FALSE)</f>
        <v>Gillingham, Shelley</v>
      </c>
      <c r="O108" s="45" t="s">
        <v>1424</v>
      </c>
    </row>
    <row r="109">
      <c r="A109" s="45"/>
      <c r="B109" s="46" t="str">
        <f>VLOOKUP(A109, RAW_Data!B:Z, 4, FALSE)</f>
        <v>#N/A</v>
      </c>
      <c r="C109" s="47" t="str">
        <f>VLOOKUP(A109, RAW_Data!B:Z, 10, FALSE)</f>
        <v>#N/A</v>
      </c>
      <c r="D109" s="46" t="str">
        <f>VLOOKUP(A109, RAW_Data!B:Z, 9, FALSE)</f>
        <v>#N/A</v>
      </c>
      <c r="E109" s="48" t="str">
        <f>IFERROR(__xludf.DUMMYFUNCTION("LET(
  x, IFERROR(VLOOKUP(A109, RAW_Data!B:BZ, 61, FALSE), """"),
  IFS(
    REGEXMATCH(x, ""Morning""), ""Day"",
    REGEXMATCH(x, ""Evening""), ""Evening"",
    REGEXMATCH(x, ""Night""), ""Night"",
    x="""", """",
    TRUE, ""Variable""
  )
)"),"")</f>
        <v/>
      </c>
      <c r="F109" s="46" t="str">
        <f>VLOOKUP(A109, RAW_Data!B:Z, 8, FALSE)</f>
        <v>#N/A</v>
      </c>
      <c r="G109" s="46" t="str">
        <f>VLOOKUP(A109, RAW_Data!B:Z, 2, FALSE)</f>
        <v>#N/A</v>
      </c>
      <c r="H109" s="46" t="str">
        <f>VLOOKUP(A109, RAW_Data!B:Z, 18, FALSE)</f>
        <v>#N/A</v>
      </c>
      <c r="I109" s="46" t="str">
        <f>VLOOKUP(A109, RAW_Data!B:Z, 20, FALSE)</f>
        <v>#N/A</v>
      </c>
      <c r="J109" s="46" t="str">
        <f>VLOOKUP(A109, RAW_Data!B:Z, 24, FALSE)</f>
        <v>#N/A</v>
      </c>
      <c r="K109" s="46" t="str">
        <f>IFERROR(__xludf.DUMMYFUNCTION("IF(REGEXMATCH(VLOOKUP(A109, RAW_Data!B:BZ, 29, FALSE), ""Smart""), ""Yes"", ""No"")"),"#N/A")</f>
        <v>#N/A</v>
      </c>
      <c r="L109" s="46" t="str">
        <f>IFERROR(__xludf.DUMMYFUNCTION("IF(REGEXMATCH(VLOOKUP(A109, RAW_Data!B:BZ, 29, FALSE), ""Trouble""), ""Yes"", ""No"")"),"#N/A")</f>
        <v>#N/A</v>
      </c>
      <c r="M109" s="46" t="str">
        <f>IFERROR(__xludf.DUMMYFUNCTION("IF(REGEXMATCH(VLOOKUP(A109, RAW_Data!B:BZ, 29, FALSE), ""MRC""), ""Yes"", ""No"")"),"#N/A")</f>
        <v>#N/A</v>
      </c>
      <c r="N109" s="48" t="str">
        <f>VLOOKUP(A109, RAW_Data!B:Z, 12, FALSE)</f>
        <v>#N/A</v>
      </c>
      <c r="O109" s="45"/>
    </row>
    <row r="110">
      <c r="A110" s="45"/>
      <c r="B110" s="46" t="str">
        <f>VLOOKUP(A110, RAW_Data!B:Z, 4, FALSE)</f>
        <v>#N/A</v>
      </c>
      <c r="C110" s="47" t="str">
        <f>VLOOKUP(A110, RAW_Data!B:Z, 10, FALSE)</f>
        <v>#N/A</v>
      </c>
      <c r="D110" s="46" t="str">
        <f>VLOOKUP(A110, RAW_Data!B:Z, 9, FALSE)</f>
        <v>#N/A</v>
      </c>
      <c r="E110" s="48" t="str">
        <f>IFERROR(__xludf.DUMMYFUNCTION("LET(
  x, IFERROR(VLOOKUP(A110, RAW_Data!B:BZ, 61, FALSE), """"),
  IFS(
    REGEXMATCH(x, ""Morning""), ""Day"",
    REGEXMATCH(x, ""Evening""), ""Evening"",
    REGEXMATCH(x, ""Night""), ""Night"",
    x="""", """",
    TRUE, ""Variable""
  )
)"),"")</f>
        <v/>
      </c>
      <c r="F110" s="46" t="str">
        <f>VLOOKUP(A110, RAW_Data!B:Z, 8, FALSE)</f>
        <v>#N/A</v>
      </c>
      <c r="G110" s="46" t="str">
        <f>VLOOKUP(A110, RAW_Data!B:Z, 2, FALSE)</f>
        <v>#N/A</v>
      </c>
      <c r="H110" s="46" t="str">
        <f>VLOOKUP(A110, RAW_Data!B:Z, 18, FALSE)</f>
        <v>#N/A</v>
      </c>
      <c r="I110" s="46" t="str">
        <f>VLOOKUP(A110, RAW_Data!B:Z, 20, FALSE)</f>
        <v>#N/A</v>
      </c>
      <c r="J110" s="46" t="str">
        <f>VLOOKUP(A110, RAW_Data!B:Z, 24, FALSE)</f>
        <v>#N/A</v>
      </c>
      <c r="K110" s="46" t="str">
        <f>IFERROR(__xludf.DUMMYFUNCTION("IF(REGEXMATCH(VLOOKUP(A110, RAW_Data!B:BZ, 29, FALSE), ""Smart""), ""Yes"", ""No"")"),"#N/A")</f>
        <v>#N/A</v>
      </c>
      <c r="L110" s="46" t="str">
        <f>IFERROR(__xludf.DUMMYFUNCTION("IF(REGEXMATCH(VLOOKUP(A110, RAW_Data!B:BZ, 29, FALSE), ""Trouble""), ""Yes"", ""No"")"),"#N/A")</f>
        <v>#N/A</v>
      </c>
      <c r="M110" s="46" t="str">
        <f>IFERROR(__xludf.DUMMYFUNCTION("IF(REGEXMATCH(VLOOKUP(A110, RAW_Data!B:BZ, 29, FALSE), ""MRC""), ""Yes"", ""No"")"),"#N/A")</f>
        <v>#N/A</v>
      </c>
      <c r="N110" s="48" t="str">
        <f>VLOOKUP(A110, RAW_Data!B:Z, 12, FALSE)</f>
        <v>#N/A</v>
      </c>
      <c r="O110" s="45"/>
    </row>
    <row r="111">
      <c r="A111" s="45"/>
      <c r="B111" s="46" t="str">
        <f>VLOOKUP(A111, RAW_Data!B:Z, 4, FALSE)</f>
        <v>#N/A</v>
      </c>
      <c r="C111" s="47" t="str">
        <f>VLOOKUP(A111, RAW_Data!B:Z, 10, FALSE)</f>
        <v>#N/A</v>
      </c>
      <c r="D111" s="46" t="str">
        <f>VLOOKUP(A111, RAW_Data!B:Z, 9, FALSE)</f>
        <v>#N/A</v>
      </c>
      <c r="E111" s="48" t="str">
        <f>IFERROR(__xludf.DUMMYFUNCTION("LET(
  x, IFERROR(VLOOKUP(A111, RAW_Data!B:BZ, 61, FALSE), """"),
  IFS(
    REGEXMATCH(x, ""Morning""), ""Day"",
    REGEXMATCH(x, ""Evening""), ""Evening"",
    REGEXMATCH(x, ""Night""), ""Night"",
    x="""", """",
    TRUE, ""Variable""
  )
)"),"")</f>
        <v/>
      </c>
      <c r="F111" s="46" t="str">
        <f>VLOOKUP(A111, RAW_Data!B:Z, 8, FALSE)</f>
        <v>#N/A</v>
      </c>
      <c r="G111" s="46" t="str">
        <f>VLOOKUP(A111, RAW_Data!B:Z, 2, FALSE)</f>
        <v>#N/A</v>
      </c>
      <c r="H111" s="46" t="str">
        <f>VLOOKUP(A111, RAW_Data!B:Z, 18, FALSE)</f>
        <v>#N/A</v>
      </c>
      <c r="I111" s="46" t="str">
        <f>VLOOKUP(A111, RAW_Data!B:Z, 20, FALSE)</f>
        <v>#N/A</v>
      </c>
      <c r="J111" s="46" t="str">
        <f>VLOOKUP(A111, RAW_Data!B:Z, 24, FALSE)</f>
        <v>#N/A</v>
      </c>
      <c r="K111" s="46" t="str">
        <f>IFERROR(__xludf.DUMMYFUNCTION("IF(REGEXMATCH(VLOOKUP(A111, RAW_Data!B:BZ, 29, FALSE), ""Smart""), ""Yes"", ""No"")"),"#N/A")</f>
        <v>#N/A</v>
      </c>
      <c r="L111" s="46" t="str">
        <f>IFERROR(__xludf.DUMMYFUNCTION("IF(REGEXMATCH(VLOOKUP(A111, RAW_Data!B:BZ, 29, FALSE), ""Trouble""), ""Yes"", ""No"")"),"#N/A")</f>
        <v>#N/A</v>
      </c>
      <c r="M111" s="46" t="str">
        <f>IFERROR(__xludf.DUMMYFUNCTION("IF(REGEXMATCH(VLOOKUP(A111, RAW_Data!B:BZ, 29, FALSE), ""MRC""), ""Yes"", ""No"")"),"#N/A")</f>
        <v>#N/A</v>
      </c>
      <c r="N111" s="48" t="str">
        <f>VLOOKUP(A111, RAW_Data!B:Z, 12, FALSE)</f>
        <v>#N/A</v>
      </c>
      <c r="O111" s="45"/>
    </row>
    <row r="112">
      <c r="A112" s="45"/>
      <c r="B112" s="46" t="str">
        <f>VLOOKUP(A112, RAW_Data!B:Z, 4, FALSE)</f>
        <v>#N/A</v>
      </c>
      <c r="C112" s="47" t="str">
        <f>VLOOKUP(A112, RAW_Data!B:Z, 10, FALSE)</f>
        <v>#N/A</v>
      </c>
      <c r="D112" s="46" t="str">
        <f>VLOOKUP(A112, RAW_Data!B:Z, 9, FALSE)</f>
        <v>#N/A</v>
      </c>
      <c r="E112" s="48" t="str">
        <f>IFERROR(__xludf.DUMMYFUNCTION("LET(
  x, IFERROR(VLOOKUP(A112, RAW_Data!B:BZ, 61, FALSE), """"),
  IFS(
    REGEXMATCH(x, ""Morning""), ""Day"",
    REGEXMATCH(x, ""Evening""), ""Evening"",
    REGEXMATCH(x, ""Night""), ""Night"",
    x="""", """",
    TRUE, ""Variable""
  )
)"),"")</f>
        <v/>
      </c>
      <c r="F112" s="46" t="str">
        <f>VLOOKUP(A112, RAW_Data!B:Z, 8, FALSE)</f>
        <v>#N/A</v>
      </c>
      <c r="G112" s="46" t="str">
        <f>VLOOKUP(A112, RAW_Data!B:Z, 2, FALSE)</f>
        <v>#N/A</v>
      </c>
      <c r="H112" s="46" t="str">
        <f>VLOOKUP(A112, RAW_Data!B:Z, 18, FALSE)</f>
        <v>#N/A</v>
      </c>
      <c r="I112" s="46" t="str">
        <f>VLOOKUP(A112, RAW_Data!B:Z, 20, FALSE)</f>
        <v>#N/A</v>
      </c>
      <c r="J112" s="46" t="str">
        <f>VLOOKUP(A112, RAW_Data!B:Z, 24, FALSE)</f>
        <v>#N/A</v>
      </c>
      <c r="K112" s="46" t="str">
        <f>IFERROR(__xludf.DUMMYFUNCTION("IF(REGEXMATCH(VLOOKUP(A112, RAW_Data!B:BZ, 29, FALSE), ""Smart""), ""Yes"", ""No"")"),"#N/A")</f>
        <v>#N/A</v>
      </c>
      <c r="L112" s="46" t="str">
        <f>IFERROR(__xludf.DUMMYFUNCTION("IF(REGEXMATCH(VLOOKUP(A112, RAW_Data!B:BZ, 29, FALSE), ""Trouble""), ""Yes"", ""No"")"),"#N/A")</f>
        <v>#N/A</v>
      </c>
      <c r="M112" s="46" t="str">
        <f>IFERROR(__xludf.DUMMYFUNCTION("IF(REGEXMATCH(VLOOKUP(A112, RAW_Data!B:BZ, 29, FALSE), ""MRC""), ""Yes"", ""No"")"),"#N/A")</f>
        <v>#N/A</v>
      </c>
      <c r="N112" s="48" t="str">
        <f>VLOOKUP(A112, RAW_Data!B:Z, 12, FALSE)</f>
        <v>#N/A</v>
      </c>
      <c r="O112" s="45"/>
    </row>
    <row r="113">
      <c r="A113" s="45"/>
      <c r="B113" s="46" t="str">
        <f>VLOOKUP(A113, RAW_Data!B:Z, 4, FALSE)</f>
        <v>#N/A</v>
      </c>
      <c r="C113" s="47" t="str">
        <f>VLOOKUP(A113, RAW_Data!B:Z, 10, FALSE)</f>
        <v>#N/A</v>
      </c>
      <c r="D113" s="46" t="str">
        <f>VLOOKUP(A113, RAW_Data!B:Z, 9, FALSE)</f>
        <v>#N/A</v>
      </c>
      <c r="E113" s="48" t="str">
        <f>IFERROR(__xludf.DUMMYFUNCTION("LET(
  x, IFERROR(VLOOKUP(A113, RAW_Data!B:BZ, 61, FALSE), """"),
  IFS(
    REGEXMATCH(x, ""Morning""), ""Day"",
    REGEXMATCH(x, ""Evening""), ""Evening"",
    REGEXMATCH(x, ""Night""), ""Night"",
    x="""", """",
    TRUE, ""Variable""
  )
)"),"")</f>
        <v/>
      </c>
      <c r="F113" s="46" t="str">
        <f>VLOOKUP(A113, RAW_Data!B:Z, 8, FALSE)</f>
        <v>#N/A</v>
      </c>
      <c r="G113" s="46" t="str">
        <f>VLOOKUP(A113, RAW_Data!B:Z, 2, FALSE)</f>
        <v>#N/A</v>
      </c>
      <c r="H113" s="46" t="str">
        <f>VLOOKUP(A113, RAW_Data!B:Z, 18, FALSE)</f>
        <v>#N/A</v>
      </c>
      <c r="I113" s="46" t="str">
        <f>VLOOKUP(A113, RAW_Data!B:Z, 20, FALSE)</f>
        <v>#N/A</v>
      </c>
      <c r="J113" s="46" t="str">
        <f>VLOOKUP(A113, RAW_Data!B:Z, 24, FALSE)</f>
        <v>#N/A</v>
      </c>
      <c r="K113" s="46" t="str">
        <f>IFERROR(__xludf.DUMMYFUNCTION("IF(REGEXMATCH(VLOOKUP(A113, RAW_Data!B:BZ, 29, FALSE), ""Smart""), ""Yes"", ""No"")"),"#N/A")</f>
        <v>#N/A</v>
      </c>
      <c r="L113" s="46" t="str">
        <f>IFERROR(__xludf.DUMMYFUNCTION("IF(REGEXMATCH(VLOOKUP(A113, RAW_Data!B:BZ, 29, FALSE), ""Trouble""), ""Yes"", ""No"")"),"#N/A")</f>
        <v>#N/A</v>
      </c>
      <c r="M113" s="46" t="str">
        <f>IFERROR(__xludf.DUMMYFUNCTION("IF(REGEXMATCH(VLOOKUP(A113, RAW_Data!B:BZ, 29, FALSE), ""MRC""), ""Yes"", ""No"")"),"#N/A")</f>
        <v>#N/A</v>
      </c>
      <c r="N113" s="48" t="str">
        <f>VLOOKUP(A113, RAW_Data!B:Z, 12, FALSE)</f>
        <v>#N/A</v>
      </c>
      <c r="O113" s="45"/>
    </row>
    <row r="114">
      <c r="A114" s="45"/>
      <c r="B114" s="46" t="str">
        <f>VLOOKUP(A114, RAW_Data!B:Z, 4, FALSE)</f>
        <v>#N/A</v>
      </c>
      <c r="C114" s="47" t="str">
        <f>VLOOKUP(A114, RAW_Data!B:Z, 10, FALSE)</f>
        <v>#N/A</v>
      </c>
      <c r="D114" s="46" t="str">
        <f>VLOOKUP(A114, RAW_Data!B:Z, 9, FALSE)</f>
        <v>#N/A</v>
      </c>
      <c r="E114" s="48" t="str">
        <f>IFERROR(__xludf.DUMMYFUNCTION("LET(
  x, IFERROR(VLOOKUP(A114, RAW_Data!B:BZ, 61, FALSE), """"),
  IFS(
    REGEXMATCH(x, ""Morning""), ""Day"",
    REGEXMATCH(x, ""Evening""), ""Evening"",
    REGEXMATCH(x, ""Night""), ""Night"",
    x="""", """",
    TRUE, ""Variable""
  )
)"),"")</f>
        <v/>
      </c>
      <c r="F114" s="46" t="str">
        <f>VLOOKUP(A114, RAW_Data!B:Z, 8, FALSE)</f>
        <v>#N/A</v>
      </c>
      <c r="G114" s="46" t="str">
        <f>VLOOKUP(A114, RAW_Data!B:Z, 2, FALSE)</f>
        <v>#N/A</v>
      </c>
      <c r="H114" s="46" t="str">
        <f>VLOOKUP(A114, RAW_Data!B:Z, 18, FALSE)</f>
        <v>#N/A</v>
      </c>
      <c r="I114" s="46" t="str">
        <f>VLOOKUP(A114, RAW_Data!B:Z, 20, FALSE)</f>
        <v>#N/A</v>
      </c>
      <c r="J114" s="46" t="str">
        <f>VLOOKUP(A114, RAW_Data!B:Z, 24, FALSE)</f>
        <v>#N/A</v>
      </c>
      <c r="K114" s="46" t="str">
        <f>IFERROR(__xludf.DUMMYFUNCTION("IF(REGEXMATCH(VLOOKUP(A114, RAW_Data!B:BZ, 29, FALSE), ""Smart""), ""Yes"", ""No"")"),"#N/A")</f>
        <v>#N/A</v>
      </c>
      <c r="L114" s="46" t="str">
        <f>IFERROR(__xludf.DUMMYFUNCTION("IF(REGEXMATCH(VLOOKUP(A114, RAW_Data!B:BZ, 29, FALSE), ""Trouble""), ""Yes"", ""No"")"),"#N/A")</f>
        <v>#N/A</v>
      </c>
      <c r="M114" s="46" t="str">
        <f>IFERROR(__xludf.DUMMYFUNCTION("IF(REGEXMATCH(VLOOKUP(A114, RAW_Data!B:BZ, 29, FALSE), ""MRC""), ""Yes"", ""No"")"),"#N/A")</f>
        <v>#N/A</v>
      </c>
      <c r="N114" s="48" t="str">
        <f>VLOOKUP(A114, RAW_Data!B:Z, 12, FALSE)</f>
        <v>#N/A</v>
      </c>
      <c r="O114" s="45"/>
    </row>
    <row r="115">
      <c r="A115" s="45"/>
      <c r="B115" s="46" t="str">
        <f>VLOOKUP(A115, RAW_Data!B:Z, 4, FALSE)</f>
        <v>#N/A</v>
      </c>
      <c r="C115" s="47" t="str">
        <f>VLOOKUP(A115, RAW_Data!B:Z, 10, FALSE)</f>
        <v>#N/A</v>
      </c>
      <c r="D115" s="46" t="str">
        <f>VLOOKUP(A115, RAW_Data!B:Z, 9, FALSE)</f>
        <v>#N/A</v>
      </c>
      <c r="E115" s="48" t="str">
        <f>IFERROR(__xludf.DUMMYFUNCTION("LET(
  x, IFERROR(VLOOKUP(A115, RAW_Data!B:BZ, 61, FALSE), """"),
  IFS(
    REGEXMATCH(x, ""Morning""), ""Day"",
    REGEXMATCH(x, ""Evening""), ""Evening"",
    REGEXMATCH(x, ""Night""), ""Night"",
    x="""", """",
    TRUE, ""Variable""
  )
)"),"")</f>
        <v/>
      </c>
      <c r="F115" s="46" t="str">
        <f>VLOOKUP(A115, RAW_Data!B:Z, 8, FALSE)</f>
        <v>#N/A</v>
      </c>
      <c r="G115" s="46" t="str">
        <f>VLOOKUP(A115, RAW_Data!B:Z, 2, FALSE)</f>
        <v>#N/A</v>
      </c>
      <c r="H115" s="46" t="str">
        <f>VLOOKUP(A115, RAW_Data!B:Z, 18, FALSE)</f>
        <v>#N/A</v>
      </c>
      <c r="I115" s="46" t="str">
        <f>VLOOKUP(A115, RAW_Data!B:Z, 20, FALSE)</f>
        <v>#N/A</v>
      </c>
      <c r="J115" s="46" t="str">
        <f>VLOOKUP(A115, RAW_Data!B:Z, 24, FALSE)</f>
        <v>#N/A</v>
      </c>
      <c r="K115" s="46" t="str">
        <f>IFERROR(__xludf.DUMMYFUNCTION("IF(REGEXMATCH(VLOOKUP(A115, RAW_Data!B:BZ, 29, FALSE), ""Smart""), ""Yes"", ""No"")"),"#N/A")</f>
        <v>#N/A</v>
      </c>
      <c r="L115" s="46" t="str">
        <f>IFERROR(__xludf.DUMMYFUNCTION("IF(REGEXMATCH(VLOOKUP(A115, RAW_Data!B:BZ, 29, FALSE), ""Trouble""), ""Yes"", ""No"")"),"#N/A")</f>
        <v>#N/A</v>
      </c>
      <c r="M115" s="46" t="str">
        <f>IFERROR(__xludf.DUMMYFUNCTION("IF(REGEXMATCH(VLOOKUP(A115, RAW_Data!B:BZ, 29, FALSE), ""MRC""), ""Yes"", ""No"")"),"#N/A")</f>
        <v>#N/A</v>
      </c>
      <c r="N115" s="48" t="str">
        <f>VLOOKUP(A115, RAW_Data!B:Z, 12, FALSE)</f>
        <v>#N/A</v>
      </c>
      <c r="O115" s="45"/>
    </row>
    <row r="116">
      <c r="A116" s="45"/>
      <c r="B116" s="46" t="str">
        <f>VLOOKUP(A116, RAW_Data!B:Z, 4, FALSE)</f>
        <v>#N/A</v>
      </c>
      <c r="C116" s="47" t="str">
        <f>VLOOKUP(A116, RAW_Data!B:Z, 10, FALSE)</f>
        <v>#N/A</v>
      </c>
      <c r="D116" s="46" t="str">
        <f>VLOOKUP(A116, RAW_Data!B:Z, 9, FALSE)</f>
        <v>#N/A</v>
      </c>
      <c r="E116" s="48" t="str">
        <f>IFERROR(__xludf.DUMMYFUNCTION("LET(
  x, IFERROR(VLOOKUP(A116, RAW_Data!B:BZ, 61, FALSE), """"),
  IFS(
    REGEXMATCH(x, ""Morning""), ""Day"",
    REGEXMATCH(x, ""Evening""), ""Evening"",
    REGEXMATCH(x, ""Night""), ""Night"",
    x="""", """",
    TRUE, ""Variable""
  )
)"),"")</f>
        <v/>
      </c>
      <c r="F116" s="46" t="str">
        <f>VLOOKUP(A116, RAW_Data!B:Z, 8, FALSE)</f>
        <v>#N/A</v>
      </c>
      <c r="G116" s="46" t="str">
        <f>VLOOKUP(A116, RAW_Data!B:Z, 2, FALSE)</f>
        <v>#N/A</v>
      </c>
      <c r="H116" s="46" t="str">
        <f>VLOOKUP(A116, RAW_Data!B:Z, 18, FALSE)</f>
        <v>#N/A</v>
      </c>
      <c r="I116" s="46" t="str">
        <f>VLOOKUP(A116, RAW_Data!B:Z, 20, FALSE)</f>
        <v>#N/A</v>
      </c>
      <c r="J116" s="46" t="str">
        <f>VLOOKUP(A116, RAW_Data!B:Z, 24, FALSE)</f>
        <v>#N/A</v>
      </c>
      <c r="K116" s="46" t="str">
        <f>IFERROR(__xludf.DUMMYFUNCTION("IF(REGEXMATCH(VLOOKUP(A116, RAW_Data!B:BZ, 29, FALSE), ""Smart""), ""Yes"", ""No"")"),"#N/A")</f>
        <v>#N/A</v>
      </c>
      <c r="L116" s="46" t="str">
        <f>IFERROR(__xludf.DUMMYFUNCTION("IF(REGEXMATCH(VLOOKUP(A116, RAW_Data!B:BZ, 29, FALSE), ""Trouble""), ""Yes"", ""No"")"),"#N/A")</f>
        <v>#N/A</v>
      </c>
      <c r="M116" s="46" t="str">
        <f>IFERROR(__xludf.DUMMYFUNCTION("IF(REGEXMATCH(VLOOKUP(A116, RAW_Data!B:BZ, 29, FALSE), ""MRC""), ""Yes"", ""No"")"),"#N/A")</f>
        <v>#N/A</v>
      </c>
      <c r="N116" s="48" t="str">
        <f>VLOOKUP(A116, RAW_Data!B:Z, 12, FALSE)</f>
        <v>#N/A</v>
      </c>
      <c r="O116" s="45"/>
    </row>
    <row r="117">
      <c r="A117" s="45"/>
      <c r="B117" s="46" t="str">
        <f>VLOOKUP(A117, RAW_Data!B:Z, 4, FALSE)</f>
        <v>#N/A</v>
      </c>
      <c r="C117" s="47" t="str">
        <f>VLOOKUP(A117, RAW_Data!B:Z, 10, FALSE)</f>
        <v>#N/A</v>
      </c>
      <c r="D117" s="46" t="str">
        <f>VLOOKUP(A117, RAW_Data!B:Z, 9, FALSE)</f>
        <v>#N/A</v>
      </c>
      <c r="E117" s="48" t="str">
        <f>IFERROR(__xludf.DUMMYFUNCTION("LET(
  x, IFERROR(VLOOKUP(A117, RAW_Data!B:BZ, 61, FALSE), """"),
  IFS(
    REGEXMATCH(x, ""Morning""), ""Day"",
    REGEXMATCH(x, ""Evening""), ""Evening"",
    REGEXMATCH(x, ""Night""), ""Night"",
    x="""", """",
    TRUE, ""Variable""
  )
)"),"")</f>
        <v/>
      </c>
      <c r="F117" s="46" t="str">
        <f>VLOOKUP(A117, RAW_Data!B:Z, 8, FALSE)</f>
        <v>#N/A</v>
      </c>
      <c r="G117" s="46" t="str">
        <f>VLOOKUP(A117, RAW_Data!B:Z, 2, FALSE)</f>
        <v>#N/A</v>
      </c>
      <c r="H117" s="46" t="str">
        <f>VLOOKUP(A117, RAW_Data!B:Z, 18, FALSE)</f>
        <v>#N/A</v>
      </c>
      <c r="I117" s="46" t="str">
        <f>VLOOKUP(A117, RAW_Data!B:Z, 20, FALSE)</f>
        <v>#N/A</v>
      </c>
      <c r="J117" s="46" t="str">
        <f>VLOOKUP(A117, RAW_Data!B:Z, 24, FALSE)</f>
        <v>#N/A</v>
      </c>
      <c r="K117" s="46" t="str">
        <f>IFERROR(__xludf.DUMMYFUNCTION("IF(REGEXMATCH(VLOOKUP(A117, RAW_Data!B:BZ, 29, FALSE), ""Smart""), ""Yes"", ""No"")"),"#N/A")</f>
        <v>#N/A</v>
      </c>
      <c r="L117" s="46" t="str">
        <f>IFERROR(__xludf.DUMMYFUNCTION("IF(REGEXMATCH(VLOOKUP(A117, RAW_Data!B:BZ, 29, FALSE), ""Trouble""), ""Yes"", ""No"")"),"#N/A")</f>
        <v>#N/A</v>
      </c>
      <c r="M117" s="46" t="str">
        <f>IFERROR(__xludf.DUMMYFUNCTION("IF(REGEXMATCH(VLOOKUP(A117, RAW_Data!B:BZ, 29, FALSE), ""MRC""), ""Yes"", ""No"")"),"#N/A")</f>
        <v>#N/A</v>
      </c>
      <c r="N117" s="48" t="str">
        <f>VLOOKUP(A117, RAW_Data!B:Z, 12, FALSE)</f>
        <v>#N/A</v>
      </c>
      <c r="O117" s="45"/>
    </row>
    <row r="118">
      <c r="A118" s="45"/>
      <c r="B118" s="46" t="str">
        <f>VLOOKUP(A118, RAW_Data!B:Z, 4, FALSE)</f>
        <v>#N/A</v>
      </c>
      <c r="C118" s="47" t="str">
        <f>VLOOKUP(A118, RAW_Data!B:Z, 10, FALSE)</f>
        <v>#N/A</v>
      </c>
      <c r="D118" s="46" t="str">
        <f>VLOOKUP(A118, RAW_Data!B:Z, 9, FALSE)</f>
        <v>#N/A</v>
      </c>
      <c r="E118" s="48" t="str">
        <f>IFERROR(__xludf.DUMMYFUNCTION("LET(
  x, IFERROR(VLOOKUP(A118, RAW_Data!B:BZ, 61, FALSE), """"),
  IFS(
    REGEXMATCH(x, ""Morning""), ""Day"",
    REGEXMATCH(x, ""Evening""), ""Evening"",
    REGEXMATCH(x, ""Night""), ""Night"",
    x="""", """",
    TRUE, ""Variable""
  )
)"),"")</f>
        <v/>
      </c>
      <c r="F118" s="46" t="str">
        <f>VLOOKUP(A118, RAW_Data!B:Z, 8, FALSE)</f>
        <v>#N/A</v>
      </c>
      <c r="G118" s="46" t="str">
        <f>VLOOKUP(A118, RAW_Data!B:Z, 2, FALSE)</f>
        <v>#N/A</v>
      </c>
      <c r="H118" s="46" t="str">
        <f>VLOOKUP(A118, RAW_Data!B:Z, 18, FALSE)</f>
        <v>#N/A</v>
      </c>
      <c r="I118" s="46" t="str">
        <f>VLOOKUP(A118, RAW_Data!B:Z, 20, FALSE)</f>
        <v>#N/A</v>
      </c>
      <c r="J118" s="46" t="str">
        <f>VLOOKUP(A118, RAW_Data!B:Z, 24, FALSE)</f>
        <v>#N/A</v>
      </c>
      <c r="K118" s="46" t="str">
        <f>IFERROR(__xludf.DUMMYFUNCTION("IF(REGEXMATCH(VLOOKUP(A118, RAW_Data!B:BZ, 29, FALSE), ""Smart""), ""Yes"", ""No"")"),"#N/A")</f>
        <v>#N/A</v>
      </c>
      <c r="L118" s="46" t="str">
        <f>IFERROR(__xludf.DUMMYFUNCTION("IF(REGEXMATCH(VLOOKUP(A118, RAW_Data!B:BZ, 29, FALSE), ""Trouble""), ""Yes"", ""No"")"),"#N/A")</f>
        <v>#N/A</v>
      </c>
      <c r="M118" s="46" t="str">
        <f>IFERROR(__xludf.DUMMYFUNCTION("IF(REGEXMATCH(VLOOKUP(A118, RAW_Data!B:BZ, 29, FALSE), ""MRC""), ""Yes"", ""No"")"),"#N/A")</f>
        <v>#N/A</v>
      </c>
      <c r="N118" s="48" t="str">
        <f>VLOOKUP(A118, RAW_Data!B:Z, 12, FALSE)</f>
        <v>#N/A</v>
      </c>
      <c r="O118" s="45"/>
    </row>
    <row r="119">
      <c r="A119" s="45"/>
      <c r="B119" s="46" t="str">
        <f>VLOOKUP(A119, RAW_Data!B:Z, 4, FALSE)</f>
        <v>#N/A</v>
      </c>
      <c r="C119" s="47" t="str">
        <f>VLOOKUP(A119, RAW_Data!B:Z, 10, FALSE)</f>
        <v>#N/A</v>
      </c>
      <c r="D119" s="46" t="str">
        <f>VLOOKUP(A119, RAW_Data!B:Z, 9, FALSE)</f>
        <v>#N/A</v>
      </c>
      <c r="E119" s="48" t="str">
        <f>IFERROR(__xludf.DUMMYFUNCTION("LET(
  x, IFERROR(VLOOKUP(A119, RAW_Data!B:BZ, 61, FALSE), """"),
  IFS(
    REGEXMATCH(x, ""Morning""), ""Day"",
    REGEXMATCH(x, ""Evening""), ""Evening"",
    REGEXMATCH(x, ""Night""), ""Night"",
    x="""", """",
    TRUE, ""Variable""
  )
)"),"")</f>
        <v/>
      </c>
      <c r="F119" s="46" t="str">
        <f>VLOOKUP(A119, RAW_Data!B:Z, 8, FALSE)</f>
        <v>#N/A</v>
      </c>
      <c r="G119" s="46" t="str">
        <f>VLOOKUP(A119, RAW_Data!B:Z, 2, FALSE)</f>
        <v>#N/A</v>
      </c>
      <c r="H119" s="46" t="str">
        <f>VLOOKUP(A119, RAW_Data!B:Z, 18, FALSE)</f>
        <v>#N/A</v>
      </c>
      <c r="I119" s="46" t="str">
        <f>VLOOKUP(A119, RAW_Data!B:Z, 20, FALSE)</f>
        <v>#N/A</v>
      </c>
      <c r="J119" s="46" t="str">
        <f>VLOOKUP(A119, RAW_Data!B:Z, 24, FALSE)</f>
        <v>#N/A</v>
      </c>
      <c r="K119" s="46" t="str">
        <f>IFERROR(__xludf.DUMMYFUNCTION("IF(REGEXMATCH(VLOOKUP(A119, RAW_Data!B:BZ, 29, FALSE), ""Smart""), ""Yes"", ""No"")"),"#N/A")</f>
        <v>#N/A</v>
      </c>
      <c r="L119" s="46" t="str">
        <f>IFERROR(__xludf.DUMMYFUNCTION("IF(REGEXMATCH(VLOOKUP(A119, RAW_Data!B:BZ, 29, FALSE), ""Trouble""), ""Yes"", ""No"")"),"#N/A")</f>
        <v>#N/A</v>
      </c>
      <c r="M119" s="46" t="str">
        <f>IFERROR(__xludf.DUMMYFUNCTION("IF(REGEXMATCH(VLOOKUP(A119, RAW_Data!B:BZ, 29, FALSE), ""MRC""), ""Yes"", ""No"")"),"#N/A")</f>
        <v>#N/A</v>
      </c>
      <c r="N119" s="48" t="str">
        <f>VLOOKUP(A119, RAW_Data!B:Z, 12, FALSE)</f>
        <v>#N/A</v>
      </c>
      <c r="O119" s="45"/>
    </row>
    <row r="120">
      <c r="A120" s="45"/>
      <c r="B120" s="46" t="str">
        <f>VLOOKUP(A120, RAW_Data!B:Z, 4, FALSE)</f>
        <v>#N/A</v>
      </c>
      <c r="C120" s="47" t="str">
        <f>VLOOKUP(A120, RAW_Data!B:Z, 10, FALSE)</f>
        <v>#N/A</v>
      </c>
      <c r="D120" s="46" t="str">
        <f>VLOOKUP(A120, RAW_Data!B:Z, 9, FALSE)</f>
        <v>#N/A</v>
      </c>
      <c r="E120" s="48" t="str">
        <f>IFERROR(__xludf.DUMMYFUNCTION("LET(
  x, IFERROR(VLOOKUP(A120, RAW_Data!B:BZ, 61, FALSE), """"),
  IFS(
    REGEXMATCH(x, ""Morning""), ""Day"",
    REGEXMATCH(x, ""Evening""), ""Evening"",
    REGEXMATCH(x, ""Night""), ""Night"",
    x="""", """",
    TRUE, ""Variable""
  )
)"),"")</f>
        <v/>
      </c>
      <c r="F120" s="46" t="str">
        <f>VLOOKUP(A120, RAW_Data!B:Z, 8, FALSE)</f>
        <v>#N/A</v>
      </c>
      <c r="G120" s="46" t="str">
        <f>VLOOKUP(A120, RAW_Data!B:Z, 2, FALSE)</f>
        <v>#N/A</v>
      </c>
      <c r="H120" s="46" t="str">
        <f>VLOOKUP(A120, RAW_Data!B:Z, 18, FALSE)</f>
        <v>#N/A</v>
      </c>
      <c r="I120" s="46" t="str">
        <f>VLOOKUP(A120, RAW_Data!B:Z, 20, FALSE)</f>
        <v>#N/A</v>
      </c>
      <c r="J120" s="46" t="str">
        <f>VLOOKUP(A120, RAW_Data!B:Z, 24, FALSE)</f>
        <v>#N/A</v>
      </c>
      <c r="K120" s="46" t="str">
        <f>IFERROR(__xludf.DUMMYFUNCTION("IF(REGEXMATCH(VLOOKUP(A120, RAW_Data!B:BZ, 29, FALSE), ""Smart""), ""Yes"", ""No"")"),"#N/A")</f>
        <v>#N/A</v>
      </c>
      <c r="L120" s="46" t="str">
        <f>IFERROR(__xludf.DUMMYFUNCTION("IF(REGEXMATCH(VLOOKUP(A120, RAW_Data!B:BZ, 29, FALSE), ""Trouble""), ""Yes"", ""No"")"),"#N/A")</f>
        <v>#N/A</v>
      </c>
      <c r="M120" s="46" t="str">
        <f>IFERROR(__xludf.DUMMYFUNCTION("IF(REGEXMATCH(VLOOKUP(A120, RAW_Data!B:BZ, 29, FALSE), ""MRC""), ""Yes"", ""No"")"),"#N/A")</f>
        <v>#N/A</v>
      </c>
      <c r="N120" s="48" t="str">
        <f>VLOOKUP(A120, RAW_Data!B:Z, 12, FALSE)</f>
        <v>#N/A</v>
      </c>
      <c r="O120" s="45"/>
    </row>
    <row r="121">
      <c r="A121" s="45"/>
      <c r="B121" s="46" t="str">
        <f>VLOOKUP(A121, RAW_Data!B:Z, 4, FALSE)</f>
        <v>#N/A</v>
      </c>
      <c r="C121" s="47" t="str">
        <f>VLOOKUP(A121, RAW_Data!B:Z, 10, FALSE)</f>
        <v>#N/A</v>
      </c>
      <c r="D121" s="46" t="str">
        <f>VLOOKUP(A121, RAW_Data!B:Z, 9, FALSE)</f>
        <v>#N/A</v>
      </c>
      <c r="E121" s="48" t="str">
        <f>IFERROR(__xludf.DUMMYFUNCTION("LET(
  x, IFERROR(VLOOKUP(A121, RAW_Data!B:BZ, 61, FALSE), """"),
  IFS(
    REGEXMATCH(x, ""Morning""), ""Day"",
    REGEXMATCH(x, ""Evening""), ""Evening"",
    REGEXMATCH(x, ""Night""), ""Night"",
    x="""", """",
    TRUE, ""Variable""
  )
)"),"")</f>
        <v/>
      </c>
      <c r="F121" s="46" t="str">
        <f>VLOOKUP(A121, RAW_Data!B:Z, 8, FALSE)</f>
        <v>#N/A</v>
      </c>
      <c r="G121" s="46" t="str">
        <f>VLOOKUP(A121, RAW_Data!B:Z, 2, FALSE)</f>
        <v>#N/A</v>
      </c>
      <c r="H121" s="46" t="str">
        <f>VLOOKUP(A121, RAW_Data!B:Z, 18, FALSE)</f>
        <v>#N/A</v>
      </c>
      <c r="I121" s="46" t="str">
        <f>VLOOKUP(A121, RAW_Data!B:Z, 20, FALSE)</f>
        <v>#N/A</v>
      </c>
      <c r="J121" s="46" t="str">
        <f>VLOOKUP(A121, RAW_Data!B:Z, 24, FALSE)</f>
        <v>#N/A</v>
      </c>
      <c r="K121" s="46" t="str">
        <f>IFERROR(__xludf.DUMMYFUNCTION("IF(REGEXMATCH(VLOOKUP(A121, RAW_Data!B:BZ, 29, FALSE), ""Smart""), ""Yes"", ""No"")"),"#N/A")</f>
        <v>#N/A</v>
      </c>
      <c r="L121" s="46" t="str">
        <f>IFERROR(__xludf.DUMMYFUNCTION("IF(REGEXMATCH(VLOOKUP(A121, RAW_Data!B:BZ, 29, FALSE), ""Trouble""), ""Yes"", ""No"")"),"#N/A")</f>
        <v>#N/A</v>
      </c>
      <c r="M121" s="46" t="str">
        <f>IFERROR(__xludf.DUMMYFUNCTION("IF(REGEXMATCH(VLOOKUP(A121, RAW_Data!B:BZ, 29, FALSE), ""MRC""), ""Yes"", ""No"")"),"#N/A")</f>
        <v>#N/A</v>
      </c>
      <c r="N121" s="48" t="str">
        <f>VLOOKUP(A121, RAW_Data!B:Z, 12, FALSE)</f>
        <v>#N/A</v>
      </c>
      <c r="O121" s="45"/>
    </row>
    <row r="122">
      <c r="A122" s="45"/>
      <c r="B122" s="46" t="str">
        <f>VLOOKUP(A122, RAW_Data!B:Z, 4, FALSE)</f>
        <v>#N/A</v>
      </c>
      <c r="C122" s="47" t="str">
        <f>VLOOKUP(A122, RAW_Data!B:Z, 10, FALSE)</f>
        <v>#N/A</v>
      </c>
      <c r="D122" s="46" t="str">
        <f>VLOOKUP(A122, RAW_Data!B:Z, 9, FALSE)</f>
        <v>#N/A</v>
      </c>
      <c r="E122" s="48" t="str">
        <f>IFERROR(__xludf.DUMMYFUNCTION("LET(
  x, IFERROR(VLOOKUP(A122, RAW_Data!B:BZ, 61, FALSE), """"),
  IFS(
    REGEXMATCH(x, ""Morning""), ""Day"",
    REGEXMATCH(x, ""Evening""), ""Evening"",
    REGEXMATCH(x, ""Night""), ""Night"",
    x="""", """",
    TRUE, ""Variable""
  )
)"),"")</f>
        <v/>
      </c>
      <c r="F122" s="46" t="str">
        <f>VLOOKUP(A122, RAW_Data!B:Z, 8, FALSE)</f>
        <v>#N/A</v>
      </c>
      <c r="G122" s="46" t="str">
        <f>VLOOKUP(A122, RAW_Data!B:Z, 2, FALSE)</f>
        <v>#N/A</v>
      </c>
      <c r="H122" s="46" t="str">
        <f>VLOOKUP(A122, RAW_Data!B:Z, 18, FALSE)</f>
        <v>#N/A</v>
      </c>
      <c r="I122" s="46" t="str">
        <f>VLOOKUP(A122, RAW_Data!B:Z, 20, FALSE)</f>
        <v>#N/A</v>
      </c>
      <c r="J122" s="46" t="str">
        <f>VLOOKUP(A122, RAW_Data!B:Z, 24, FALSE)</f>
        <v>#N/A</v>
      </c>
      <c r="K122" s="46" t="str">
        <f>IFERROR(__xludf.DUMMYFUNCTION("IF(REGEXMATCH(VLOOKUP(A122, RAW_Data!B:BZ, 29, FALSE), ""Smart""), ""Yes"", ""No"")"),"#N/A")</f>
        <v>#N/A</v>
      </c>
      <c r="L122" s="46" t="str">
        <f>IFERROR(__xludf.DUMMYFUNCTION("IF(REGEXMATCH(VLOOKUP(A122, RAW_Data!B:BZ, 29, FALSE), ""Trouble""), ""Yes"", ""No"")"),"#N/A")</f>
        <v>#N/A</v>
      </c>
      <c r="M122" s="46" t="str">
        <f>IFERROR(__xludf.DUMMYFUNCTION("IF(REGEXMATCH(VLOOKUP(A122, RAW_Data!B:BZ, 29, FALSE), ""MRC""), ""Yes"", ""No"")"),"#N/A")</f>
        <v>#N/A</v>
      </c>
      <c r="N122" s="48" t="str">
        <f>VLOOKUP(A122, RAW_Data!B:Z, 12, FALSE)</f>
        <v>#N/A</v>
      </c>
      <c r="O122" s="45"/>
    </row>
    <row r="123">
      <c r="A123" s="45"/>
      <c r="B123" s="46" t="str">
        <f>VLOOKUP(A123, RAW_Data!B:Z, 4, FALSE)</f>
        <v>#N/A</v>
      </c>
      <c r="C123" s="47" t="str">
        <f>VLOOKUP(A123, RAW_Data!B:Z, 10, FALSE)</f>
        <v>#N/A</v>
      </c>
      <c r="D123" s="46" t="str">
        <f>VLOOKUP(A123, RAW_Data!B:Z, 9, FALSE)</f>
        <v>#N/A</v>
      </c>
      <c r="E123" s="48" t="str">
        <f>IFERROR(__xludf.DUMMYFUNCTION("LET(
  x, IFERROR(VLOOKUP(A123, RAW_Data!B:BZ, 61, FALSE), """"),
  IFS(
    REGEXMATCH(x, ""Morning""), ""Day"",
    REGEXMATCH(x, ""Evening""), ""Evening"",
    REGEXMATCH(x, ""Night""), ""Night"",
    x="""", """",
    TRUE, ""Variable""
  )
)"),"")</f>
        <v/>
      </c>
      <c r="F123" s="46" t="str">
        <f>VLOOKUP(A123, RAW_Data!B:Z, 8, FALSE)</f>
        <v>#N/A</v>
      </c>
      <c r="G123" s="46" t="str">
        <f>VLOOKUP(A123, RAW_Data!B:Z, 2, FALSE)</f>
        <v>#N/A</v>
      </c>
      <c r="H123" s="46" t="str">
        <f>VLOOKUP(A123, RAW_Data!B:Z, 18, FALSE)</f>
        <v>#N/A</v>
      </c>
      <c r="I123" s="46" t="str">
        <f>VLOOKUP(A123, RAW_Data!B:Z, 20, FALSE)</f>
        <v>#N/A</v>
      </c>
      <c r="J123" s="46" t="str">
        <f>VLOOKUP(A123, RAW_Data!B:Z, 24, FALSE)</f>
        <v>#N/A</v>
      </c>
      <c r="K123" s="46" t="str">
        <f>IFERROR(__xludf.DUMMYFUNCTION("IF(REGEXMATCH(VLOOKUP(A123, RAW_Data!B:BZ, 29, FALSE), ""Smart""), ""Yes"", ""No"")"),"#N/A")</f>
        <v>#N/A</v>
      </c>
      <c r="L123" s="46" t="str">
        <f>IFERROR(__xludf.DUMMYFUNCTION("IF(REGEXMATCH(VLOOKUP(A123, RAW_Data!B:BZ, 29, FALSE), ""Trouble""), ""Yes"", ""No"")"),"#N/A")</f>
        <v>#N/A</v>
      </c>
      <c r="M123" s="46" t="str">
        <f>IFERROR(__xludf.DUMMYFUNCTION("IF(REGEXMATCH(VLOOKUP(A123, RAW_Data!B:BZ, 29, FALSE), ""MRC""), ""Yes"", ""No"")"),"#N/A")</f>
        <v>#N/A</v>
      </c>
      <c r="N123" s="48" t="str">
        <f>VLOOKUP(A123, RAW_Data!B:Z, 12, FALSE)</f>
        <v>#N/A</v>
      </c>
      <c r="O123" s="45"/>
    </row>
    <row r="124">
      <c r="A124" s="45"/>
      <c r="B124" s="46" t="str">
        <f>VLOOKUP(A124, RAW_Data!B:Z, 4, FALSE)</f>
        <v>#N/A</v>
      </c>
      <c r="C124" s="47" t="str">
        <f>VLOOKUP(A124, RAW_Data!B:Z, 10, FALSE)</f>
        <v>#N/A</v>
      </c>
      <c r="D124" s="46" t="str">
        <f>VLOOKUP(A124, RAW_Data!B:Z, 9, FALSE)</f>
        <v>#N/A</v>
      </c>
      <c r="E124" s="48" t="str">
        <f>IFERROR(__xludf.DUMMYFUNCTION("LET(
  x, IFERROR(VLOOKUP(A124, RAW_Data!B:BZ, 61, FALSE), """"),
  IFS(
    REGEXMATCH(x, ""Morning""), ""Day"",
    REGEXMATCH(x, ""Evening""), ""Evening"",
    REGEXMATCH(x, ""Night""), ""Night"",
    x="""", """",
    TRUE, ""Variable""
  )
)"),"")</f>
        <v/>
      </c>
      <c r="F124" s="46" t="str">
        <f>VLOOKUP(A124, RAW_Data!B:Z, 8, FALSE)</f>
        <v>#N/A</v>
      </c>
      <c r="G124" s="46" t="str">
        <f>VLOOKUP(A124, RAW_Data!B:Z, 2, FALSE)</f>
        <v>#N/A</v>
      </c>
      <c r="H124" s="46" t="str">
        <f>VLOOKUP(A124, RAW_Data!B:Z, 18, FALSE)</f>
        <v>#N/A</v>
      </c>
      <c r="I124" s="46" t="str">
        <f>VLOOKUP(A124, RAW_Data!B:Z, 20, FALSE)</f>
        <v>#N/A</v>
      </c>
      <c r="J124" s="46" t="str">
        <f>VLOOKUP(A124, RAW_Data!B:Z, 24, FALSE)</f>
        <v>#N/A</v>
      </c>
      <c r="K124" s="46" t="str">
        <f>IFERROR(__xludf.DUMMYFUNCTION("IF(REGEXMATCH(VLOOKUP(A124, RAW_Data!B:BZ, 29, FALSE), ""Smart""), ""Yes"", ""No"")"),"#N/A")</f>
        <v>#N/A</v>
      </c>
      <c r="L124" s="46" t="str">
        <f>IFERROR(__xludf.DUMMYFUNCTION("IF(REGEXMATCH(VLOOKUP(A124, RAW_Data!B:BZ, 29, FALSE), ""Trouble""), ""Yes"", ""No"")"),"#N/A")</f>
        <v>#N/A</v>
      </c>
      <c r="M124" s="46" t="str">
        <f>IFERROR(__xludf.DUMMYFUNCTION("IF(REGEXMATCH(VLOOKUP(A124, RAW_Data!B:BZ, 29, FALSE), ""MRC""), ""Yes"", ""No"")"),"#N/A")</f>
        <v>#N/A</v>
      </c>
      <c r="N124" s="48" t="str">
        <f>VLOOKUP(A124, RAW_Data!B:Z, 12, FALSE)</f>
        <v>#N/A</v>
      </c>
      <c r="O124" s="45"/>
    </row>
    <row r="125">
      <c r="A125" s="45"/>
      <c r="B125" s="46" t="str">
        <f>VLOOKUP(A125, RAW_Data!B:Z, 4, FALSE)</f>
        <v>#N/A</v>
      </c>
      <c r="C125" s="47" t="str">
        <f>VLOOKUP(A125, RAW_Data!B:Z, 10, FALSE)</f>
        <v>#N/A</v>
      </c>
      <c r="D125" s="46" t="str">
        <f>VLOOKUP(A125, RAW_Data!B:Z, 9, FALSE)</f>
        <v>#N/A</v>
      </c>
      <c r="E125" s="48" t="str">
        <f>IFERROR(__xludf.DUMMYFUNCTION("LET(
  x, IFERROR(VLOOKUP(A125, RAW_Data!B:BZ, 61, FALSE), """"),
  IFS(
    REGEXMATCH(x, ""Morning""), ""Day"",
    REGEXMATCH(x, ""Evening""), ""Evening"",
    REGEXMATCH(x, ""Night""), ""Night"",
    x="""", """",
    TRUE, ""Variable""
  )
)"),"")</f>
        <v/>
      </c>
      <c r="F125" s="46" t="str">
        <f>VLOOKUP(A125, RAW_Data!B:Z, 8, FALSE)</f>
        <v>#N/A</v>
      </c>
      <c r="G125" s="46" t="str">
        <f>VLOOKUP(A125, RAW_Data!B:Z, 2, FALSE)</f>
        <v>#N/A</v>
      </c>
      <c r="H125" s="46" t="str">
        <f>VLOOKUP(A125, RAW_Data!B:Z, 18, FALSE)</f>
        <v>#N/A</v>
      </c>
      <c r="I125" s="46" t="str">
        <f>VLOOKUP(A125, RAW_Data!B:Z, 20, FALSE)</f>
        <v>#N/A</v>
      </c>
      <c r="J125" s="46" t="str">
        <f>VLOOKUP(A125, RAW_Data!B:Z, 24, FALSE)</f>
        <v>#N/A</v>
      </c>
      <c r="K125" s="46" t="str">
        <f>IFERROR(__xludf.DUMMYFUNCTION("IF(REGEXMATCH(VLOOKUP(A125, RAW_Data!B:BZ, 29, FALSE), ""Smart""), ""Yes"", ""No"")"),"#N/A")</f>
        <v>#N/A</v>
      </c>
      <c r="L125" s="46" t="str">
        <f>IFERROR(__xludf.DUMMYFUNCTION("IF(REGEXMATCH(VLOOKUP(A125, RAW_Data!B:BZ, 29, FALSE), ""Trouble""), ""Yes"", ""No"")"),"#N/A")</f>
        <v>#N/A</v>
      </c>
      <c r="M125" s="46" t="str">
        <f>IFERROR(__xludf.DUMMYFUNCTION("IF(REGEXMATCH(VLOOKUP(A125, RAW_Data!B:BZ, 29, FALSE), ""MRC""), ""Yes"", ""No"")"),"#N/A")</f>
        <v>#N/A</v>
      </c>
      <c r="N125" s="48" t="str">
        <f>VLOOKUP(A125, RAW_Data!B:Z, 12, FALSE)</f>
        <v>#N/A</v>
      </c>
      <c r="O125" s="45"/>
    </row>
    <row r="126">
      <c r="A126" s="45"/>
      <c r="B126" s="46" t="str">
        <f>VLOOKUP(A126, RAW_Data!B:Z, 4, FALSE)</f>
        <v>#N/A</v>
      </c>
      <c r="C126" s="47" t="str">
        <f>VLOOKUP(A126, RAW_Data!B:Z, 10, FALSE)</f>
        <v>#N/A</v>
      </c>
      <c r="D126" s="46" t="str">
        <f>VLOOKUP(A126, RAW_Data!B:Z, 9, FALSE)</f>
        <v>#N/A</v>
      </c>
      <c r="E126" s="48" t="str">
        <f>IFERROR(__xludf.DUMMYFUNCTION("LET(
  x, IFERROR(VLOOKUP(A126, RAW_Data!B:BZ, 61, FALSE), """"),
  IFS(
    REGEXMATCH(x, ""Morning""), ""Day"",
    REGEXMATCH(x, ""Evening""), ""Evening"",
    REGEXMATCH(x, ""Night""), ""Night"",
    x="""", """",
    TRUE, ""Variable""
  )
)"),"")</f>
        <v/>
      </c>
      <c r="F126" s="46" t="str">
        <f>VLOOKUP(A126, RAW_Data!B:Z, 8, FALSE)</f>
        <v>#N/A</v>
      </c>
      <c r="G126" s="46" t="str">
        <f>VLOOKUP(A126, RAW_Data!B:Z, 2, FALSE)</f>
        <v>#N/A</v>
      </c>
      <c r="H126" s="46" t="str">
        <f>VLOOKUP(A126, RAW_Data!B:Z, 18, FALSE)</f>
        <v>#N/A</v>
      </c>
      <c r="I126" s="46" t="str">
        <f>VLOOKUP(A126, RAW_Data!B:Z, 20, FALSE)</f>
        <v>#N/A</v>
      </c>
      <c r="J126" s="46" t="str">
        <f>VLOOKUP(A126, RAW_Data!B:Z, 24, FALSE)</f>
        <v>#N/A</v>
      </c>
      <c r="K126" s="46" t="str">
        <f>IFERROR(__xludf.DUMMYFUNCTION("IF(REGEXMATCH(VLOOKUP(A126, RAW_Data!B:BZ, 29, FALSE), ""Smart""), ""Yes"", ""No"")"),"#N/A")</f>
        <v>#N/A</v>
      </c>
      <c r="L126" s="46" t="str">
        <f>IFERROR(__xludf.DUMMYFUNCTION("IF(REGEXMATCH(VLOOKUP(A126, RAW_Data!B:BZ, 29, FALSE), ""Trouble""), ""Yes"", ""No"")"),"#N/A")</f>
        <v>#N/A</v>
      </c>
      <c r="M126" s="46" t="str">
        <f>IFERROR(__xludf.DUMMYFUNCTION("IF(REGEXMATCH(VLOOKUP(A126, RAW_Data!B:BZ, 29, FALSE), ""MRC""), ""Yes"", ""No"")"),"#N/A")</f>
        <v>#N/A</v>
      </c>
      <c r="N126" s="48" t="str">
        <f>VLOOKUP(A126, RAW_Data!B:Z, 12, FALSE)</f>
        <v>#N/A</v>
      </c>
      <c r="O126" s="45"/>
    </row>
    <row r="127">
      <c r="A127" s="45"/>
      <c r="B127" s="46" t="str">
        <f>VLOOKUP(A127, RAW_Data!B:Z, 4, FALSE)</f>
        <v>#N/A</v>
      </c>
      <c r="C127" s="47" t="str">
        <f>VLOOKUP(A127, RAW_Data!B:Z, 10, FALSE)</f>
        <v>#N/A</v>
      </c>
      <c r="D127" s="46" t="str">
        <f>VLOOKUP(A127, RAW_Data!B:Z, 9, FALSE)</f>
        <v>#N/A</v>
      </c>
      <c r="E127" s="48" t="str">
        <f>IFERROR(__xludf.DUMMYFUNCTION("LET(
  x, IFERROR(VLOOKUP(A127, RAW_Data!B:BZ, 61, FALSE), """"),
  IFS(
    REGEXMATCH(x, ""Morning""), ""Day"",
    REGEXMATCH(x, ""Evening""), ""Evening"",
    REGEXMATCH(x, ""Night""), ""Night"",
    x="""", """",
    TRUE, ""Variable""
  )
)"),"")</f>
        <v/>
      </c>
      <c r="F127" s="46" t="str">
        <f>VLOOKUP(A127, RAW_Data!B:Z, 8, FALSE)</f>
        <v>#N/A</v>
      </c>
      <c r="G127" s="46" t="str">
        <f>VLOOKUP(A127, RAW_Data!B:Z, 2, FALSE)</f>
        <v>#N/A</v>
      </c>
      <c r="H127" s="46" t="str">
        <f>VLOOKUP(A127, RAW_Data!B:Z, 18, FALSE)</f>
        <v>#N/A</v>
      </c>
      <c r="I127" s="46" t="str">
        <f>VLOOKUP(A127, RAW_Data!B:Z, 20, FALSE)</f>
        <v>#N/A</v>
      </c>
      <c r="J127" s="46" t="str">
        <f>VLOOKUP(A127, RAW_Data!B:Z, 24, FALSE)</f>
        <v>#N/A</v>
      </c>
      <c r="K127" s="46" t="str">
        <f>IFERROR(__xludf.DUMMYFUNCTION("IF(REGEXMATCH(VLOOKUP(A127, RAW_Data!B:BZ, 29, FALSE), ""Smart""), ""Yes"", ""No"")"),"#N/A")</f>
        <v>#N/A</v>
      </c>
      <c r="L127" s="46" t="str">
        <f>IFERROR(__xludf.DUMMYFUNCTION("IF(REGEXMATCH(VLOOKUP(A127, RAW_Data!B:BZ, 29, FALSE), ""Trouble""), ""Yes"", ""No"")"),"#N/A")</f>
        <v>#N/A</v>
      </c>
      <c r="M127" s="46" t="str">
        <f>IFERROR(__xludf.DUMMYFUNCTION("IF(REGEXMATCH(VLOOKUP(A127, RAW_Data!B:BZ, 29, FALSE), ""MRC""), ""Yes"", ""No"")"),"#N/A")</f>
        <v>#N/A</v>
      </c>
      <c r="N127" s="48" t="str">
        <f>VLOOKUP(A127, RAW_Data!B:Z, 12, FALSE)</f>
        <v>#N/A</v>
      </c>
      <c r="O127" s="45"/>
    </row>
    <row r="128">
      <c r="A128" s="45"/>
      <c r="B128" s="46" t="str">
        <f>VLOOKUP(A128, RAW_Data!B:Z, 4, FALSE)</f>
        <v>#N/A</v>
      </c>
      <c r="C128" s="47" t="str">
        <f>VLOOKUP(A128, RAW_Data!B:Z, 10, FALSE)</f>
        <v>#N/A</v>
      </c>
      <c r="D128" s="46" t="str">
        <f>VLOOKUP(A128, RAW_Data!B:Z, 9, FALSE)</f>
        <v>#N/A</v>
      </c>
      <c r="E128" s="48" t="str">
        <f>IFERROR(__xludf.DUMMYFUNCTION("LET(
  x, IFERROR(VLOOKUP(A128, RAW_Data!B:BZ, 61, FALSE), """"),
  IFS(
    REGEXMATCH(x, ""Morning""), ""Day"",
    REGEXMATCH(x, ""Evening""), ""Evening"",
    REGEXMATCH(x, ""Night""), ""Night"",
    x="""", """",
    TRUE, ""Variable""
  )
)"),"")</f>
        <v/>
      </c>
      <c r="F128" s="46" t="str">
        <f>VLOOKUP(A128, RAW_Data!B:Z, 8, FALSE)</f>
        <v>#N/A</v>
      </c>
      <c r="G128" s="46" t="str">
        <f>VLOOKUP(A128, RAW_Data!B:Z, 2, FALSE)</f>
        <v>#N/A</v>
      </c>
      <c r="H128" s="46" t="str">
        <f>VLOOKUP(A128, RAW_Data!B:Z, 18, FALSE)</f>
        <v>#N/A</v>
      </c>
      <c r="I128" s="46" t="str">
        <f>VLOOKUP(A128, RAW_Data!B:Z, 20, FALSE)</f>
        <v>#N/A</v>
      </c>
      <c r="J128" s="46" t="str">
        <f>VLOOKUP(A128, RAW_Data!B:Z, 24, FALSE)</f>
        <v>#N/A</v>
      </c>
      <c r="K128" s="46" t="str">
        <f>IFERROR(__xludf.DUMMYFUNCTION("IF(REGEXMATCH(VLOOKUP(A128, RAW_Data!B:BZ, 29, FALSE), ""Smart""), ""Yes"", ""No"")"),"#N/A")</f>
        <v>#N/A</v>
      </c>
      <c r="L128" s="46" t="str">
        <f>IFERROR(__xludf.DUMMYFUNCTION("IF(REGEXMATCH(VLOOKUP(A128, RAW_Data!B:BZ, 29, FALSE), ""Trouble""), ""Yes"", ""No"")"),"#N/A")</f>
        <v>#N/A</v>
      </c>
      <c r="M128" s="46" t="str">
        <f>IFERROR(__xludf.DUMMYFUNCTION("IF(REGEXMATCH(VLOOKUP(A128, RAW_Data!B:BZ, 29, FALSE), ""MRC""), ""Yes"", ""No"")"),"#N/A")</f>
        <v>#N/A</v>
      </c>
      <c r="N128" s="48" t="str">
        <f>VLOOKUP(A128, RAW_Data!B:Z, 12, FALSE)</f>
        <v>#N/A</v>
      </c>
      <c r="O128" s="45"/>
    </row>
    <row r="129">
      <c r="A129" s="45"/>
      <c r="B129" s="46" t="str">
        <f>VLOOKUP(A129, RAW_Data!B:Z, 4, FALSE)</f>
        <v>#N/A</v>
      </c>
      <c r="C129" s="47" t="str">
        <f>VLOOKUP(A129, RAW_Data!B:Z, 10, FALSE)</f>
        <v>#N/A</v>
      </c>
      <c r="D129" s="46" t="str">
        <f>VLOOKUP(A129, RAW_Data!B:Z, 9, FALSE)</f>
        <v>#N/A</v>
      </c>
      <c r="E129" s="48" t="str">
        <f>IFERROR(__xludf.DUMMYFUNCTION("LET(
  x, IFERROR(VLOOKUP(A129, RAW_Data!B:BZ, 61, FALSE), """"),
  IFS(
    REGEXMATCH(x, ""Morning""), ""Day"",
    REGEXMATCH(x, ""Evening""), ""Evening"",
    REGEXMATCH(x, ""Night""), ""Night"",
    x="""", """",
    TRUE, ""Variable""
  )
)"),"")</f>
        <v/>
      </c>
      <c r="F129" s="46" t="str">
        <f>VLOOKUP(A129, RAW_Data!B:Z, 8, FALSE)</f>
        <v>#N/A</v>
      </c>
      <c r="G129" s="46" t="str">
        <f>VLOOKUP(A129, RAW_Data!B:Z, 2, FALSE)</f>
        <v>#N/A</v>
      </c>
      <c r="H129" s="46" t="str">
        <f>VLOOKUP(A129, RAW_Data!B:Z, 18, FALSE)</f>
        <v>#N/A</v>
      </c>
      <c r="I129" s="46" t="str">
        <f>VLOOKUP(A129, RAW_Data!B:Z, 20, FALSE)</f>
        <v>#N/A</v>
      </c>
      <c r="J129" s="46" t="str">
        <f>VLOOKUP(A129, RAW_Data!B:Z, 24, FALSE)</f>
        <v>#N/A</v>
      </c>
      <c r="K129" s="46" t="str">
        <f>IFERROR(__xludf.DUMMYFUNCTION("IF(REGEXMATCH(VLOOKUP(A129, RAW_Data!B:BZ, 29, FALSE), ""Smart""), ""Yes"", ""No"")"),"#N/A")</f>
        <v>#N/A</v>
      </c>
      <c r="L129" s="46" t="str">
        <f>IFERROR(__xludf.DUMMYFUNCTION("IF(REGEXMATCH(VLOOKUP(A129, RAW_Data!B:BZ, 29, FALSE), ""Trouble""), ""Yes"", ""No"")"),"#N/A")</f>
        <v>#N/A</v>
      </c>
      <c r="M129" s="46" t="str">
        <f>IFERROR(__xludf.DUMMYFUNCTION("IF(REGEXMATCH(VLOOKUP(A129, RAW_Data!B:BZ, 29, FALSE), ""MRC""), ""Yes"", ""No"")"),"#N/A")</f>
        <v>#N/A</v>
      </c>
      <c r="N129" s="48" t="str">
        <f>VLOOKUP(A129, RAW_Data!B:Z, 12, FALSE)</f>
        <v>#N/A</v>
      </c>
      <c r="O129" s="45"/>
    </row>
    <row r="130">
      <c r="A130" s="55" t="s">
        <v>1489</v>
      </c>
      <c r="B130" s="56"/>
      <c r="C130" s="57"/>
      <c r="D130" s="56"/>
      <c r="E130" s="58"/>
      <c r="F130" s="56"/>
      <c r="G130" s="46"/>
      <c r="H130" s="46"/>
      <c r="I130" s="46"/>
      <c r="J130" s="46"/>
      <c r="K130" s="46"/>
      <c r="L130" s="46"/>
      <c r="M130" s="46"/>
      <c r="O130" s="59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45" t="str">
        <f>IFERROR(__xludf.DUMMYFUNCTION("FILTER(RAW_Data!B2:B1030, RAW_Data!E2:E1030&lt;&gt;""Active"")"),"Austin, Stephanie")</f>
        <v>Austin, Stephanie</v>
      </c>
      <c r="B131" s="46" t="str">
        <f>VLOOKUP(A131, RAW_Data!B:Z, 4, FALSE)</f>
        <v>Long Term Disability</v>
      </c>
      <c r="C131" s="47">
        <f>VLOOKUP(A131, RAW_Data!B:Z, 10, FALSE)</f>
        <v>2</v>
      </c>
      <c r="D131" s="46" t="str">
        <f>VLOOKUP(A131, RAW_Data!B:Z, 9, FALSE)</f>
        <v>Bilingual-English</v>
      </c>
      <c r="E131" s="48" t="str">
        <f>VLOOKUP(A131, RAW_Data!B:BZ, 61, FALSE)</f>
        <v>Evening (from 10h45 - 17h00)</v>
      </c>
      <c r="F131" s="46" t="str">
        <f>VLOOKUP(A131, RAW_Data!B:Z, 8, FALSE)</f>
        <v>Remote Area</v>
      </c>
      <c r="G131" s="46" t="str">
        <f>VLOOKUP(A131, RAW_Data!B:Z, 2, FALSE)</f>
        <v>T983229</v>
      </c>
      <c r="H131" s="46" t="str">
        <f>VLOOKUP(A131, RAW_Data!B:Z, 18, FALSE)</f>
        <v>M0070</v>
      </c>
      <c r="I131" s="46">
        <f>VLOOKUP(A131, RAW_Data!B:Z, 20, FALSE)</f>
        <v>100983229</v>
      </c>
      <c r="J131" s="46">
        <f>VLOOKUP(A131, RAW_Data!B:Z, 24, FALSE)</f>
        <v>1066108</v>
      </c>
      <c r="K131" s="46" t="str">
        <f>IFERROR(__xludf.DUMMYFUNCTION("IF(REGEXMATCH(VLOOKUP(A131, RAW_Data!B:BZ, 29, FALSE), ""Smart""), ""Yes"", ""No"")"),"No")</f>
        <v>No</v>
      </c>
      <c r="L131" s="46" t="str">
        <f>IFERROR(__xludf.DUMMYFUNCTION("IF(REGEXMATCH(VLOOKUP(A131, RAW_Data!B:BZ, 29, FALSE), ""Trouble""), ""Yes"", ""No"")"),"No")</f>
        <v>No</v>
      </c>
      <c r="M131" s="46" t="str">
        <f>IFERROR(__xludf.DUMMYFUNCTION("IF(REGEXMATCH(VLOOKUP(A131, RAW_Data!B:BZ, 29, FALSE), ""MRC""), ""Yes"", ""No"")"),"No")</f>
        <v>No</v>
      </c>
      <c r="N131" s="48" t="str">
        <f>VLOOKUP(A131, RAW_Data!B:Z, 12, FALSE)</f>
        <v>Coghiel, Caren</v>
      </c>
      <c r="O131" s="45"/>
    </row>
    <row r="132">
      <c r="A132" s="45" t="str">
        <f>IFERROR(__xludf.DUMMYFUNCTION("""COMPUTED_VALUE"""),"Beaulieu, Angelyk")</f>
        <v>Beaulieu, Angelyk</v>
      </c>
      <c r="B132" s="46" t="str">
        <f>VLOOKUP(A132, RAW_Data!B:Z, 4, FALSE)</f>
        <v>Maternity/Paternity Leave</v>
      </c>
      <c r="C132" s="47">
        <f>VLOOKUP(A132, RAW_Data!B:Z, 10, FALSE)</f>
        <v>4</v>
      </c>
      <c r="D132" s="46" t="str">
        <f>VLOOKUP(A132, RAW_Data!B:Z, 9, FALSE)</f>
        <v>Bilingual-French</v>
      </c>
      <c r="E132" s="48" t="str">
        <f>VLOOKUP(A132, RAW_Data!B:BZ, 61, FALSE)</f>
        <v>Night (from 18h30 - 01h00)</v>
      </c>
      <c r="F132" s="46" t="str">
        <f>VLOOKUP(A132, RAW_Data!B:Z, 8, FALSE)</f>
        <v>Montreal</v>
      </c>
      <c r="G132" s="46" t="str">
        <f>VLOOKUP(A132, RAW_Data!B:Z, 2, FALSE)</f>
        <v>T956508</v>
      </c>
      <c r="H132" s="46" t="str">
        <f>VLOOKUP(A132, RAW_Data!B:Z, 18, FALSE)</f>
        <v>M0072</v>
      </c>
      <c r="I132" s="46">
        <f>VLOOKUP(A132, RAW_Data!B:Z, 20, FALSE)</f>
        <v>100956508</v>
      </c>
      <c r="J132" s="46">
        <f>VLOOKUP(A132, RAW_Data!B:Z, 24, FALSE)</f>
        <v>1067279</v>
      </c>
      <c r="K132" s="46" t="str">
        <f>IFERROR(__xludf.DUMMYFUNCTION("IF(REGEXMATCH(VLOOKUP(A132, RAW_Data!B:BZ, 29, FALSE), ""Smart""), ""Yes"", ""No"")"),"No")</f>
        <v>No</v>
      </c>
      <c r="L132" s="46" t="str">
        <f>IFERROR(__xludf.DUMMYFUNCTION("IF(REGEXMATCH(VLOOKUP(A132, RAW_Data!B:BZ, 29, FALSE), ""Trouble""), ""Yes"", ""No"")"),"Yes")</f>
        <v>Yes</v>
      </c>
      <c r="M132" s="46" t="str">
        <f>IFERROR(__xludf.DUMMYFUNCTION("IF(REGEXMATCH(VLOOKUP(A132, RAW_Data!B:BZ, 29, FALSE), ""MRC""), ""Yes"", ""No"")"),"No")</f>
        <v>No</v>
      </c>
      <c r="N132" s="48" t="str">
        <f>VLOOKUP(A132, RAW_Data!B:Z, 12, FALSE)</f>
        <v>Herrati, Houcine</v>
      </c>
      <c r="O132" s="45"/>
    </row>
    <row r="133">
      <c r="A133" s="45" t="str">
        <f>IFERROR(__xludf.DUMMYFUNCTION("""COMPUTED_VALUE"""),"Bonnet, Cassandra")</f>
        <v>Bonnet, Cassandra</v>
      </c>
      <c r="B133" s="46" t="str">
        <f>VLOOKUP(A133, RAW_Data!B:Z, 4, FALSE)</f>
        <v>Maternity/Paternity Leave</v>
      </c>
      <c r="C133" s="47">
        <f>VLOOKUP(A133, RAW_Data!B:Z, 10, FALSE)</f>
        <v>4</v>
      </c>
      <c r="D133" s="46" t="str">
        <f>VLOOKUP(A133, RAW_Data!B:Z, 9, FALSE)</f>
        <v>Bilingual-English</v>
      </c>
      <c r="E133" s="48" t="str">
        <f>VLOOKUP(A133, RAW_Data!B:BZ, 61, FALSE)</f>
        <v>Morning (from 05h00 - 10h30)</v>
      </c>
      <c r="F133" s="46" t="str">
        <f>VLOOKUP(A133, RAW_Data!B:Z, 8, FALSE)</f>
        <v>Montreal</v>
      </c>
      <c r="G133" s="46" t="str">
        <f>VLOOKUP(A133, RAW_Data!B:Z, 2, FALSE)</f>
        <v>T956369</v>
      </c>
      <c r="H133" s="46" t="str">
        <f>VLOOKUP(A133, RAW_Data!B:Z, 18, FALSE)</f>
        <v>M0078</v>
      </c>
      <c r="I133" s="46">
        <f>VLOOKUP(A133, RAW_Data!B:Z, 20, FALSE)</f>
        <v>100956369</v>
      </c>
      <c r="J133" s="46">
        <f>VLOOKUP(A133, RAW_Data!B:Z, 24, FALSE)</f>
        <v>1066711</v>
      </c>
      <c r="K133" s="46" t="str">
        <f>IFERROR(__xludf.DUMMYFUNCTION("IF(REGEXMATCH(VLOOKUP(A133, RAW_Data!B:BZ, 29, FALSE), ""Smart""), ""Yes"", ""No"")"),"Yes")</f>
        <v>Yes</v>
      </c>
      <c r="L133" s="46" t="str">
        <f>IFERROR(__xludf.DUMMYFUNCTION("IF(REGEXMATCH(VLOOKUP(A133, RAW_Data!B:BZ, 29, FALSE), ""Trouble""), ""Yes"", ""No"")"),"Yes")</f>
        <v>Yes</v>
      </c>
      <c r="M133" s="46" t="str">
        <f>IFERROR(__xludf.DUMMYFUNCTION("IF(REGEXMATCH(VLOOKUP(A133, RAW_Data!B:BZ, 29, FALSE), ""MRC""), ""Yes"", ""No"")"),"No")</f>
        <v>No</v>
      </c>
      <c r="N133" s="48" t="str">
        <f>VLOOKUP(A133, RAW_Data!B:Z, 12, FALSE)</f>
        <v>Kollias, Peter</v>
      </c>
      <c r="O133" s="45"/>
    </row>
    <row r="134">
      <c r="A134" s="45" t="str">
        <f>IFERROR(__xludf.DUMMYFUNCTION("""COMPUTED_VALUE"""),"Borromeo, Ronadell")</f>
        <v>Borromeo, Ronadell</v>
      </c>
      <c r="B134" s="46" t="str">
        <f>VLOOKUP(A134, RAW_Data!B:Z, 4, FALSE)</f>
        <v>Short Term Disability</v>
      </c>
      <c r="C134" s="47">
        <f>VLOOKUP(A134, RAW_Data!B:Z, 10, FALSE)</f>
        <v>2</v>
      </c>
      <c r="D134" s="46" t="str">
        <f>VLOOKUP(A134, RAW_Data!B:Z, 9, FALSE)</f>
        <v>English</v>
      </c>
      <c r="E134" s="48" t="str">
        <f>VLOOKUP(A134, RAW_Data!B:BZ, 61, FALSE)</f>
        <v>Morning (from 05h00 - 10h30)</v>
      </c>
      <c r="F134" s="46" t="str">
        <f>VLOOKUP(A134, RAW_Data!B:Z, 8, FALSE)</f>
        <v>Montreal</v>
      </c>
      <c r="G134" s="46" t="str">
        <f>VLOOKUP(A134, RAW_Data!B:Z, 2, FALSE)</f>
        <v>T956358</v>
      </c>
      <c r="H134" s="46" t="str">
        <f>VLOOKUP(A134, RAW_Data!B:Z, 18, FALSE)</f>
        <v>M0080</v>
      </c>
      <c r="I134" s="46">
        <f>VLOOKUP(A134, RAW_Data!B:Z, 20, FALSE)</f>
        <v>100956358</v>
      </c>
      <c r="J134" s="46">
        <f>VLOOKUP(A134, RAW_Data!B:Z, 24, FALSE)</f>
        <v>1063840</v>
      </c>
      <c r="K134" s="46" t="str">
        <f>IFERROR(__xludf.DUMMYFUNCTION("IF(REGEXMATCH(VLOOKUP(A134, RAW_Data!B:BZ, 29, FALSE), ""Smart""), ""Yes"", ""No"")"),"No")</f>
        <v>No</v>
      </c>
      <c r="L134" s="46" t="str">
        <f>IFERROR(__xludf.DUMMYFUNCTION("IF(REGEXMATCH(VLOOKUP(A134, RAW_Data!B:BZ, 29, FALSE), ""Trouble""), ""Yes"", ""No"")"),"No")</f>
        <v>No</v>
      </c>
      <c r="M134" s="46" t="str">
        <f>IFERROR(__xludf.DUMMYFUNCTION("IF(REGEXMATCH(VLOOKUP(A134, RAW_Data!B:BZ, 29, FALSE), ""MRC""), ""Yes"", ""No"")"),"No")</f>
        <v>No</v>
      </c>
      <c r="N134" s="48" t="str">
        <f>VLOOKUP(A134, RAW_Data!B:Z, 12, FALSE)</f>
        <v>Lo, Mamadou</v>
      </c>
      <c r="O134" s="45"/>
    </row>
    <row r="135">
      <c r="A135" s="45" t="str">
        <f>IFERROR(__xludf.DUMMYFUNCTION("""COMPUTED_VALUE"""),"Daniels, Aeron")</f>
        <v>Daniels, Aeron</v>
      </c>
      <c r="B135" s="46" t="str">
        <f>VLOOKUP(A135, RAW_Data!B:Z, 4, FALSE)</f>
        <v>Long Term Disability</v>
      </c>
      <c r="C135" s="47">
        <f>VLOOKUP(A135, RAW_Data!B:Z, 10, FALSE)</f>
        <v>2</v>
      </c>
      <c r="D135" s="46" t="str">
        <f>VLOOKUP(A135, RAW_Data!B:Z, 9, FALSE)</f>
        <v>English</v>
      </c>
      <c r="E135" s="48" t="str">
        <f>VLOOKUP(A135, RAW_Data!B:BZ, 61, FALSE)</f>
        <v>Evening (from 10h45 - 17h00)</v>
      </c>
      <c r="F135" s="46" t="str">
        <f>VLOOKUP(A135, RAW_Data!B:Z, 8, FALSE)</f>
        <v>Victoria</v>
      </c>
      <c r="G135" s="46" t="str">
        <f>VLOOKUP(A135, RAW_Data!B:Z, 2, FALSE)</f>
        <v>T973078</v>
      </c>
      <c r="H135" s="46" t="str">
        <f>VLOOKUP(A135, RAW_Data!B:Z, 18, FALSE)</f>
        <v>M0095</v>
      </c>
      <c r="I135" s="46">
        <f>VLOOKUP(A135, RAW_Data!B:Z, 20, FALSE)</f>
        <v>100973078</v>
      </c>
      <c r="J135" s="46">
        <f>VLOOKUP(A135, RAW_Data!B:Z, 24, FALSE)</f>
        <v>1030138</v>
      </c>
      <c r="K135" s="46" t="str">
        <f>IFERROR(__xludf.DUMMYFUNCTION("IF(REGEXMATCH(VLOOKUP(A135, RAW_Data!B:BZ, 29, FALSE), ""Smart""), ""Yes"", ""No"")"),"No")</f>
        <v>No</v>
      </c>
      <c r="L135" s="46" t="str">
        <f>IFERROR(__xludf.DUMMYFUNCTION("IF(REGEXMATCH(VLOOKUP(A135, RAW_Data!B:BZ, 29, FALSE), ""Trouble""), ""Yes"", ""No"")"),"Yes")</f>
        <v>Yes</v>
      </c>
      <c r="M135" s="46" t="str">
        <f>IFERROR(__xludf.DUMMYFUNCTION("IF(REGEXMATCH(VLOOKUP(A135, RAW_Data!B:BZ, 29, FALSE), ""MRC""), ""Yes"", ""No"")"),"No")</f>
        <v>No</v>
      </c>
      <c r="N135" s="48" t="str">
        <f>VLOOKUP(A135, RAW_Data!B:Z, 12, FALSE)</f>
        <v>Dhindsa, Sukhjinder</v>
      </c>
      <c r="O135" s="45"/>
    </row>
    <row r="136">
      <c r="A136" s="45" t="str">
        <f>IFERROR(__xludf.DUMMYFUNCTION("""COMPUTED_VALUE"""),"Dieu-Juste, Erica")</f>
        <v>Dieu-Juste, Erica</v>
      </c>
      <c r="B136" s="46" t="str">
        <f>VLOOKUP(A136, RAW_Data!B:Z, 4, FALSE)</f>
        <v>Long Term Disability</v>
      </c>
      <c r="C136" s="47">
        <f>VLOOKUP(A136, RAW_Data!B:Z, 10, FALSE)</f>
        <v>4</v>
      </c>
      <c r="D136" s="46" t="str">
        <f>VLOOKUP(A136, RAW_Data!B:Z, 9, FALSE)</f>
        <v>Bilingual-French</v>
      </c>
      <c r="E136" s="48" t="str">
        <f>VLOOKUP(A136, RAW_Data!B:BZ, 61, FALSE)</f>
        <v>Morning (from 05h00 - 10h30)</v>
      </c>
      <c r="F136" s="46" t="str">
        <f>VLOOKUP(A136, RAW_Data!B:Z, 8, FALSE)</f>
        <v>Montreal</v>
      </c>
      <c r="G136" s="46" t="str">
        <f>VLOOKUP(A136, RAW_Data!B:Z, 2, FALSE)</f>
        <v>T956374</v>
      </c>
      <c r="H136" s="46" t="str">
        <f>VLOOKUP(A136, RAW_Data!B:Z, 18, FALSE)</f>
        <v>M0102</v>
      </c>
      <c r="I136" s="46">
        <f>VLOOKUP(A136, RAW_Data!B:Z, 20, FALSE)</f>
        <v>100956374</v>
      </c>
      <c r="J136" s="46">
        <f>VLOOKUP(A136, RAW_Data!B:Z, 24, FALSE)</f>
        <v>1066366</v>
      </c>
      <c r="K136" s="46" t="str">
        <f>IFERROR(__xludf.DUMMYFUNCTION("IF(REGEXMATCH(VLOOKUP(A136, RAW_Data!B:BZ, 29, FALSE), ""Smart""), ""Yes"", ""No"")"),"No")</f>
        <v>No</v>
      </c>
      <c r="L136" s="46" t="str">
        <f>IFERROR(__xludf.DUMMYFUNCTION("IF(REGEXMATCH(VLOOKUP(A136, RAW_Data!B:BZ, 29, FALSE), ""Trouble""), ""Yes"", ""No"")"),"No")</f>
        <v>No</v>
      </c>
      <c r="M136" s="46" t="str">
        <f>IFERROR(__xludf.DUMMYFUNCTION("IF(REGEXMATCH(VLOOKUP(A136, RAW_Data!B:BZ, 29, FALSE), ""MRC""), ""Yes"", ""No"")"),"No")</f>
        <v>No</v>
      </c>
      <c r="N136" s="48" t="str">
        <f>VLOOKUP(A136, RAW_Data!B:Z, 12, FALSE)</f>
        <v>Lo, Mamadou</v>
      </c>
      <c r="O136" s="45"/>
    </row>
    <row r="137">
      <c r="A137" s="45" t="str">
        <f>IFERROR(__xludf.DUMMYFUNCTION("""COMPUTED_VALUE"""),"Doiron, Rejeanne")</f>
        <v>Doiron, Rejeanne</v>
      </c>
      <c r="B137" s="46" t="str">
        <f>VLOOKUP(A137, RAW_Data!B:Z, 4, FALSE)</f>
        <v>Short Term Disability</v>
      </c>
      <c r="C137" s="47">
        <f>VLOOKUP(A137, RAW_Data!B:Z, 10, FALSE)</f>
        <v>4</v>
      </c>
      <c r="D137" s="46" t="str">
        <f>VLOOKUP(A137, RAW_Data!B:Z, 9, FALSE)</f>
        <v>Bilingual-French</v>
      </c>
      <c r="E137" s="48" t="str">
        <f>VLOOKUP(A137, RAW_Data!B:BZ, 61, FALSE)</f>
        <v>Evening (from 10h45 - 17h00)</v>
      </c>
      <c r="F137" s="46" t="str">
        <f>VLOOKUP(A137, RAW_Data!B:Z, 8, FALSE)</f>
        <v>Ottawa</v>
      </c>
      <c r="G137" s="46" t="str">
        <f>VLOOKUP(A137, RAW_Data!B:Z, 2, FALSE)</f>
        <v>T960871</v>
      </c>
      <c r="H137" s="46" t="str">
        <f>VLOOKUP(A137, RAW_Data!B:Z, 18, FALSE)</f>
        <v>M0104</v>
      </c>
      <c r="I137" s="46">
        <f>VLOOKUP(A137, RAW_Data!B:Z, 20, FALSE)</f>
        <v>100960871</v>
      </c>
      <c r="J137" s="46">
        <f>VLOOKUP(A137, RAW_Data!B:Z, 24, FALSE)</f>
        <v>1066728</v>
      </c>
      <c r="K137" s="46" t="str">
        <f>IFERROR(__xludf.DUMMYFUNCTION("IF(REGEXMATCH(VLOOKUP(A137, RAW_Data!B:BZ, 29, FALSE), ""Smart""), ""Yes"", ""No"")"),"Yes")</f>
        <v>Yes</v>
      </c>
      <c r="L137" s="46" t="str">
        <f>IFERROR(__xludf.DUMMYFUNCTION("IF(REGEXMATCH(VLOOKUP(A137, RAW_Data!B:BZ, 29, FALSE), ""Trouble""), ""Yes"", ""No"")"),"Yes")</f>
        <v>Yes</v>
      </c>
      <c r="M137" s="46" t="str">
        <f>IFERROR(__xludf.DUMMYFUNCTION("IF(REGEXMATCH(VLOOKUP(A137, RAW_Data!B:BZ, 29, FALSE), ""MRC""), ""Yes"", ""No"")"),"No")</f>
        <v>No</v>
      </c>
      <c r="N137" s="48" t="str">
        <f>VLOOKUP(A137, RAW_Data!B:Z, 12, FALSE)</f>
        <v>Rwano, Guy Fremin</v>
      </c>
      <c r="O137" s="45"/>
    </row>
    <row r="138">
      <c r="A138" s="45" t="str">
        <f>IFERROR(__xludf.DUMMYFUNCTION("""COMPUTED_VALUE"""),"Dominique, Junia")</f>
        <v>Dominique, Junia</v>
      </c>
      <c r="B138" s="46" t="str">
        <f>VLOOKUP(A138, RAW_Data!B:Z, 4, FALSE)</f>
        <v>Short Term Disability</v>
      </c>
      <c r="C138" s="47">
        <f>VLOOKUP(A138, RAW_Data!B:Z, 10, FALSE)</f>
        <v>4</v>
      </c>
      <c r="D138" s="46" t="str">
        <f>VLOOKUP(A138, RAW_Data!B:Z, 9, FALSE)</f>
        <v>Bilingual-English</v>
      </c>
      <c r="E138" s="48" t="str">
        <f>VLOOKUP(A138, RAW_Data!B:BZ, 61, FALSE)</f>
        <v>Morning (from 05h00 - 10h30)</v>
      </c>
      <c r="F138" s="46" t="str">
        <f>VLOOKUP(A138, RAW_Data!B:Z, 8, FALSE)</f>
        <v>Montreal</v>
      </c>
      <c r="G138" s="46" t="str">
        <f>VLOOKUP(A138, RAW_Data!B:Z, 2, FALSE)</f>
        <v>T956225</v>
      </c>
      <c r="H138" s="46" t="str">
        <f>VLOOKUP(A138, RAW_Data!B:Z, 18, FALSE)</f>
        <v>M0025</v>
      </c>
      <c r="I138" s="46">
        <f>VLOOKUP(A138, RAW_Data!B:Z, 20, FALSE)</f>
        <v>100956225</v>
      </c>
      <c r="J138" s="46">
        <f>VLOOKUP(A138, RAW_Data!B:Z, 24, FALSE)</f>
        <v>1066734</v>
      </c>
      <c r="K138" s="46" t="str">
        <f>IFERROR(__xludf.DUMMYFUNCTION("IF(REGEXMATCH(VLOOKUP(A138, RAW_Data!B:BZ, 29, FALSE), ""Smart""), ""Yes"", ""No"")"),"Yes")</f>
        <v>Yes</v>
      </c>
      <c r="L138" s="46" t="str">
        <f>IFERROR(__xludf.DUMMYFUNCTION("IF(REGEXMATCH(VLOOKUP(A138, RAW_Data!B:BZ, 29, FALSE), ""Trouble""), ""Yes"", ""No"")"),"Yes")</f>
        <v>Yes</v>
      </c>
      <c r="M138" s="46" t="str">
        <f>IFERROR(__xludf.DUMMYFUNCTION("IF(REGEXMATCH(VLOOKUP(A138, RAW_Data!B:BZ, 29, FALSE), ""MRC""), ""Yes"", ""No"")"),"Yes")</f>
        <v>Yes</v>
      </c>
      <c r="N138" s="48" t="str">
        <f>VLOOKUP(A138, RAW_Data!B:Z, 12, FALSE)</f>
        <v>Diegue, Kerry</v>
      </c>
      <c r="O138" s="45"/>
    </row>
    <row r="139">
      <c r="A139" s="45" t="str">
        <f>IFERROR(__xludf.DUMMYFUNCTION("""COMPUTED_VALUE"""),"Lacombe Larimore, Ian")</f>
        <v>Lacombe Larimore, Ian</v>
      </c>
      <c r="B139" s="46" t="str">
        <f>VLOOKUP(A139, RAW_Data!B:Z, 4, FALSE)</f>
        <v>Long Term Disability</v>
      </c>
      <c r="C139" s="47">
        <f>VLOOKUP(A139, RAW_Data!B:Z, 10, FALSE)</f>
        <v>4</v>
      </c>
      <c r="D139" s="46" t="str">
        <f>VLOOKUP(A139, RAW_Data!B:Z, 9, FALSE)</f>
        <v>Bilingual-English</v>
      </c>
      <c r="E139" s="48" t="str">
        <f>VLOOKUP(A139, RAW_Data!B:BZ, 61, FALSE)</f>
        <v>Morning (from 05h00 - 10h30)</v>
      </c>
      <c r="F139" s="46" t="str">
        <f>VLOOKUP(A139, RAW_Data!B:Z, 8, FALSE)</f>
        <v>Montreal</v>
      </c>
      <c r="G139" s="46" t="str">
        <f>VLOOKUP(A139, RAW_Data!B:Z, 2, FALSE)</f>
        <v>T955763</v>
      </c>
      <c r="H139" s="46" t="str">
        <f>VLOOKUP(A139, RAW_Data!B:Z, 18, FALSE)</f>
        <v>M0150</v>
      </c>
      <c r="I139" s="46">
        <f>VLOOKUP(A139, RAW_Data!B:Z, 20, FALSE)</f>
        <v>100955763</v>
      </c>
      <c r="J139" s="46">
        <f>VLOOKUP(A139, RAW_Data!B:Z, 24, FALSE)</f>
        <v>1066311</v>
      </c>
      <c r="K139" s="46" t="str">
        <f>IFERROR(__xludf.DUMMYFUNCTION("IF(REGEXMATCH(VLOOKUP(A139, RAW_Data!B:BZ, 29, FALSE), ""Smart""), ""Yes"", ""No"")"),"No")</f>
        <v>No</v>
      </c>
      <c r="L139" s="46" t="str">
        <f>IFERROR(__xludf.DUMMYFUNCTION("IF(REGEXMATCH(VLOOKUP(A139, RAW_Data!B:BZ, 29, FALSE), ""Trouble""), ""Yes"", ""No"")"),"No")</f>
        <v>No</v>
      </c>
      <c r="M139" s="46" t="str">
        <f>IFERROR(__xludf.DUMMYFUNCTION("IF(REGEXMATCH(VLOOKUP(A139, RAW_Data!B:BZ, 29, FALSE), ""MRC""), ""Yes"", ""No"")"),"No")</f>
        <v>No</v>
      </c>
      <c r="N139" s="48" t="str">
        <f>VLOOKUP(A139, RAW_Data!B:Z, 12, FALSE)</f>
        <v>Kollias, Peter</v>
      </c>
      <c r="O139" s="45"/>
    </row>
    <row r="140">
      <c r="A140" s="45" t="str">
        <f>IFERROR(__xludf.DUMMYFUNCTION("""COMPUTED_VALUE"""),"Mantion, Laurence")</f>
        <v>Mantion, Laurence</v>
      </c>
      <c r="B140" s="46" t="str">
        <f>VLOOKUP(A140, RAW_Data!B:Z, 4, FALSE)</f>
        <v>Long Term Disability</v>
      </c>
      <c r="C140" s="47">
        <f>VLOOKUP(A140, RAW_Data!B:Z, 10, FALSE)</f>
        <v>2</v>
      </c>
      <c r="D140" s="46" t="str">
        <f>VLOOKUP(A140, RAW_Data!B:Z, 9, FALSE)</f>
        <v>Bilingual-French</v>
      </c>
      <c r="E140" s="48" t="str">
        <f>VLOOKUP(A140, RAW_Data!B:BZ, 61, FALSE)</f>
        <v>Morning (from 05h00 - 10h30)</v>
      </c>
      <c r="F140" s="46" t="str">
        <f>VLOOKUP(A140, RAW_Data!B:Z, 8, FALSE)</f>
        <v>Montreal</v>
      </c>
      <c r="G140" s="46" t="str">
        <f>VLOOKUP(A140, RAW_Data!B:Z, 2, FALSE)</f>
        <v>T956375</v>
      </c>
      <c r="H140" s="46" t="str">
        <f>VLOOKUP(A140, RAW_Data!B:Z, 18, FALSE)</f>
        <v>M0167</v>
      </c>
      <c r="I140" s="46">
        <f>VLOOKUP(A140, RAW_Data!B:Z, 20, FALSE)</f>
        <v>100956375</v>
      </c>
      <c r="J140" s="46">
        <f>VLOOKUP(A140, RAW_Data!B:Z, 24, FALSE)</f>
        <v>1066256</v>
      </c>
      <c r="K140" s="46" t="str">
        <f>IFERROR(__xludf.DUMMYFUNCTION("IF(REGEXMATCH(VLOOKUP(A140, RAW_Data!B:BZ, 29, FALSE), ""Smart""), ""Yes"", ""No"")"),"No")</f>
        <v>No</v>
      </c>
      <c r="L140" s="46" t="str">
        <f>IFERROR(__xludf.DUMMYFUNCTION("IF(REGEXMATCH(VLOOKUP(A140, RAW_Data!B:BZ, 29, FALSE), ""Trouble""), ""Yes"", ""No"")"),"No")</f>
        <v>No</v>
      </c>
      <c r="M140" s="46" t="str">
        <f>IFERROR(__xludf.DUMMYFUNCTION("IF(REGEXMATCH(VLOOKUP(A140, RAW_Data!B:BZ, 29, FALSE), ""MRC""), ""Yes"", ""No"")"),"No")</f>
        <v>No</v>
      </c>
      <c r="N140" s="48" t="str">
        <f>VLOOKUP(A140, RAW_Data!B:Z, 12, FALSE)</f>
        <v>Lo, Mamadou</v>
      </c>
      <c r="O140" s="45"/>
    </row>
    <row r="141">
      <c r="A141" s="45" t="str">
        <f>IFERROR(__xludf.DUMMYFUNCTION("""COMPUTED_VALUE"""),"Michaud-Lapierre, Jonathan")</f>
        <v>Michaud-Lapierre, Jonathan</v>
      </c>
      <c r="B141" s="46" t="str">
        <f>VLOOKUP(A141, RAW_Data!B:Z, 4, FALSE)</f>
        <v>Long Term Disability</v>
      </c>
      <c r="C141" s="47">
        <f>VLOOKUP(A141, RAW_Data!B:Z, 10, FALSE)</f>
        <v>4</v>
      </c>
      <c r="D141" s="46" t="str">
        <f>VLOOKUP(A141, RAW_Data!B:Z, 9, FALSE)</f>
        <v>Bilingual-French</v>
      </c>
      <c r="E141" s="48" t="str">
        <f>VLOOKUP(A141, RAW_Data!B:BZ, 61, FALSE)</f>
        <v>Night (from 18h30 - 01h00)</v>
      </c>
      <c r="F141" s="46" t="str">
        <f>VLOOKUP(A141, RAW_Data!B:Z, 8, FALSE)</f>
        <v>Montreal</v>
      </c>
      <c r="G141" s="46" t="str">
        <f>VLOOKUP(A141, RAW_Data!B:Z, 2, FALSE)</f>
        <v>T955929</v>
      </c>
      <c r="H141" s="46" t="str">
        <f>VLOOKUP(A141, RAW_Data!B:Z, 18, FALSE)</f>
        <v>M0178</v>
      </c>
      <c r="I141" s="46">
        <f>VLOOKUP(A141, RAW_Data!B:Z, 20, FALSE)</f>
        <v>100955929</v>
      </c>
      <c r="J141" s="46">
        <f>VLOOKUP(A141, RAW_Data!B:Z, 24, FALSE)</f>
        <v>1067222</v>
      </c>
      <c r="K141" s="46" t="str">
        <f>IFERROR(__xludf.DUMMYFUNCTION("IF(REGEXMATCH(VLOOKUP(A141, RAW_Data!B:BZ, 29, FALSE), ""Smart""), ""Yes"", ""No"")"),"No")</f>
        <v>No</v>
      </c>
      <c r="L141" s="46" t="str">
        <f>IFERROR(__xludf.DUMMYFUNCTION("IF(REGEXMATCH(VLOOKUP(A141, RAW_Data!B:BZ, 29, FALSE), ""Trouble""), ""Yes"", ""No"")"),"No")</f>
        <v>No</v>
      </c>
      <c r="M141" s="46" t="str">
        <f>IFERROR(__xludf.DUMMYFUNCTION("IF(REGEXMATCH(VLOOKUP(A141, RAW_Data!B:BZ, 29, FALSE), ""MRC""), ""Yes"", ""No"")"),"No")</f>
        <v>No</v>
      </c>
      <c r="N141" s="48" t="str">
        <f>VLOOKUP(A141, RAW_Data!B:Z, 12, FALSE)</f>
        <v>Herrati, Houcine</v>
      </c>
      <c r="O141" s="45"/>
    </row>
    <row r="142">
      <c r="A142" s="45" t="str">
        <f>IFERROR(__xludf.DUMMYFUNCTION("""COMPUTED_VALUE"""),"Poirier, Aldeana")</f>
        <v>Poirier, Aldeana</v>
      </c>
      <c r="B142" s="46" t="str">
        <f>VLOOKUP(A142, RAW_Data!B:Z, 4, FALSE)</f>
        <v>Short Term Disability</v>
      </c>
      <c r="C142" s="47">
        <f>VLOOKUP(A142, RAW_Data!B:Z, 10, FALSE)</f>
        <v>2</v>
      </c>
      <c r="D142" s="46" t="str">
        <f>VLOOKUP(A142, RAW_Data!B:Z, 9, FALSE)</f>
        <v>Bilingual-English</v>
      </c>
      <c r="E142" s="48" t="str">
        <f>VLOOKUP(A142, RAW_Data!B:BZ, 61, FALSE)</f>
        <v>Evening (from 10h45 - 17h00)</v>
      </c>
      <c r="F142" s="46" t="str">
        <f>VLOOKUP(A142, RAW_Data!B:Z, 8, FALSE)</f>
        <v>Ottawa</v>
      </c>
      <c r="G142" s="46" t="str">
        <f>VLOOKUP(A142, RAW_Data!B:Z, 2, FALSE)</f>
        <v>T980139</v>
      </c>
      <c r="H142" s="46" t="str">
        <f>VLOOKUP(A142, RAW_Data!B:Z, 18, FALSE)</f>
        <v>M0199</v>
      </c>
      <c r="I142" s="46">
        <f>VLOOKUP(A142, RAW_Data!B:Z, 20, FALSE)</f>
        <v>100980139</v>
      </c>
      <c r="J142" s="46">
        <f>VLOOKUP(A142, RAW_Data!B:Z, 24, FALSE)</f>
        <v>1062016</v>
      </c>
      <c r="K142" s="46" t="str">
        <f>IFERROR(__xludf.DUMMYFUNCTION("IF(REGEXMATCH(VLOOKUP(A142, RAW_Data!B:BZ, 29, FALSE), ""Smart""), ""Yes"", ""No"")"),"No")</f>
        <v>No</v>
      </c>
      <c r="L142" s="46" t="str">
        <f>IFERROR(__xludf.DUMMYFUNCTION("IF(REGEXMATCH(VLOOKUP(A142, RAW_Data!B:BZ, 29, FALSE), ""Trouble""), ""Yes"", ""No"")"),"No")</f>
        <v>No</v>
      </c>
      <c r="M142" s="46" t="str">
        <f>IFERROR(__xludf.DUMMYFUNCTION("IF(REGEXMATCH(VLOOKUP(A142, RAW_Data!B:BZ, 29, FALSE), ""MRC""), ""Yes"", ""No"")"),"No")</f>
        <v>No</v>
      </c>
      <c r="N142" s="48" t="str">
        <f>VLOOKUP(A142, RAW_Data!B:Z, 12, FALSE)</f>
        <v>Rwano, Guy Fremin</v>
      </c>
      <c r="O142" s="45"/>
    </row>
    <row r="143">
      <c r="A143" s="45" t="str">
        <f>IFERROR(__xludf.DUMMYFUNCTION("""COMPUTED_VALUE"""),"Shahi, Usha")</f>
        <v>Shahi, Usha</v>
      </c>
      <c r="B143" s="46" t="str">
        <f>VLOOKUP(A143, RAW_Data!B:Z, 4, FALSE)</f>
        <v>Long Term Disability</v>
      </c>
      <c r="C143" s="47">
        <f>VLOOKUP(A143, RAW_Data!B:Z, 10, FALSE)</f>
        <v>2</v>
      </c>
      <c r="D143" s="46" t="str">
        <f>VLOOKUP(A143, RAW_Data!B:Z, 9, FALSE)</f>
        <v>English</v>
      </c>
      <c r="E143" s="48" t="str">
        <f>VLOOKUP(A143, RAW_Data!B:BZ, 61, FALSE)</f>
        <v>Morning (from 05h00 - 10h30)</v>
      </c>
      <c r="F143" s="46" t="str">
        <f>VLOOKUP(A143, RAW_Data!B:Z, 8, FALSE)</f>
        <v>Calgary</v>
      </c>
      <c r="G143" s="46" t="str">
        <f>VLOOKUP(A143, RAW_Data!B:Z, 2, FALSE)</f>
        <v>T956350</v>
      </c>
      <c r="H143" s="46" t="str">
        <f>VLOOKUP(A143, RAW_Data!B:Z, 18, FALSE)</f>
        <v>M0220</v>
      </c>
      <c r="I143" s="46">
        <f>VLOOKUP(A143, RAW_Data!B:Z, 20, FALSE)</f>
        <v>100956350</v>
      </c>
      <c r="J143" s="46">
        <f>VLOOKUP(A143, RAW_Data!B:Z, 24, FALSE)</f>
        <v>1210366</v>
      </c>
      <c r="K143" s="46" t="str">
        <f>IFERROR(__xludf.DUMMYFUNCTION("IF(REGEXMATCH(VLOOKUP(A143, RAW_Data!B:BZ, 29, FALSE), ""Smart""), ""Yes"", ""No"")"),"No")</f>
        <v>No</v>
      </c>
      <c r="L143" s="46" t="str">
        <f>IFERROR(__xludf.DUMMYFUNCTION("IF(REGEXMATCH(VLOOKUP(A143, RAW_Data!B:BZ, 29, FALSE), ""Trouble""), ""Yes"", ""No"")"),"No")</f>
        <v>No</v>
      </c>
      <c r="M143" s="46" t="str">
        <f>IFERROR(__xludf.DUMMYFUNCTION("IF(REGEXMATCH(VLOOKUP(A143, RAW_Data!B:BZ, 29, FALSE), ""MRC""), ""Yes"", ""No"")"),"No")</f>
        <v>No</v>
      </c>
      <c r="N143" s="48" t="str">
        <f>VLOOKUP(A143, RAW_Data!B:Z, 12, FALSE)</f>
        <v>Gillingham, Shelley</v>
      </c>
      <c r="O143" s="45"/>
    </row>
    <row r="144">
      <c r="A144" s="45" t="str">
        <f>IFERROR(__xludf.DUMMYFUNCTION("""COMPUTED_VALUE"""),"Timothee, Adline")</f>
        <v>Timothee, Adline</v>
      </c>
      <c r="B144" s="46" t="str">
        <f>VLOOKUP(A144, RAW_Data!B:Z, 4, FALSE)</f>
        <v>Personal Leave</v>
      </c>
      <c r="C144" s="47">
        <f>VLOOKUP(A144, RAW_Data!B:Z, 10, FALSE)</f>
        <v>2</v>
      </c>
      <c r="D144" s="46" t="str">
        <f>VLOOKUP(A144, RAW_Data!B:Z, 9, FALSE)</f>
        <v>Bilingual-English</v>
      </c>
      <c r="E144" s="48" t="str">
        <f>VLOOKUP(A144, RAW_Data!B:BZ, 61, FALSE)</f>
        <v>Morning (from 05h00 - 10h30)</v>
      </c>
      <c r="F144" s="46" t="str">
        <f>VLOOKUP(A144, RAW_Data!B:Z, 8, FALSE)</f>
        <v>Montreal</v>
      </c>
      <c r="G144" s="46" t="str">
        <f>VLOOKUP(A144, RAW_Data!B:Z, 2, FALSE)</f>
        <v>T956383</v>
      </c>
      <c r="H144" s="46" t="str">
        <f>VLOOKUP(A144, RAW_Data!B:Z, 18, FALSE)</f>
        <v>M0235</v>
      </c>
      <c r="I144" s="46">
        <f>VLOOKUP(A144, RAW_Data!B:Z, 20, FALSE)</f>
        <v>100956383</v>
      </c>
      <c r="J144" s="46">
        <f>VLOOKUP(A144, RAW_Data!B:Z, 24, FALSE)</f>
        <v>1066863</v>
      </c>
      <c r="K144" s="46" t="str">
        <f>IFERROR(__xludf.DUMMYFUNCTION("IF(REGEXMATCH(VLOOKUP(A144, RAW_Data!B:BZ, 29, FALSE), ""Smart""), ""Yes"", ""No"")"),"No")</f>
        <v>No</v>
      </c>
      <c r="L144" s="46" t="str">
        <f>IFERROR(__xludf.DUMMYFUNCTION("IF(REGEXMATCH(VLOOKUP(A144, RAW_Data!B:BZ, 29, FALSE), ""Trouble""), ""Yes"", ""No"")"),"No")</f>
        <v>No</v>
      </c>
      <c r="M144" s="46" t="str">
        <f>IFERROR(__xludf.DUMMYFUNCTION("IF(REGEXMATCH(VLOOKUP(A144, RAW_Data!B:BZ, 29, FALSE), ""MRC""), ""Yes"", ""No"")"),"No")</f>
        <v>No</v>
      </c>
      <c r="N144" s="48" t="str">
        <f>VLOOKUP(A144, RAW_Data!B:Z, 12, FALSE)</f>
        <v>Lo, Mamadou</v>
      </c>
      <c r="O144" s="45"/>
    </row>
    <row r="145">
      <c r="A145" s="45" t="str">
        <f>IFERROR(__xludf.DUMMYFUNCTION("""COMPUTED_VALUE"""),"Villeneuve, Isabelle")</f>
        <v>Villeneuve, Isabelle</v>
      </c>
      <c r="B145" s="46" t="str">
        <f>VLOOKUP(A145, RAW_Data!B:Z, 4, FALSE)</f>
        <v>Short Term Disability</v>
      </c>
      <c r="C145" s="47">
        <f>VLOOKUP(A145, RAW_Data!B:Z, 10, FALSE)</f>
        <v>2</v>
      </c>
      <c r="D145" s="46" t="str">
        <f>VLOOKUP(A145, RAW_Data!B:Z, 9, FALSE)</f>
        <v>Bilingual-English</v>
      </c>
      <c r="E145" s="48" t="str">
        <f>VLOOKUP(A145, RAW_Data!B:BZ, 61, FALSE)</f>
        <v>Evening (from 10h45 - 17h00)</v>
      </c>
      <c r="F145" s="46" t="str">
        <f>VLOOKUP(A145, RAW_Data!B:Z, 8, FALSE)</f>
        <v>Remote Area</v>
      </c>
      <c r="G145" s="46" t="str">
        <f>VLOOKUP(A145, RAW_Data!B:Z, 2, FALSE)</f>
        <v>T998402</v>
      </c>
      <c r="H145" s="46" t="str">
        <f>VLOOKUP(A145, RAW_Data!B:Z, 18, FALSE)</f>
        <v>M0243</v>
      </c>
      <c r="I145" s="46">
        <f>VLOOKUP(A145, RAW_Data!B:Z, 20, FALSE)</f>
        <v>100998402</v>
      </c>
      <c r="J145" s="46">
        <f>VLOOKUP(A145, RAW_Data!B:Z, 24, FALSE)</f>
        <v>1060045</v>
      </c>
      <c r="K145" s="46" t="str">
        <f>IFERROR(__xludf.DUMMYFUNCTION("IF(REGEXMATCH(VLOOKUP(A145, RAW_Data!B:BZ, 29, FALSE), ""Smart""), ""Yes"", ""No"")"),"No")</f>
        <v>No</v>
      </c>
      <c r="L145" s="46" t="str">
        <f>IFERROR(__xludf.DUMMYFUNCTION("IF(REGEXMATCH(VLOOKUP(A145, RAW_Data!B:BZ, 29, FALSE), ""Trouble""), ""Yes"", ""No"")"),"No")</f>
        <v>No</v>
      </c>
      <c r="M145" s="46" t="str">
        <f>IFERROR(__xludf.DUMMYFUNCTION("IF(REGEXMATCH(VLOOKUP(A145, RAW_Data!B:BZ, 29, FALSE), ""MRC""), ""Yes"", ""No"")"),"No")</f>
        <v>No</v>
      </c>
      <c r="N145" s="48" t="str">
        <f>VLOOKUP(A145, RAW_Data!B:Z, 12, FALSE)</f>
        <v>Diegue, Kerry</v>
      </c>
      <c r="O145" s="45"/>
    </row>
    <row r="146">
      <c r="A146" s="45"/>
      <c r="B146" s="46" t="str">
        <f>VLOOKUP(A146, RAW_Data!B:Z, 4, FALSE)</f>
        <v>#N/A</v>
      </c>
      <c r="C146" s="47" t="str">
        <f>VLOOKUP(A146, RAW_Data!B:Z, 10, FALSE)</f>
        <v>#N/A</v>
      </c>
      <c r="D146" s="46" t="str">
        <f>VLOOKUP(A146, RAW_Data!B:Z, 9, FALSE)</f>
        <v>#N/A</v>
      </c>
      <c r="E146" s="48" t="str">
        <f>VLOOKUP(A146, RAW_Data!B:BZ, 61, FALSE)</f>
        <v>#N/A</v>
      </c>
      <c r="F146" s="46" t="str">
        <f>VLOOKUP(A146, RAW_Data!B:Z, 8, FALSE)</f>
        <v>#N/A</v>
      </c>
      <c r="G146" s="46" t="str">
        <f>VLOOKUP(A146, RAW_Data!B:Z, 2, FALSE)</f>
        <v>#N/A</v>
      </c>
      <c r="H146" s="46" t="str">
        <f>VLOOKUP(A146, RAW_Data!B:Z, 18, FALSE)</f>
        <v>#N/A</v>
      </c>
      <c r="I146" s="46" t="str">
        <f>VLOOKUP(A146, RAW_Data!B:Z, 20, FALSE)</f>
        <v>#N/A</v>
      </c>
      <c r="J146" s="46" t="str">
        <f>VLOOKUP(A146, RAW_Data!B:Z, 24, FALSE)</f>
        <v>#N/A</v>
      </c>
      <c r="K146" s="46" t="str">
        <f>IFERROR(__xludf.DUMMYFUNCTION("IF(REGEXMATCH(VLOOKUP(A146, RAW_Data!B:BZ, 29, FALSE), ""Smart""), ""Yes"", ""No"")"),"#N/A")</f>
        <v>#N/A</v>
      </c>
      <c r="L146" s="46" t="str">
        <f>IFERROR(__xludf.DUMMYFUNCTION("IF(REGEXMATCH(VLOOKUP(A146, RAW_Data!B:BZ, 29, FALSE), ""Trouble""), ""Yes"", ""No"")"),"#N/A")</f>
        <v>#N/A</v>
      </c>
      <c r="M146" s="46" t="str">
        <f>IFERROR(__xludf.DUMMYFUNCTION("IF(REGEXMATCH(VLOOKUP(A146, RAW_Data!B:BZ, 29, FALSE), ""MRC""), ""Yes"", ""No"")"),"#N/A")</f>
        <v>#N/A</v>
      </c>
      <c r="N146" s="48" t="str">
        <f>VLOOKUP(A146, RAW_Data!B:Z, 12, FALSE)</f>
        <v>#N/A</v>
      </c>
      <c r="O146" s="45"/>
    </row>
    <row r="147">
      <c r="A147" s="45"/>
      <c r="B147" s="46" t="str">
        <f>VLOOKUP(A147, RAW_Data!B:Z, 4, FALSE)</f>
        <v>#N/A</v>
      </c>
      <c r="C147" s="47" t="str">
        <f>VLOOKUP(A147, RAW_Data!B:Z, 10, FALSE)</f>
        <v>#N/A</v>
      </c>
      <c r="D147" s="46" t="str">
        <f>VLOOKUP(A147, RAW_Data!B:Z, 9, FALSE)</f>
        <v>#N/A</v>
      </c>
      <c r="E147" s="48" t="str">
        <f>VLOOKUP(A147, RAW_Data!B:BZ, 61, FALSE)</f>
        <v>#N/A</v>
      </c>
      <c r="F147" s="46" t="str">
        <f>VLOOKUP(A147, RAW_Data!B:Z, 8, FALSE)</f>
        <v>#N/A</v>
      </c>
      <c r="G147" s="46" t="str">
        <f>VLOOKUP(A147, RAW_Data!B:Z, 2, FALSE)</f>
        <v>#N/A</v>
      </c>
      <c r="H147" s="46" t="str">
        <f>VLOOKUP(A147, RAW_Data!B:Z, 18, FALSE)</f>
        <v>#N/A</v>
      </c>
      <c r="I147" s="46" t="str">
        <f>VLOOKUP(A147, RAW_Data!B:Z, 20, FALSE)</f>
        <v>#N/A</v>
      </c>
      <c r="J147" s="46" t="str">
        <f>VLOOKUP(A147, RAW_Data!B:Z, 24, FALSE)</f>
        <v>#N/A</v>
      </c>
      <c r="K147" s="46" t="str">
        <f>IFERROR(__xludf.DUMMYFUNCTION("IF(REGEXMATCH(VLOOKUP(A147, RAW_Data!B:BZ, 29, FALSE), ""Smart""), ""Yes"", ""No"")"),"#N/A")</f>
        <v>#N/A</v>
      </c>
      <c r="L147" s="46" t="str">
        <f>IFERROR(__xludf.DUMMYFUNCTION("IF(REGEXMATCH(VLOOKUP(A147, RAW_Data!B:BZ, 29, FALSE), ""Trouble""), ""Yes"", ""No"")"),"#N/A")</f>
        <v>#N/A</v>
      </c>
      <c r="M147" s="46" t="str">
        <f>IFERROR(__xludf.DUMMYFUNCTION("IF(REGEXMATCH(VLOOKUP(A147, RAW_Data!B:BZ, 29, FALSE), ""MRC""), ""Yes"", ""No"")"),"#N/A")</f>
        <v>#N/A</v>
      </c>
      <c r="N147" s="48" t="str">
        <f>VLOOKUP(A147, RAW_Data!B:Z, 12, FALSE)</f>
        <v>#N/A</v>
      </c>
      <c r="O147" s="45"/>
    </row>
    <row r="148">
      <c r="A148" s="45"/>
      <c r="B148" s="46" t="str">
        <f>VLOOKUP(A148, RAW_Data!B:Z, 4, FALSE)</f>
        <v>#N/A</v>
      </c>
      <c r="C148" s="47" t="str">
        <f>VLOOKUP(A148, RAW_Data!B:Z, 10, FALSE)</f>
        <v>#N/A</v>
      </c>
      <c r="D148" s="46" t="str">
        <f>VLOOKUP(A148, RAW_Data!B:Z, 9, FALSE)</f>
        <v>#N/A</v>
      </c>
      <c r="E148" s="48" t="str">
        <f>VLOOKUP(A148, RAW_Data!B:BZ, 61, FALSE)</f>
        <v>#N/A</v>
      </c>
      <c r="F148" s="46" t="str">
        <f>VLOOKUP(A148, RAW_Data!B:Z, 8, FALSE)</f>
        <v>#N/A</v>
      </c>
      <c r="G148" s="46" t="str">
        <f>VLOOKUP(A148, RAW_Data!B:Z, 2, FALSE)</f>
        <v>#N/A</v>
      </c>
      <c r="H148" s="46" t="str">
        <f>VLOOKUP(A148, RAW_Data!B:Z, 18, FALSE)</f>
        <v>#N/A</v>
      </c>
      <c r="I148" s="46" t="str">
        <f>VLOOKUP(A148, RAW_Data!B:Z, 20, FALSE)</f>
        <v>#N/A</v>
      </c>
      <c r="J148" s="46" t="str">
        <f>VLOOKUP(A148, RAW_Data!B:Z, 24, FALSE)</f>
        <v>#N/A</v>
      </c>
      <c r="K148" s="46" t="str">
        <f>IFERROR(__xludf.DUMMYFUNCTION("IF(REGEXMATCH(VLOOKUP(A148, RAW_Data!B:BZ, 29, FALSE), ""Smart""), ""Yes"", ""No"")"),"#N/A")</f>
        <v>#N/A</v>
      </c>
      <c r="L148" s="46" t="str">
        <f>IFERROR(__xludf.DUMMYFUNCTION("IF(REGEXMATCH(VLOOKUP(A148, RAW_Data!B:BZ, 29, FALSE), ""Trouble""), ""Yes"", ""No"")"),"#N/A")</f>
        <v>#N/A</v>
      </c>
      <c r="M148" s="46" t="str">
        <f>IFERROR(__xludf.DUMMYFUNCTION("IF(REGEXMATCH(VLOOKUP(A148, RAW_Data!B:BZ, 29, FALSE), ""MRC""), ""Yes"", ""No"")"),"#N/A")</f>
        <v>#N/A</v>
      </c>
      <c r="N148" s="48" t="str">
        <f>VLOOKUP(A148, RAW_Data!B:Z, 12, FALSE)</f>
        <v>#N/A</v>
      </c>
      <c r="O148" s="45"/>
    </row>
    <row r="149" ht="16.5" customHeight="1">
      <c r="A149" s="45"/>
      <c r="B149" s="46" t="str">
        <f>VLOOKUP(A149, RAW_Data!B:Z, 4, FALSE)</f>
        <v>#N/A</v>
      </c>
      <c r="C149" s="47" t="str">
        <f>VLOOKUP(A149, RAW_Data!B:Z, 10, FALSE)</f>
        <v>#N/A</v>
      </c>
      <c r="D149" s="46" t="str">
        <f>VLOOKUP(A149, RAW_Data!B:Z, 9, FALSE)</f>
        <v>#N/A</v>
      </c>
      <c r="E149" s="48" t="str">
        <f>VLOOKUP(A149, RAW_Data!B:BZ, 61, FALSE)</f>
        <v>#N/A</v>
      </c>
      <c r="F149" s="46" t="str">
        <f>VLOOKUP(A149, RAW_Data!B:Z, 8, FALSE)</f>
        <v>#N/A</v>
      </c>
      <c r="G149" s="46" t="str">
        <f>VLOOKUP(A149, RAW_Data!B:Z, 2, FALSE)</f>
        <v>#N/A</v>
      </c>
      <c r="H149" s="46" t="str">
        <f>VLOOKUP(A149, RAW_Data!B:Z, 18, FALSE)</f>
        <v>#N/A</v>
      </c>
      <c r="I149" s="46" t="str">
        <f>VLOOKUP(A149, RAW_Data!B:Z, 20, FALSE)</f>
        <v>#N/A</v>
      </c>
      <c r="J149" s="46" t="str">
        <f>VLOOKUP(A149, RAW_Data!B:Z, 24, FALSE)</f>
        <v>#N/A</v>
      </c>
      <c r="K149" s="46" t="str">
        <f>IFERROR(__xludf.DUMMYFUNCTION("IF(REGEXMATCH(VLOOKUP(A149, RAW_Data!B:BZ, 29, FALSE), ""Smart""), ""Yes"", ""No"")"),"#N/A")</f>
        <v>#N/A</v>
      </c>
      <c r="L149" s="46" t="str">
        <f>IFERROR(__xludf.DUMMYFUNCTION("IF(REGEXMATCH(VLOOKUP(A149, RAW_Data!B:BZ, 29, FALSE), ""Trouble""), ""Yes"", ""No"")"),"#N/A")</f>
        <v>#N/A</v>
      </c>
      <c r="M149" s="46" t="str">
        <f>IFERROR(__xludf.DUMMYFUNCTION("IF(REGEXMATCH(VLOOKUP(A149, RAW_Data!B:BZ, 29, FALSE), ""MRC""), ""Yes"", ""No"")"),"#N/A")</f>
        <v>#N/A</v>
      </c>
      <c r="N149" s="48" t="str">
        <f>VLOOKUP(A149, RAW_Data!B:Z, 12, FALSE)</f>
        <v>#N/A</v>
      </c>
      <c r="O149" s="45"/>
    </row>
    <row r="150">
      <c r="A150" s="48"/>
      <c r="C150" s="60"/>
      <c r="D150" s="46"/>
      <c r="F150" s="46"/>
      <c r="G150" s="46"/>
      <c r="H150" s="46"/>
      <c r="I150" s="46"/>
      <c r="O150" s="45"/>
    </row>
    <row r="151">
      <c r="A151" s="48"/>
      <c r="C151" s="60"/>
      <c r="D151" s="46"/>
      <c r="F151" s="46"/>
      <c r="G151" s="46"/>
      <c r="H151" s="46"/>
      <c r="I151" s="46"/>
      <c r="O151" s="45"/>
    </row>
    <row r="152">
      <c r="A152" s="48"/>
      <c r="C152" s="60"/>
      <c r="D152" s="46"/>
      <c r="F152" s="46"/>
      <c r="G152" s="46"/>
      <c r="H152" s="46"/>
      <c r="I152" s="46"/>
      <c r="O152" s="45"/>
    </row>
    <row r="153">
      <c r="A153" s="48"/>
      <c r="C153" s="60"/>
      <c r="D153" s="46"/>
      <c r="F153" s="46"/>
      <c r="G153" s="46"/>
      <c r="H153" s="46"/>
      <c r="I153" s="46"/>
      <c r="O153" s="45"/>
    </row>
    <row r="154">
      <c r="A154" s="48"/>
      <c r="C154" s="60"/>
      <c r="D154" s="46"/>
      <c r="F154" s="46"/>
      <c r="G154" s="46"/>
      <c r="H154" s="46"/>
      <c r="I154" s="46"/>
      <c r="O154" s="45"/>
    </row>
    <row r="155">
      <c r="A155" s="48"/>
      <c r="C155" s="60"/>
      <c r="D155" s="46"/>
      <c r="F155" s="46"/>
      <c r="G155" s="46"/>
      <c r="H155" s="46"/>
      <c r="I155" s="46"/>
      <c r="O155" s="45"/>
    </row>
    <row r="156">
      <c r="A156" s="48"/>
      <c r="C156" s="60"/>
      <c r="D156" s="46"/>
      <c r="F156" s="46"/>
      <c r="G156" s="46"/>
      <c r="H156" s="46"/>
      <c r="I156" s="46"/>
      <c r="O156" s="45"/>
    </row>
    <row r="157">
      <c r="A157" s="48"/>
      <c r="C157" s="60"/>
      <c r="D157" s="46"/>
      <c r="F157" s="46"/>
      <c r="G157" s="46"/>
      <c r="H157" s="46"/>
      <c r="I157" s="46"/>
      <c r="O157" s="45"/>
    </row>
    <row r="158">
      <c r="A158" s="48"/>
      <c r="C158" s="60"/>
      <c r="D158" s="46"/>
      <c r="F158" s="46"/>
      <c r="G158" s="46"/>
      <c r="H158" s="46"/>
      <c r="I158" s="46"/>
      <c r="O158" s="45"/>
    </row>
    <row r="159">
      <c r="A159" s="48"/>
      <c r="C159" s="60"/>
      <c r="D159" s="46"/>
      <c r="F159" s="46"/>
      <c r="G159" s="46"/>
      <c r="H159" s="46"/>
      <c r="I159" s="46"/>
      <c r="O159" s="45"/>
    </row>
    <row r="160">
      <c r="A160" s="48"/>
      <c r="C160" s="60"/>
      <c r="D160" s="46"/>
      <c r="F160" s="46"/>
      <c r="G160" s="46"/>
      <c r="H160" s="46"/>
      <c r="I160" s="46"/>
      <c r="O160" s="45"/>
    </row>
    <row r="161">
      <c r="A161" s="48"/>
      <c r="C161" s="60"/>
      <c r="D161" s="46"/>
      <c r="F161" s="46"/>
      <c r="G161" s="46"/>
      <c r="H161" s="46"/>
      <c r="I161" s="46"/>
      <c r="O161" s="45"/>
    </row>
    <row r="162">
      <c r="A162" s="48"/>
      <c r="C162" s="60"/>
      <c r="D162" s="46"/>
      <c r="F162" s="46"/>
      <c r="G162" s="46"/>
      <c r="H162" s="46"/>
      <c r="I162" s="46"/>
      <c r="O162" s="45"/>
    </row>
    <row r="163">
      <c r="A163" s="48"/>
      <c r="C163" s="60"/>
      <c r="D163" s="46"/>
      <c r="F163" s="46"/>
      <c r="G163" s="46"/>
      <c r="H163" s="46"/>
      <c r="I163" s="46"/>
      <c r="O163" s="45"/>
    </row>
    <row r="164">
      <c r="A164" s="48"/>
      <c r="C164" s="60"/>
      <c r="D164" s="46"/>
      <c r="F164" s="46"/>
      <c r="G164" s="46"/>
      <c r="H164" s="46"/>
      <c r="I164" s="46"/>
      <c r="O164" s="45"/>
    </row>
    <row r="165">
      <c r="A165" s="48"/>
      <c r="C165" s="60"/>
      <c r="D165" s="46"/>
      <c r="F165" s="46"/>
      <c r="G165" s="46"/>
      <c r="H165" s="46"/>
      <c r="I165" s="46"/>
      <c r="O165" s="45"/>
    </row>
    <row r="166">
      <c r="A166" s="48"/>
      <c r="C166" s="60"/>
      <c r="D166" s="46"/>
      <c r="F166" s="46"/>
      <c r="G166" s="46"/>
      <c r="H166" s="46"/>
      <c r="I166" s="46"/>
      <c r="O166" s="45"/>
    </row>
    <row r="167">
      <c r="A167" s="48"/>
      <c r="C167" s="60"/>
      <c r="D167" s="46"/>
      <c r="F167" s="46"/>
      <c r="G167" s="46"/>
      <c r="H167" s="46"/>
      <c r="I167" s="46"/>
      <c r="O167" s="45"/>
    </row>
    <row r="168">
      <c r="A168" s="48"/>
      <c r="C168" s="60"/>
      <c r="D168" s="46"/>
      <c r="F168" s="46"/>
      <c r="G168" s="46"/>
      <c r="H168" s="46"/>
      <c r="I168" s="46"/>
      <c r="O168" s="45"/>
    </row>
    <row r="169">
      <c r="A169" s="48"/>
      <c r="C169" s="60"/>
      <c r="D169" s="46"/>
      <c r="F169" s="46"/>
      <c r="G169" s="46"/>
      <c r="H169" s="46"/>
      <c r="I169" s="46"/>
      <c r="O169" s="45"/>
    </row>
    <row r="170">
      <c r="A170" s="48"/>
      <c r="C170" s="60"/>
      <c r="D170" s="46"/>
      <c r="E170" s="61" t="s">
        <v>1490</v>
      </c>
      <c r="F170" s="62" t="s">
        <v>1491</v>
      </c>
      <c r="G170" s="62" t="s">
        <v>1492</v>
      </c>
      <c r="H170" s="62" t="s">
        <v>1491</v>
      </c>
      <c r="I170" s="46"/>
      <c r="O170" s="45"/>
    </row>
    <row r="171">
      <c r="A171" s="48"/>
      <c r="C171" s="60"/>
      <c r="D171" s="46"/>
      <c r="E171" s="46">
        <f>IFERROR(__xludf.DUMMYFUNCTION("COUNTUNIQUE(A2:A97)"),96.0)</f>
        <v>96</v>
      </c>
      <c r="F171" s="63">
        <v>94.0</v>
      </c>
      <c r="G171" s="46">
        <f>IFERROR(__xludf.DUMMYFUNCTION("COUNTUNIQUE(A131:A231)"),15.0)</f>
        <v>15</v>
      </c>
      <c r="H171" s="63">
        <v>18.0</v>
      </c>
      <c r="I171" s="46"/>
      <c r="O171" s="45"/>
    </row>
    <row r="172">
      <c r="A172" s="48"/>
      <c r="C172" s="60"/>
      <c r="D172" s="46"/>
      <c r="F172" s="46"/>
      <c r="G172" s="46"/>
      <c r="H172" s="46"/>
      <c r="I172" s="46"/>
      <c r="O172" s="45"/>
    </row>
    <row r="173">
      <c r="A173" s="48"/>
      <c r="C173" s="60"/>
      <c r="D173" s="46"/>
      <c r="F173" s="46"/>
      <c r="G173" s="46"/>
      <c r="H173" s="46"/>
      <c r="I173" s="46"/>
      <c r="O173" s="45"/>
    </row>
    <row r="174">
      <c r="A174" s="48"/>
      <c r="C174" s="60"/>
      <c r="D174" s="46"/>
      <c r="F174" s="46"/>
      <c r="G174" s="46"/>
      <c r="H174" s="46"/>
      <c r="I174" s="46"/>
      <c r="O174" s="45"/>
    </row>
    <row r="175">
      <c r="A175" s="48"/>
      <c r="C175" s="60"/>
      <c r="D175" s="46"/>
      <c r="F175" s="46"/>
      <c r="G175" s="46"/>
      <c r="H175" s="46"/>
      <c r="I175" s="46"/>
      <c r="O175" s="45"/>
    </row>
    <row r="176">
      <c r="A176" s="48"/>
      <c r="C176" s="60"/>
      <c r="D176" s="46"/>
      <c r="F176" s="46"/>
      <c r="G176" s="46"/>
      <c r="H176" s="46"/>
      <c r="I176" s="46"/>
      <c r="O176" s="45"/>
    </row>
    <row r="177">
      <c r="A177" s="48"/>
      <c r="C177" s="60"/>
      <c r="D177" s="46"/>
      <c r="F177" s="46"/>
      <c r="G177" s="46"/>
      <c r="H177" s="46"/>
      <c r="I177" s="46"/>
      <c r="O177" s="45"/>
    </row>
    <row r="178">
      <c r="A178" s="48"/>
      <c r="C178" s="60"/>
      <c r="D178" s="46"/>
      <c r="F178" s="46"/>
      <c r="G178" s="46"/>
      <c r="H178" s="46"/>
      <c r="I178" s="46"/>
      <c r="O178" s="45"/>
    </row>
    <row r="179">
      <c r="A179" s="48"/>
      <c r="C179" s="60"/>
      <c r="D179" s="46"/>
      <c r="F179" s="46"/>
      <c r="G179" s="46"/>
      <c r="H179" s="46"/>
      <c r="I179" s="46"/>
      <c r="O179" s="45"/>
    </row>
    <row r="180">
      <c r="A180" s="48"/>
      <c r="C180" s="60"/>
      <c r="D180" s="46"/>
      <c r="F180" s="46"/>
      <c r="G180" s="46"/>
      <c r="H180" s="46"/>
      <c r="I180" s="46"/>
      <c r="O180" s="45"/>
    </row>
    <row r="181">
      <c r="A181" s="48"/>
      <c r="C181" s="60"/>
      <c r="D181" s="46"/>
      <c r="F181" s="46"/>
      <c r="G181" s="46"/>
      <c r="H181" s="46"/>
      <c r="I181" s="46"/>
      <c r="O181" s="45"/>
    </row>
    <row r="182">
      <c r="A182" s="48"/>
      <c r="C182" s="60"/>
      <c r="D182" s="46"/>
      <c r="F182" s="46"/>
      <c r="G182" s="46"/>
      <c r="H182" s="46"/>
      <c r="I182" s="46"/>
      <c r="O182" s="45"/>
    </row>
    <row r="183">
      <c r="A183" s="48"/>
      <c r="C183" s="60"/>
      <c r="D183" s="46"/>
      <c r="F183" s="46"/>
      <c r="G183" s="46"/>
      <c r="H183" s="46"/>
      <c r="I183" s="46"/>
      <c r="O183" s="45"/>
    </row>
    <row r="184">
      <c r="A184" s="48"/>
      <c r="C184" s="60"/>
      <c r="D184" s="46"/>
      <c r="F184" s="46"/>
      <c r="G184" s="46"/>
      <c r="H184" s="46"/>
      <c r="I184" s="46"/>
      <c r="O184" s="45"/>
    </row>
    <row r="185">
      <c r="A185" s="48"/>
      <c r="C185" s="60"/>
      <c r="D185" s="46"/>
      <c r="F185" s="46"/>
      <c r="G185" s="46"/>
      <c r="H185" s="46"/>
      <c r="I185" s="46"/>
      <c r="O185" s="45"/>
    </row>
    <row r="186">
      <c r="A186" s="48"/>
      <c r="C186" s="60"/>
      <c r="D186" s="46"/>
      <c r="F186" s="46"/>
      <c r="G186" s="46"/>
      <c r="H186" s="46"/>
      <c r="I186" s="46"/>
      <c r="O186" s="45"/>
    </row>
    <row r="187">
      <c r="A187" s="48"/>
      <c r="C187" s="60"/>
      <c r="D187" s="46"/>
      <c r="F187" s="46"/>
      <c r="G187" s="46"/>
      <c r="H187" s="46"/>
      <c r="I187" s="46"/>
      <c r="O187" s="45"/>
    </row>
    <row r="188">
      <c r="A188" s="48"/>
      <c r="C188" s="60"/>
      <c r="D188" s="46"/>
      <c r="F188" s="46"/>
      <c r="G188" s="46"/>
      <c r="H188" s="46"/>
      <c r="I188" s="46"/>
      <c r="O188" s="45"/>
    </row>
    <row r="189">
      <c r="A189" s="48"/>
      <c r="C189" s="60"/>
      <c r="D189" s="46"/>
      <c r="F189" s="46"/>
      <c r="G189" s="46"/>
      <c r="H189" s="46"/>
      <c r="I189" s="46"/>
      <c r="O189" s="45"/>
    </row>
    <row r="190">
      <c r="A190" s="48"/>
      <c r="C190" s="60"/>
      <c r="D190" s="46"/>
      <c r="F190" s="46"/>
      <c r="G190" s="46"/>
      <c r="H190" s="46"/>
      <c r="I190" s="46"/>
      <c r="O190" s="45"/>
    </row>
    <row r="191">
      <c r="A191" s="48"/>
      <c r="C191" s="60"/>
      <c r="D191" s="46"/>
      <c r="F191" s="46"/>
      <c r="G191" s="46"/>
      <c r="H191" s="46"/>
      <c r="I191" s="46"/>
      <c r="O191" s="45"/>
    </row>
    <row r="192">
      <c r="A192" s="48"/>
      <c r="C192" s="60"/>
      <c r="D192" s="46"/>
      <c r="F192" s="46"/>
      <c r="G192" s="46"/>
      <c r="H192" s="46"/>
      <c r="I192" s="46"/>
      <c r="O192" s="45"/>
    </row>
    <row r="193">
      <c r="A193" s="48"/>
      <c r="C193" s="60"/>
      <c r="D193" s="46"/>
      <c r="F193" s="46"/>
      <c r="G193" s="46"/>
      <c r="H193" s="46"/>
      <c r="I193" s="46"/>
      <c r="O193" s="45"/>
    </row>
    <row r="194">
      <c r="A194" s="48"/>
      <c r="C194" s="60"/>
      <c r="D194" s="46"/>
      <c r="F194" s="46"/>
      <c r="G194" s="46"/>
      <c r="H194" s="46"/>
      <c r="I194" s="46"/>
      <c r="O194" s="45"/>
    </row>
    <row r="195">
      <c r="A195" s="48"/>
      <c r="C195" s="60"/>
      <c r="D195" s="46"/>
      <c r="F195" s="46"/>
      <c r="G195" s="46"/>
      <c r="H195" s="46"/>
      <c r="I195" s="46"/>
      <c r="O195" s="45"/>
    </row>
    <row r="196">
      <c r="A196" s="48"/>
      <c r="C196" s="60"/>
      <c r="D196" s="46"/>
      <c r="F196" s="46"/>
      <c r="G196" s="46"/>
      <c r="H196" s="46"/>
      <c r="I196" s="46"/>
      <c r="O196" s="45"/>
    </row>
    <row r="197">
      <c r="A197" s="48"/>
      <c r="C197" s="60"/>
      <c r="D197" s="46"/>
      <c r="F197" s="46"/>
      <c r="G197" s="46"/>
      <c r="H197" s="46"/>
      <c r="I197" s="46"/>
      <c r="O197" s="45"/>
    </row>
    <row r="198">
      <c r="A198" s="48"/>
      <c r="C198" s="60"/>
      <c r="D198" s="46"/>
      <c r="F198" s="46"/>
      <c r="G198" s="46"/>
      <c r="H198" s="46"/>
      <c r="I198" s="46"/>
      <c r="O198" s="45"/>
    </row>
    <row r="199">
      <c r="A199" s="48"/>
      <c r="C199" s="60"/>
      <c r="D199" s="46"/>
      <c r="F199" s="46"/>
      <c r="G199" s="46"/>
      <c r="H199" s="46"/>
      <c r="I199" s="46"/>
      <c r="O199" s="45"/>
    </row>
    <row r="200">
      <c r="A200" s="48"/>
      <c r="C200" s="60"/>
      <c r="D200" s="46"/>
      <c r="F200" s="46"/>
      <c r="G200" s="46"/>
      <c r="H200" s="46"/>
      <c r="I200" s="46"/>
      <c r="O200" s="45"/>
    </row>
    <row r="201">
      <c r="A201" s="48"/>
      <c r="C201" s="60"/>
      <c r="D201" s="46"/>
      <c r="F201" s="46"/>
      <c r="G201" s="46"/>
      <c r="H201" s="46"/>
      <c r="I201" s="46"/>
      <c r="O201" s="45"/>
    </row>
    <row r="202">
      <c r="A202" s="48"/>
      <c r="C202" s="60"/>
      <c r="D202" s="46"/>
      <c r="F202" s="46"/>
      <c r="G202" s="46"/>
      <c r="H202" s="46"/>
      <c r="I202" s="46"/>
      <c r="O202" s="45"/>
    </row>
    <row r="203">
      <c r="A203" s="48"/>
      <c r="C203" s="60"/>
      <c r="D203" s="46"/>
      <c r="F203" s="46"/>
      <c r="G203" s="46"/>
      <c r="H203" s="46"/>
      <c r="I203" s="46"/>
      <c r="O203" s="45"/>
    </row>
    <row r="204">
      <c r="A204" s="48"/>
      <c r="C204" s="60"/>
      <c r="D204" s="46"/>
      <c r="F204" s="46"/>
      <c r="G204" s="46"/>
      <c r="H204" s="46"/>
      <c r="I204" s="46"/>
      <c r="O204" s="45"/>
    </row>
    <row r="205">
      <c r="A205" s="48"/>
      <c r="C205" s="60"/>
      <c r="D205" s="46"/>
      <c r="F205" s="46"/>
      <c r="G205" s="46"/>
      <c r="H205" s="46"/>
      <c r="I205" s="46"/>
      <c r="O205" s="45"/>
    </row>
    <row r="206">
      <c r="A206" s="48"/>
      <c r="C206" s="60"/>
      <c r="D206" s="46"/>
      <c r="F206" s="46"/>
      <c r="G206" s="46"/>
      <c r="H206" s="46"/>
      <c r="I206" s="46"/>
      <c r="O206" s="45"/>
    </row>
    <row r="207">
      <c r="A207" s="48"/>
      <c r="C207" s="60"/>
      <c r="D207" s="46"/>
      <c r="F207" s="46"/>
      <c r="G207" s="46"/>
      <c r="H207" s="46"/>
      <c r="I207" s="46"/>
      <c r="O207" s="45"/>
    </row>
    <row r="208">
      <c r="A208" s="48"/>
      <c r="C208" s="60"/>
      <c r="D208" s="46"/>
      <c r="F208" s="46"/>
      <c r="G208" s="46"/>
      <c r="H208" s="46"/>
      <c r="I208" s="46"/>
      <c r="O208" s="45"/>
    </row>
    <row r="209">
      <c r="A209" s="48"/>
      <c r="C209" s="60"/>
      <c r="D209" s="46"/>
      <c r="F209" s="46"/>
      <c r="G209" s="46"/>
      <c r="H209" s="46"/>
      <c r="I209" s="46"/>
      <c r="O209" s="45"/>
    </row>
    <row r="210">
      <c r="A210" s="48"/>
      <c r="C210" s="60"/>
      <c r="D210" s="46"/>
      <c r="F210" s="46"/>
      <c r="G210" s="46"/>
      <c r="H210" s="46"/>
      <c r="I210" s="46"/>
      <c r="O210" s="45"/>
    </row>
    <row r="211">
      <c r="A211" s="48"/>
      <c r="C211" s="60"/>
      <c r="D211" s="46"/>
      <c r="F211" s="46"/>
      <c r="G211" s="46"/>
      <c r="H211" s="46"/>
      <c r="I211" s="46"/>
      <c r="O211" s="45"/>
    </row>
    <row r="212">
      <c r="A212" s="48"/>
      <c r="C212" s="60"/>
      <c r="D212" s="46"/>
      <c r="F212" s="46"/>
      <c r="G212" s="46"/>
      <c r="H212" s="46"/>
      <c r="I212" s="46"/>
      <c r="O212" s="45"/>
    </row>
    <row r="213">
      <c r="A213" s="48"/>
      <c r="C213" s="60"/>
      <c r="D213" s="46"/>
      <c r="F213" s="46"/>
      <c r="G213" s="46"/>
      <c r="H213" s="46"/>
      <c r="I213" s="46"/>
      <c r="O213" s="45"/>
    </row>
    <row r="214">
      <c r="A214" s="48"/>
      <c r="C214" s="60"/>
      <c r="D214" s="46"/>
      <c r="F214" s="46"/>
      <c r="G214" s="46"/>
      <c r="H214" s="46"/>
      <c r="I214" s="46"/>
      <c r="O214" s="45"/>
    </row>
    <row r="215">
      <c r="A215" s="48"/>
      <c r="C215" s="60"/>
      <c r="D215" s="46"/>
      <c r="F215" s="46"/>
      <c r="G215" s="46"/>
      <c r="H215" s="46"/>
      <c r="I215" s="46"/>
      <c r="O215" s="45"/>
    </row>
    <row r="216">
      <c r="A216" s="48"/>
      <c r="C216" s="60"/>
      <c r="D216" s="46"/>
      <c r="F216" s="46"/>
      <c r="G216" s="46"/>
      <c r="H216" s="46"/>
      <c r="I216" s="46"/>
      <c r="O216" s="45"/>
    </row>
    <row r="217">
      <c r="A217" s="48"/>
      <c r="C217" s="60"/>
      <c r="D217" s="46"/>
      <c r="F217" s="46"/>
      <c r="G217" s="46"/>
      <c r="H217" s="46"/>
      <c r="I217" s="46"/>
      <c r="O217" s="45"/>
    </row>
    <row r="218">
      <c r="A218" s="48"/>
      <c r="C218" s="60"/>
      <c r="D218" s="46"/>
      <c r="F218" s="46"/>
      <c r="G218" s="46"/>
      <c r="H218" s="46"/>
      <c r="I218" s="46"/>
      <c r="O218" s="45"/>
    </row>
    <row r="219">
      <c r="A219" s="48"/>
      <c r="C219" s="60"/>
      <c r="D219" s="46"/>
      <c r="F219" s="46"/>
      <c r="G219" s="46"/>
      <c r="H219" s="46"/>
      <c r="I219" s="46"/>
      <c r="O219" s="45"/>
    </row>
    <row r="220">
      <c r="A220" s="48"/>
      <c r="C220" s="60"/>
      <c r="D220" s="46"/>
      <c r="F220" s="46"/>
      <c r="G220" s="46"/>
      <c r="H220" s="46"/>
      <c r="I220" s="46"/>
      <c r="O220" s="45"/>
    </row>
    <row r="221">
      <c r="A221" s="48"/>
      <c r="C221" s="60"/>
      <c r="D221" s="46"/>
      <c r="F221" s="46"/>
      <c r="G221" s="46"/>
      <c r="H221" s="46"/>
      <c r="I221" s="46"/>
      <c r="O221" s="45"/>
    </row>
    <row r="222">
      <c r="A222" s="48"/>
      <c r="C222" s="60"/>
      <c r="D222" s="46"/>
      <c r="F222" s="46"/>
      <c r="G222" s="46"/>
      <c r="H222" s="46"/>
      <c r="I222" s="46"/>
      <c r="O222" s="45"/>
    </row>
    <row r="223">
      <c r="A223" s="48"/>
      <c r="C223" s="60"/>
      <c r="D223" s="46"/>
      <c r="F223" s="46"/>
      <c r="G223" s="46"/>
      <c r="H223" s="46"/>
      <c r="I223" s="46"/>
      <c r="O223" s="45"/>
    </row>
    <row r="224">
      <c r="A224" s="48"/>
      <c r="C224" s="60"/>
      <c r="D224" s="46"/>
      <c r="F224" s="46"/>
      <c r="G224" s="46"/>
      <c r="H224" s="46"/>
      <c r="I224" s="46"/>
      <c r="O224" s="45"/>
    </row>
    <row r="225">
      <c r="A225" s="48"/>
      <c r="C225" s="60"/>
      <c r="D225" s="46"/>
      <c r="F225" s="46"/>
      <c r="G225" s="46"/>
      <c r="H225" s="46"/>
      <c r="I225" s="46"/>
      <c r="O225" s="45"/>
    </row>
    <row r="226">
      <c r="A226" s="48"/>
      <c r="C226" s="60"/>
      <c r="D226" s="46"/>
      <c r="F226" s="46"/>
      <c r="G226" s="46"/>
      <c r="H226" s="46"/>
      <c r="I226" s="46"/>
      <c r="O226" s="45"/>
    </row>
    <row r="227">
      <c r="A227" s="48"/>
      <c r="C227" s="60"/>
      <c r="D227" s="46"/>
      <c r="F227" s="46"/>
      <c r="G227" s="46"/>
      <c r="H227" s="46"/>
      <c r="I227" s="46"/>
      <c r="O227" s="45"/>
    </row>
    <row r="228">
      <c r="A228" s="48"/>
      <c r="C228" s="60"/>
      <c r="D228" s="46"/>
      <c r="F228" s="46"/>
      <c r="G228" s="46"/>
      <c r="H228" s="46"/>
      <c r="I228" s="46"/>
      <c r="O228" s="45"/>
    </row>
    <row r="229">
      <c r="A229" s="48"/>
      <c r="C229" s="60"/>
      <c r="D229" s="46"/>
      <c r="F229" s="46"/>
      <c r="G229" s="46"/>
      <c r="H229" s="46"/>
      <c r="I229" s="46"/>
      <c r="O229" s="45"/>
    </row>
    <row r="230">
      <c r="A230" s="48"/>
      <c r="C230" s="60"/>
      <c r="D230" s="46"/>
      <c r="F230" s="46"/>
      <c r="G230" s="46"/>
      <c r="H230" s="46"/>
      <c r="I230" s="46"/>
      <c r="O230" s="45"/>
    </row>
    <row r="231">
      <c r="A231" s="48"/>
      <c r="C231" s="60"/>
      <c r="D231" s="46"/>
      <c r="F231" s="46"/>
      <c r="G231" s="46"/>
      <c r="H231" s="46"/>
      <c r="I231" s="46"/>
      <c r="O231" s="45"/>
    </row>
    <row r="232">
      <c r="A232" s="48"/>
      <c r="C232" s="60"/>
      <c r="D232" s="46"/>
      <c r="F232" s="46"/>
      <c r="G232" s="46"/>
      <c r="H232" s="46"/>
      <c r="I232" s="46"/>
      <c r="O232" s="45"/>
    </row>
    <row r="233">
      <c r="A233" s="48"/>
      <c r="C233" s="60"/>
      <c r="D233" s="46"/>
      <c r="F233" s="46"/>
      <c r="G233" s="46"/>
      <c r="H233" s="46"/>
      <c r="I233" s="46"/>
      <c r="O233" s="45"/>
    </row>
    <row r="234">
      <c r="A234" s="48"/>
      <c r="C234" s="60"/>
      <c r="D234" s="46"/>
      <c r="F234" s="46"/>
      <c r="G234" s="46"/>
      <c r="H234" s="46"/>
      <c r="I234" s="46"/>
      <c r="O234" s="45"/>
    </row>
    <row r="235">
      <c r="A235" s="48"/>
      <c r="C235" s="60"/>
      <c r="D235" s="46"/>
      <c r="F235" s="46"/>
      <c r="G235" s="46"/>
      <c r="H235" s="46"/>
      <c r="I235" s="46"/>
      <c r="O235" s="45"/>
    </row>
    <row r="236">
      <c r="A236" s="48"/>
      <c r="C236" s="60"/>
      <c r="D236" s="46"/>
      <c r="F236" s="46"/>
      <c r="G236" s="46"/>
      <c r="H236" s="46"/>
      <c r="I236" s="46"/>
      <c r="O236" s="45"/>
    </row>
    <row r="237">
      <c r="A237" s="48"/>
      <c r="C237" s="60"/>
      <c r="D237" s="46"/>
      <c r="F237" s="46"/>
      <c r="G237" s="46"/>
      <c r="H237" s="46"/>
      <c r="I237" s="46"/>
      <c r="O237" s="45"/>
    </row>
    <row r="238">
      <c r="A238" s="48"/>
      <c r="C238" s="60"/>
      <c r="D238" s="46"/>
      <c r="F238" s="46"/>
      <c r="G238" s="46"/>
      <c r="H238" s="46"/>
      <c r="I238" s="46"/>
      <c r="O238" s="45"/>
    </row>
    <row r="239">
      <c r="A239" s="48"/>
      <c r="C239" s="60"/>
      <c r="D239" s="46"/>
      <c r="F239" s="46"/>
      <c r="G239" s="46"/>
      <c r="H239" s="46"/>
      <c r="I239" s="46"/>
      <c r="O239" s="45"/>
    </row>
    <row r="240">
      <c r="A240" s="48"/>
      <c r="C240" s="60"/>
      <c r="D240" s="46"/>
      <c r="F240" s="46"/>
      <c r="G240" s="46"/>
      <c r="H240" s="46"/>
      <c r="I240" s="46"/>
      <c r="O240" s="45"/>
    </row>
    <row r="241">
      <c r="A241" s="48"/>
      <c r="C241" s="60"/>
      <c r="D241" s="46"/>
      <c r="F241" s="46"/>
      <c r="G241" s="46"/>
      <c r="H241" s="46"/>
      <c r="I241" s="46"/>
      <c r="O241" s="45"/>
    </row>
    <row r="242">
      <c r="A242" s="48"/>
      <c r="C242" s="60"/>
      <c r="D242" s="46"/>
      <c r="F242" s="46"/>
      <c r="G242" s="46"/>
      <c r="H242" s="46"/>
      <c r="I242" s="46"/>
      <c r="O242" s="45"/>
    </row>
    <row r="243">
      <c r="A243" s="48"/>
      <c r="C243" s="60"/>
      <c r="D243" s="46"/>
      <c r="F243" s="46"/>
      <c r="G243" s="46"/>
      <c r="H243" s="46"/>
      <c r="I243" s="46"/>
      <c r="O243" s="45"/>
    </row>
    <row r="244">
      <c r="A244" s="48"/>
      <c r="C244" s="60"/>
      <c r="D244" s="46"/>
      <c r="F244" s="46"/>
      <c r="G244" s="46"/>
      <c r="H244" s="46"/>
      <c r="I244" s="46"/>
      <c r="O244" s="45"/>
    </row>
    <row r="245">
      <c r="A245" s="48"/>
      <c r="C245" s="60"/>
      <c r="D245" s="46"/>
      <c r="F245" s="46"/>
      <c r="G245" s="46"/>
      <c r="H245" s="46"/>
      <c r="I245" s="46"/>
      <c r="O245" s="45"/>
    </row>
    <row r="246">
      <c r="A246" s="48"/>
      <c r="C246" s="60"/>
      <c r="D246" s="46"/>
      <c r="F246" s="46"/>
      <c r="G246" s="46"/>
      <c r="H246" s="46"/>
      <c r="I246" s="46"/>
      <c r="O246" s="45"/>
    </row>
    <row r="247">
      <c r="A247" s="48"/>
      <c r="C247" s="60"/>
      <c r="D247" s="46"/>
      <c r="F247" s="46"/>
      <c r="G247" s="46"/>
      <c r="H247" s="46"/>
      <c r="I247" s="46"/>
      <c r="O247" s="45"/>
    </row>
    <row r="248">
      <c r="A248" s="48"/>
      <c r="C248" s="60"/>
      <c r="D248" s="46"/>
      <c r="F248" s="46"/>
      <c r="G248" s="46"/>
      <c r="H248" s="46"/>
      <c r="I248" s="46"/>
      <c r="O248" s="45"/>
    </row>
    <row r="249">
      <c r="A249" s="48"/>
      <c r="C249" s="60"/>
      <c r="D249" s="46"/>
      <c r="F249" s="46"/>
      <c r="G249" s="46"/>
      <c r="H249" s="46"/>
      <c r="I249" s="46"/>
      <c r="O249" s="45"/>
    </row>
    <row r="250">
      <c r="A250" s="48"/>
      <c r="C250" s="60"/>
      <c r="D250" s="46"/>
      <c r="F250" s="46"/>
      <c r="G250" s="46"/>
      <c r="H250" s="46"/>
      <c r="I250" s="46"/>
      <c r="O250" s="45"/>
    </row>
    <row r="251">
      <c r="A251" s="48"/>
      <c r="C251" s="60"/>
      <c r="D251" s="46"/>
      <c r="F251" s="46"/>
      <c r="G251" s="46"/>
      <c r="H251" s="46"/>
      <c r="I251" s="46"/>
      <c r="O251" s="45"/>
    </row>
    <row r="252">
      <c r="A252" s="48"/>
      <c r="C252" s="60"/>
      <c r="D252" s="46"/>
      <c r="F252" s="46"/>
      <c r="G252" s="46"/>
      <c r="H252" s="46"/>
      <c r="I252" s="46"/>
      <c r="O252" s="45"/>
    </row>
    <row r="253">
      <c r="A253" s="48"/>
      <c r="C253" s="60"/>
      <c r="D253" s="46"/>
      <c r="F253" s="46"/>
      <c r="G253" s="46"/>
      <c r="H253" s="46"/>
      <c r="I253" s="46"/>
      <c r="O253" s="45"/>
    </row>
    <row r="254">
      <c r="A254" s="48"/>
      <c r="C254" s="60"/>
      <c r="D254" s="46"/>
      <c r="F254" s="46"/>
      <c r="G254" s="46"/>
      <c r="H254" s="46"/>
      <c r="I254" s="46"/>
      <c r="O254" s="45"/>
    </row>
    <row r="255">
      <c r="A255" s="48"/>
      <c r="C255" s="60"/>
      <c r="D255" s="46"/>
      <c r="F255" s="46"/>
      <c r="G255" s="46"/>
      <c r="H255" s="46"/>
      <c r="I255" s="46"/>
      <c r="O255" s="45"/>
    </row>
    <row r="256">
      <c r="A256" s="48"/>
      <c r="C256" s="60"/>
      <c r="D256" s="46"/>
      <c r="F256" s="46"/>
      <c r="G256" s="46"/>
      <c r="H256" s="46"/>
      <c r="I256" s="46"/>
      <c r="O256" s="45"/>
    </row>
    <row r="257">
      <c r="A257" s="48"/>
      <c r="C257" s="60"/>
      <c r="D257" s="46"/>
      <c r="F257" s="46"/>
      <c r="G257" s="46"/>
      <c r="H257" s="46"/>
      <c r="I257" s="46"/>
      <c r="O257" s="45"/>
    </row>
    <row r="258">
      <c r="A258" s="48"/>
      <c r="C258" s="60"/>
      <c r="D258" s="46"/>
      <c r="F258" s="46"/>
      <c r="G258" s="46"/>
      <c r="H258" s="46"/>
      <c r="I258" s="46"/>
      <c r="O258" s="45"/>
    </row>
    <row r="259">
      <c r="A259" s="48"/>
      <c r="C259" s="60"/>
      <c r="D259" s="46"/>
      <c r="F259" s="46"/>
      <c r="G259" s="46"/>
      <c r="H259" s="46"/>
      <c r="I259" s="46"/>
      <c r="O259" s="45"/>
    </row>
    <row r="260">
      <c r="A260" s="48"/>
      <c r="C260" s="60"/>
      <c r="D260" s="46"/>
      <c r="F260" s="46"/>
      <c r="G260" s="46"/>
      <c r="H260" s="46"/>
      <c r="I260" s="46"/>
      <c r="O260" s="45"/>
    </row>
    <row r="261">
      <c r="A261" s="48"/>
      <c r="C261" s="60"/>
      <c r="D261" s="46"/>
      <c r="F261" s="46"/>
      <c r="G261" s="46"/>
      <c r="H261" s="46"/>
      <c r="I261" s="46"/>
      <c r="O261" s="45"/>
    </row>
    <row r="262">
      <c r="A262" s="48"/>
      <c r="C262" s="60"/>
      <c r="D262" s="46"/>
      <c r="F262" s="46"/>
      <c r="G262" s="46"/>
      <c r="H262" s="46"/>
      <c r="I262" s="46"/>
      <c r="O262" s="45"/>
    </row>
    <row r="263">
      <c r="A263" s="48"/>
      <c r="C263" s="60"/>
      <c r="D263" s="46"/>
      <c r="F263" s="46"/>
      <c r="G263" s="46"/>
      <c r="H263" s="46"/>
      <c r="I263" s="46"/>
      <c r="O263" s="45"/>
    </row>
    <row r="264">
      <c r="A264" s="48"/>
      <c r="C264" s="60"/>
      <c r="D264" s="46"/>
      <c r="F264" s="46"/>
      <c r="G264" s="46"/>
      <c r="H264" s="46"/>
      <c r="I264" s="46"/>
      <c r="O264" s="45"/>
    </row>
    <row r="265">
      <c r="A265" s="48"/>
      <c r="C265" s="60"/>
      <c r="D265" s="46"/>
      <c r="F265" s="46"/>
      <c r="G265" s="46"/>
      <c r="H265" s="46"/>
      <c r="I265" s="46"/>
      <c r="O265" s="45"/>
    </row>
    <row r="266">
      <c r="A266" s="48"/>
      <c r="C266" s="60"/>
      <c r="D266" s="46"/>
      <c r="F266" s="46"/>
      <c r="G266" s="46"/>
      <c r="H266" s="46"/>
      <c r="I266" s="46"/>
      <c r="O266" s="45"/>
    </row>
    <row r="267">
      <c r="A267" s="48"/>
      <c r="C267" s="60"/>
      <c r="D267" s="46"/>
      <c r="F267" s="46"/>
      <c r="G267" s="46"/>
      <c r="H267" s="46"/>
      <c r="I267" s="46"/>
      <c r="O267" s="45"/>
    </row>
    <row r="268">
      <c r="A268" s="48"/>
      <c r="C268" s="60"/>
      <c r="D268" s="46"/>
      <c r="F268" s="46"/>
      <c r="G268" s="46"/>
      <c r="H268" s="46"/>
      <c r="I268" s="46"/>
      <c r="O268" s="45"/>
    </row>
    <row r="269">
      <c r="A269" s="48"/>
      <c r="C269" s="60"/>
      <c r="D269" s="46"/>
      <c r="F269" s="46"/>
      <c r="G269" s="46"/>
      <c r="H269" s="46"/>
      <c r="I269" s="46"/>
      <c r="O269" s="45"/>
    </row>
    <row r="270">
      <c r="A270" s="48"/>
      <c r="C270" s="60"/>
      <c r="D270" s="46"/>
      <c r="F270" s="46"/>
      <c r="G270" s="46"/>
      <c r="H270" s="46"/>
      <c r="I270" s="46"/>
      <c r="O270" s="45"/>
    </row>
    <row r="271">
      <c r="A271" s="48"/>
      <c r="C271" s="60"/>
      <c r="D271" s="46"/>
      <c r="F271" s="46"/>
      <c r="G271" s="46"/>
      <c r="H271" s="46"/>
      <c r="I271" s="46"/>
      <c r="O271" s="45"/>
    </row>
    <row r="272">
      <c r="A272" s="48"/>
      <c r="C272" s="60"/>
      <c r="D272" s="46"/>
      <c r="F272" s="46"/>
      <c r="G272" s="46"/>
      <c r="H272" s="46"/>
      <c r="I272" s="46"/>
      <c r="O272" s="45"/>
    </row>
    <row r="273">
      <c r="A273" s="48"/>
      <c r="C273" s="60"/>
      <c r="D273" s="46"/>
      <c r="F273" s="46"/>
      <c r="G273" s="46"/>
      <c r="H273" s="46"/>
      <c r="I273" s="46"/>
      <c r="O273" s="45"/>
    </row>
    <row r="274">
      <c r="A274" s="48"/>
      <c r="C274" s="60"/>
      <c r="D274" s="46"/>
      <c r="F274" s="46"/>
      <c r="G274" s="46"/>
      <c r="H274" s="46"/>
      <c r="I274" s="46"/>
      <c r="O274" s="45"/>
    </row>
    <row r="275">
      <c r="A275" s="48"/>
      <c r="C275" s="60"/>
      <c r="D275" s="46"/>
      <c r="F275" s="46"/>
      <c r="G275" s="46"/>
      <c r="H275" s="46"/>
      <c r="I275" s="46"/>
      <c r="O275" s="45"/>
    </row>
    <row r="276">
      <c r="A276" s="48"/>
      <c r="C276" s="60"/>
      <c r="D276" s="46"/>
      <c r="F276" s="46"/>
      <c r="G276" s="46"/>
      <c r="H276" s="46"/>
      <c r="I276" s="46"/>
      <c r="O276" s="45"/>
    </row>
    <row r="277">
      <c r="A277" s="48"/>
      <c r="C277" s="60"/>
      <c r="D277" s="46"/>
      <c r="F277" s="46"/>
      <c r="G277" s="46"/>
      <c r="H277" s="46"/>
      <c r="I277" s="46"/>
      <c r="O277" s="45"/>
    </row>
    <row r="278">
      <c r="A278" s="48"/>
      <c r="C278" s="60"/>
      <c r="D278" s="46"/>
      <c r="F278" s="46"/>
      <c r="G278" s="46"/>
      <c r="H278" s="46"/>
      <c r="I278" s="46"/>
      <c r="O278" s="45"/>
    </row>
    <row r="279">
      <c r="A279" s="48"/>
      <c r="C279" s="60"/>
      <c r="D279" s="46"/>
      <c r="F279" s="46"/>
      <c r="G279" s="46"/>
      <c r="H279" s="46"/>
      <c r="I279" s="46"/>
      <c r="O279" s="45"/>
    </row>
    <row r="280">
      <c r="A280" s="48"/>
      <c r="C280" s="60"/>
      <c r="D280" s="46"/>
      <c r="F280" s="46"/>
      <c r="G280" s="46"/>
      <c r="H280" s="46"/>
      <c r="I280" s="46"/>
      <c r="O280" s="45"/>
    </row>
    <row r="281">
      <c r="A281" s="48"/>
      <c r="C281" s="60"/>
      <c r="D281" s="46"/>
      <c r="F281" s="46"/>
      <c r="G281" s="46"/>
      <c r="H281" s="46"/>
      <c r="I281" s="46"/>
      <c r="O281" s="45"/>
    </row>
    <row r="282">
      <c r="A282" s="48"/>
      <c r="C282" s="60"/>
      <c r="D282" s="46"/>
      <c r="F282" s="46"/>
      <c r="G282" s="46"/>
      <c r="H282" s="46"/>
      <c r="I282" s="46"/>
      <c r="O282" s="45"/>
    </row>
    <row r="283">
      <c r="A283" s="48"/>
      <c r="C283" s="60"/>
      <c r="D283" s="46"/>
      <c r="F283" s="46"/>
      <c r="G283" s="46"/>
      <c r="H283" s="46"/>
      <c r="I283" s="46"/>
      <c r="O283" s="45"/>
    </row>
    <row r="284">
      <c r="A284" s="48"/>
      <c r="C284" s="60"/>
      <c r="D284" s="46"/>
      <c r="F284" s="46"/>
      <c r="G284" s="46"/>
      <c r="H284" s="46"/>
      <c r="I284" s="46"/>
      <c r="O284" s="45"/>
    </row>
    <row r="285">
      <c r="A285" s="48"/>
      <c r="C285" s="60"/>
      <c r="D285" s="46"/>
      <c r="F285" s="46"/>
      <c r="G285" s="46"/>
      <c r="H285" s="46"/>
      <c r="I285" s="46"/>
      <c r="O285" s="45"/>
    </row>
    <row r="286">
      <c r="A286" s="48"/>
      <c r="C286" s="60"/>
      <c r="D286" s="46"/>
      <c r="F286" s="46"/>
      <c r="G286" s="46"/>
      <c r="H286" s="46"/>
      <c r="I286" s="46"/>
      <c r="O286" s="45"/>
    </row>
    <row r="287">
      <c r="A287" s="48"/>
      <c r="C287" s="60"/>
      <c r="D287" s="46"/>
      <c r="F287" s="46"/>
      <c r="G287" s="46"/>
      <c r="H287" s="46"/>
      <c r="I287" s="46"/>
      <c r="O287" s="45"/>
    </row>
    <row r="288">
      <c r="A288" s="48"/>
      <c r="C288" s="60"/>
      <c r="D288" s="46"/>
      <c r="F288" s="46"/>
      <c r="G288" s="46"/>
      <c r="H288" s="46"/>
      <c r="I288" s="46"/>
      <c r="O288" s="45"/>
    </row>
    <row r="289">
      <c r="A289" s="48"/>
      <c r="C289" s="60"/>
      <c r="D289" s="46"/>
      <c r="F289" s="46"/>
      <c r="G289" s="46"/>
      <c r="H289" s="46"/>
      <c r="I289" s="46"/>
      <c r="O289" s="45"/>
    </row>
    <row r="290">
      <c r="A290" s="48"/>
      <c r="C290" s="60"/>
      <c r="D290" s="46"/>
      <c r="F290" s="46"/>
      <c r="G290" s="46"/>
      <c r="H290" s="46"/>
      <c r="I290" s="46"/>
      <c r="O290" s="45"/>
    </row>
    <row r="291">
      <c r="A291" s="48"/>
      <c r="C291" s="60"/>
      <c r="D291" s="46"/>
      <c r="F291" s="46"/>
      <c r="G291" s="46"/>
      <c r="H291" s="46"/>
      <c r="I291" s="46"/>
      <c r="O291" s="45"/>
    </row>
    <row r="292">
      <c r="A292" s="48"/>
      <c r="C292" s="60"/>
      <c r="D292" s="46"/>
      <c r="F292" s="46"/>
      <c r="G292" s="46"/>
      <c r="H292" s="46"/>
      <c r="I292" s="46"/>
      <c r="O292" s="45"/>
    </row>
    <row r="293">
      <c r="A293" s="48"/>
      <c r="C293" s="60"/>
      <c r="D293" s="46"/>
      <c r="F293" s="46"/>
      <c r="G293" s="46"/>
      <c r="H293" s="46"/>
      <c r="I293" s="46"/>
      <c r="O293" s="45"/>
    </row>
    <row r="294">
      <c r="A294" s="48"/>
      <c r="C294" s="60"/>
      <c r="D294" s="46"/>
      <c r="F294" s="46"/>
      <c r="G294" s="46"/>
      <c r="H294" s="46"/>
      <c r="I294" s="46"/>
      <c r="O294" s="45"/>
    </row>
    <row r="295">
      <c r="A295" s="48"/>
      <c r="C295" s="60"/>
      <c r="D295" s="46"/>
      <c r="F295" s="46"/>
      <c r="G295" s="46"/>
      <c r="H295" s="46"/>
      <c r="I295" s="46"/>
      <c r="O295" s="45"/>
    </row>
    <row r="296">
      <c r="A296" s="48"/>
      <c r="C296" s="60"/>
      <c r="D296" s="46"/>
      <c r="F296" s="46"/>
      <c r="G296" s="46"/>
      <c r="H296" s="46"/>
      <c r="I296" s="46"/>
      <c r="O296" s="45"/>
    </row>
    <row r="297">
      <c r="A297" s="48"/>
      <c r="C297" s="60"/>
      <c r="D297" s="46"/>
      <c r="F297" s="46"/>
      <c r="G297" s="46"/>
      <c r="H297" s="46"/>
      <c r="I297" s="46"/>
      <c r="O297" s="45"/>
    </row>
    <row r="298">
      <c r="A298" s="48"/>
      <c r="C298" s="60"/>
      <c r="D298" s="46"/>
      <c r="F298" s="46"/>
      <c r="G298" s="46"/>
      <c r="H298" s="46"/>
      <c r="I298" s="46"/>
      <c r="O298" s="45"/>
    </row>
    <row r="299">
      <c r="A299" s="48"/>
      <c r="C299" s="60"/>
      <c r="D299" s="46"/>
      <c r="F299" s="46"/>
      <c r="G299" s="46"/>
      <c r="H299" s="46"/>
      <c r="I299" s="46"/>
      <c r="O299" s="45"/>
    </row>
    <row r="300">
      <c r="A300" s="48"/>
      <c r="C300" s="60"/>
      <c r="D300" s="46"/>
      <c r="F300" s="46"/>
      <c r="G300" s="46"/>
      <c r="H300" s="46"/>
      <c r="I300" s="46"/>
      <c r="O300" s="45"/>
    </row>
    <row r="301">
      <c r="A301" s="48"/>
      <c r="C301" s="60"/>
      <c r="D301" s="46"/>
      <c r="F301" s="46"/>
      <c r="G301" s="46"/>
      <c r="H301" s="46"/>
      <c r="I301" s="46"/>
      <c r="O301" s="45"/>
    </row>
    <row r="302">
      <c r="A302" s="48"/>
      <c r="C302" s="60"/>
      <c r="D302" s="46"/>
      <c r="F302" s="46"/>
      <c r="G302" s="46"/>
      <c r="H302" s="46"/>
      <c r="I302" s="46"/>
      <c r="O302" s="45"/>
    </row>
    <row r="303">
      <c r="A303" s="48"/>
      <c r="C303" s="60"/>
      <c r="D303" s="46"/>
      <c r="F303" s="46"/>
      <c r="G303" s="46"/>
      <c r="H303" s="46"/>
      <c r="I303" s="46"/>
      <c r="O303" s="45"/>
    </row>
    <row r="304">
      <c r="A304" s="48"/>
      <c r="C304" s="60"/>
      <c r="D304" s="46"/>
      <c r="F304" s="46"/>
      <c r="G304" s="46"/>
      <c r="H304" s="46"/>
      <c r="I304" s="46"/>
      <c r="O304" s="45"/>
    </row>
    <row r="305">
      <c r="A305" s="48"/>
      <c r="C305" s="60"/>
      <c r="D305" s="46"/>
      <c r="F305" s="46"/>
      <c r="G305" s="46"/>
      <c r="H305" s="46"/>
      <c r="I305" s="46"/>
      <c r="O305" s="45"/>
    </row>
    <row r="306">
      <c r="A306" s="48"/>
      <c r="C306" s="60"/>
      <c r="D306" s="46"/>
      <c r="F306" s="46"/>
      <c r="G306" s="46"/>
      <c r="H306" s="46"/>
      <c r="I306" s="46"/>
      <c r="O306" s="45"/>
    </row>
    <row r="307">
      <c r="A307" s="48"/>
      <c r="C307" s="60"/>
      <c r="D307" s="46"/>
      <c r="F307" s="46"/>
      <c r="G307" s="46"/>
      <c r="H307" s="46"/>
      <c r="I307" s="46"/>
      <c r="O307" s="45"/>
    </row>
    <row r="308">
      <c r="A308" s="48"/>
      <c r="C308" s="60"/>
      <c r="D308" s="46"/>
      <c r="F308" s="46"/>
      <c r="G308" s="46"/>
      <c r="H308" s="46"/>
      <c r="I308" s="46"/>
      <c r="O308" s="45"/>
    </row>
    <row r="309">
      <c r="A309" s="48"/>
      <c r="C309" s="60"/>
      <c r="D309" s="46"/>
      <c r="F309" s="46"/>
      <c r="G309" s="46"/>
      <c r="H309" s="46"/>
      <c r="I309" s="46"/>
      <c r="O309" s="45"/>
    </row>
    <row r="310">
      <c r="A310" s="48"/>
      <c r="C310" s="60"/>
      <c r="D310" s="46"/>
      <c r="F310" s="46"/>
      <c r="G310" s="46"/>
      <c r="H310" s="46"/>
      <c r="I310" s="46"/>
      <c r="O310" s="45"/>
    </row>
    <row r="311">
      <c r="A311" s="48"/>
      <c r="C311" s="60"/>
      <c r="D311" s="46"/>
      <c r="F311" s="46"/>
      <c r="G311" s="46"/>
      <c r="H311" s="46"/>
      <c r="I311" s="46"/>
      <c r="O311" s="45"/>
    </row>
    <row r="312">
      <c r="A312" s="48"/>
      <c r="C312" s="60"/>
      <c r="D312" s="46"/>
      <c r="F312" s="46"/>
      <c r="G312" s="46"/>
      <c r="H312" s="46"/>
      <c r="I312" s="46"/>
      <c r="O312" s="45"/>
    </row>
    <row r="313">
      <c r="A313" s="48"/>
      <c r="C313" s="60"/>
      <c r="D313" s="46"/>
      <c r="F313" s="46"/>
      <c r="G313" s="46"/>
      <c r="H313" s="46"/>
      <c r="I313" s="46"/>
      <c r="O313" s="45"/>
    </row>
    <row r="314">
      <c r="A314" s="48"/>
      <c r="C314" s="60"/>
      <c r="D314" s="46"/>
      <c r="F314" s="46"/>
      <c r="G314" s="46"/>
      <c r="H314" s="46"/>
      <c r="I314" s="46"/>
      <c r="O314" s="45"/>
    </row>
    <row r="315">
      <c r="A315" s="48"/>
      <c r="C315" s="60"/>
      <c r="D315" s="46"/>
      <c r="F315" s="46"/>
      <c r="G315" s="46"/>
      <c r="H315" s="46"/>
      <c r="I315" s="46"/>
      <c r="O315" s="45"/>
    </row>
    <row r="316">
      <c r="A316" s="48"/>
      <c r="C316" s="60"/>
      <c r="D316" s="46"/>
      <c r="F316" s="46"/>
      <c r="G316" s="46"/>
      <c r="H316" s="46"/>
      <c r="I316" s="46"/>
      <c r="O316" s="45"/>
    </row>
    <row r="317">
      <c r="A317" s="48"/>
      <c r="C317" s="60"/>
      <c r="D317" s="46"/>
      <c r="F317" s="46"/>
      <c r="G317" s="46"/>
      <c r="H317" s="46"/>
      <c r="I317" s="46"/>
      <c r="O317" s="45"/>
    </row>
    <row r="318">
      <c r="A318" s="48"/>
      <c r="C318" s="60"/>
      <c r="D318" s="46"/>
      <c r="F318" s="46"/>
      <c r="G318" s="46"/>
      <c r="H318" s="46"/>
      <c r="I318" s="46"/>
      <c r="O318" s="45"/>
    </row>
    <row r="319">
      <c r="A319" s="48"/>
      <c r="C319" s="60"/>
      <c r="D319" s="46"/>
      <c r="F319" s="46"/>
      <c r="G319" s="46"/>
      <c r="H319" s="46"/>
      <c r="I319" s="46"/>
      <c r="O319" s="45"/>
    </row>
    <row r="320">
      <c r="A320" s="48"/>
      <c r="C320" s="60"/>
      <c r="D320" s="46"/>
      <c r="F320" s="46"/>
      <c r="G320" s="46"/>
      <c r="H320" s="46"/>
      <c r="I320" s="46"/>
      <c r="O320" s="45"/>
    </row>
    <row r="321">
      <c r="A321" s="48"/>
      <c r="C321" s="60"/>
      <c r="D321" s="46"/>
      <c r="F321" s="46"/>
      <c r="G321" s="46"/>
      <c r="H321" s="46"/>
      <c r="I321" s="46"/>
      <c r="O321" s="45"/>
    </row>
    <row r="322">
      <c r="A322" s="48"/>
      <c r="C322" s="60"/>
      <c r="D322" s="46"/>
      <c r="F322" s="46"/>
      <c r="G322" s="46"/>
      <c r="H322" s="46"/>
      <c r="I322" s="46"/>
      <c r="O322" s="45"/>
    </row>
    <row r="323">
      <c r="A323" s="48"/>
      <c r="C323" s="60"/>
      <c r="D323" s="46"/>
      <c r="F323" s="46"/>
      <c r="G323" s="46"/>
      <c r="H323" s="46"/>
      <c r="I323" s="46"/>
      <c r="O323" s="45"/>
    </row>
    <row r="324">
      <c r="A324" s="48"/>
      <c r="C324" s="60"/>
      <c r="D324" s="46"/>
      <c r="F324" s="46"/>
      <c r="G324" s="46"/>
      <c r="H324" s="46"/>
      <c r="I324" s="46"/>
      <c r="O324" s="45"/>
    </row>
    <row r="325">
      <c r="A325" s="48"/>
      <c r="C325" s="60"/>
      <c r="D325" s="46"/>
      <c r="F325" s="46"/>
      <c r="G325" s="46"/>
      <c r="H325" s="46"/>
      <c r="I325" s="46"/>
      <c r="O325" s="45"/>
    </row>
    <row r="326">
      <c r="A326" s="48"/>
      <c r="C326" s="60"/>
      <c r="D326" s="46"/>
      <c r="F326" s="46"/>
      <c r="G326" s="46"/>
      <c r="H326" s="46"/>
      <c r="I326" s="46"/>
      <c r="O326" s="45"/>
    </row>
    <row r="327">
      <c r="A327" s="48"/>
      <c r="C327" s="60"/>
      <c r="D327" s="46"/>
      <c r="F327" s="46"/>
      <c r="G327" s="46"/>
      <c r="H327" s="46"/>
      <c r="I327" s="46"/>
      <c r="O327" s="45"/>
    </row>
    <row r="328">
      <c r="A328" s="48"/>
      <c r="C328" s="60"/>
      <c r="D328" s="46"/>
      <c r="F328" s="46"/>
      <c r="G328" s="46"/>
      <c r="H328" s="46"/>
      <c r="I328" s="46"/>
      <c r="O328" s="45"/>
    </row>
    <row r="329">
      <c r="A329" s="48"/>
      <c r="C329" s="60"/>
      <c r="D329" s="46"/>
      <c r="F329" s="46"/>
      <c r="G329" s="46"/>
      <c r="H329" s="46"/>
      <c r="I329" s="46"/>
      <c r="O329" s="45"/>
    </row>
    <row r="330">
      <c r="A330" s="48"/>
      <c r="C330" s="60"/>
      <c r="D330" s="46"/>
      <c r="F330" s="46"/>
      <c r="G330" s="46"/>
      <c r="H330" s="46"/>
      <c r="I330" s="46"/>
      <c r="O330" s="45"/>
    </row>
    <row r="331">
      <c r="A331" s="48"/>
      <c r="C331" s="60"/>
      <c r="D331" s="46"/>
      <c r="F331" s="46"/>
      <c r="G331" s="46"/>
      <c r="H331" s="46"/>
      <c r="I331" s="46"/>
      <c r="O331" s="45"/>
    </row>
    <row r="332">
      <c r="A332" s="48"/>
      <c r="C332" s="60"/>
      <c r="D332" s="46"/>
      <c r="F332" s="46"/>
      <c r="G332" s="46"/>
      <c r="H332" s="46"/>
      <c r="I332" s="46"/>
      <c r="O332" s="45"/>
    </row>
    <row r="333">
      <c r="A333" s="48"/>
      <c r="C333" s="60"/>
      <c r="D333" s="46"/>
      <c r="F333" s="46"/>
      <c r="G333" s="46"/>
      <c r="H333" s="46"/>
      <c r="I333" s="46"/>
      <c r="O333" s="45"/>
    </row>
    <row r="334">
      <c r="A334" s="48"/>
      <c r="C334" s="60"/>
      <c r="D334" s="46"/>
      <c r="F334" s="46"/>
      <c r="G334" s="46"/>
      <c r="H334" s="46"/>
      <c r="I334" s="46"/>
      <c r="O334" s="45"/>
    </row>
    <row r="335">
      <c r="A335" s="48"/>
      <c r="C335" s="60"/>
      <c r="D335" s="46"/>
      <c r="F335" s="46"/>
      <c r="G335" s="46"/>
      <c r="H335" s="46"/>
      <c r="I335" s="46"/>
      <c r="O335" s="45"/>
    </row>
    <row r="336">
      <c r="A336" s="48"/>
      <c r="C336" s="60"/>
      <c r="D336" s="46"/>
      <c r="F336" s="46"/>
      <c r="G336" s="46"/>
      <c r="H336" s="46"/>
      <c r="I336" s="46"/>
      <c r="O336" s="45"/>
    </row>
    <row r="337">
      <c r="A337" s="48"/>
      <c r="C337" s="60"/>
      <c r="D337" s="46"/>
      <c r="F337" s="46"/>
      <c r="G337" s="46"/>
      <c r="H337" s="46"/>
      <c r="I337" s="46"/>
      <c r="O337" s="45"/>
    </row>
    <row r="338">
      <c r="A338" s="48"/>
      <c r="C338" s="60"/>
      <c r="D338" s="46"/>
      <c r="F338" s="46"/>
      <c r="G338" s="46"/>
      <c r="H338" s="46"/>
      <c r="I338" s="46"/>
      <c r="O338" s="45"/>
    </row>
    <row r="339">
      <c r="A339" s="48"/>
      <c r="C339" s="60"/>
      <c r="D339" s="46"/>
      <c r="F339" s="46"/>
      <c r="G339" s="46"/>
      <c r="H339" s="46"/>
      <c r="I339" s="46"/>
      <c r="O339" s="45"/>
    </row>
    <row r="340">
      <c r="A340" s="48"/>
      <c r="C340" s="60"/>
      <c r="D340" s="46"/>
      <c r="F340" s="46"/>
      <c r="G340" s="46"/>
      <c r="H340" s="46"/>
      <c r="I340" s="46"/>
      <c r="O340" s="45"/>
    </row>
    <row r="341">
      <c r="A341" s="48"/>
      <c r="C341" s="60"/>
      <c r="D341" s="46"/>
      <c r="F341" s="46"/>
      <c r="G341" s="46"/>
      <c r="H341" s="46"/>
      <c r="I341" s="46"/>
      <c r="O341" s="45"/>
    </row>
    <row r="342">
      <c r="A342" s="48"/>
      <c r="C342" s="60"/>
      <c r="D342" s="46"/>
      <c r="F342" s="46"/>
      <c r="G342" s="46"/>
      <c r="H342" s="46"/>
      <c r="I342" s="46"/>
      <c r="O342" s="45"/>
    </row>
    <row r="343">
      <c r="A343" s="48"/>
      <c r="C343" s="60"/>
      <c r="D343" s="46"/>
      <c r="F343" s="46"/>
      <c r="G343" s="46"/>
      <c r="H343" s="46"/>
      <c r="I343" s="46"/>
      <c r="O343" s="45"/>
    </row>
    <row r="344">
      <c r="A344" s="48"/>
      <c r="C344" s="60"/>
      <c r="D344" s="46"/>
      <c r="F344" s="46"/>
      <c r="G344" s="46"/>
      <c r="H344" s="46"/>
      <c r="I344" s="46"/>
      <c r="O344" s="45"/>
    </row>
    <row r="345">
      <c r="A345" s="48"/>
      <c r="C345" s="60"/>
      <c r="D345" s="46"/>
      <c r="F345" s="46"/>
      <c r="G345" s="46"/>
      <c r="H345" s="46"/>
      <c r="I345" s="46"/>
      <c r="O345" s="45"/>
    </row>
    <row r="346">
      <c r="A346" s="48"/>
      <c r="C346" s="60"/>
      <c r="D346" s="46"/>
      <c r="F346" s="46"/>
      <c r="G346" s="46"/>
      <c r="H346" s="46"/>
      <c r="I346" s="46"/>
      <c r="O346" s="45"/>
    </row>
    <row r="347">
      <c r="A347" s="48"/>
      <c r="C347" s="60"/>
      <c r="D347" s="46"/>
      <c r="F347" s="46"/>
      <c r="G347" s="46"/>
      <c r="H347" s="46"/>
      <c r="I347" s="46"/>
      <c r="O347" s="45"/>
    </row>
    <row r="348">
      <c r="A348" s="48"/>
      <c r="C348" s="60"/>
      <c r="D348" s="46"/>
      <c r="F348" s="46"/>
      <c r="G348" s="46"/>
      <c r="H348" s="46"/>
      <c r="I348" s="46"/>
      <c r="O348" s="45"/>
    </row>
    <row r="349">
      <c r="A349" s="48"/>
      <c r="C349" s="60"/>
      <c r="D349" s="46"/>
      <c r="F349" s="46"/>
      <c r="G349" s="46"/>
      <c r="H349" s="46"/>
      <c r="I349" s="46"/>
      <c r="O349" s="45"/>
    </row>
    <row r="350">
      <c r="A350" s="48"/>
      <c r="C350" s="60"/>
      <c r="D350" s="46"/>
      <c r="F350" s="46"/>
      <c r="G350" s="46"/>
      <c r="H350" s="46"/>
      <c r="I350" s="46"/>
      <c r="O350" s="45"/>
    </row>
    <row r="351">
      <c r="A351" s="48"/>
      <c r="C351" s="60"/>
      <c r="D351" s="46"/>
      <c r="F351" s="46"/>
      <c r="G351" s="46"/>
      <c r="H351" s="46"/>
      <c r="I351" s="46"/>
      <c r="O351" s="45"/>
    </row>
    <row r="352">
      <c r="A352" s="48"/>
      <c r="C352" s="60"/>
      <c r="D352" s="46"/>
      <c r="F352" s="46"/>
      <c r="G352" s="46"/>
      <c r="H352" s="46"/>
      <c r="I352" s="46"/>
      <c r="O352" s="45"/>
    </row>
    <row r="353">
      <c r="A353" s="48"/>
      <c r="C353" s="60"/>
      <c r="D353" s="46"/>
      <c r="F353" s="46"/>
      <c r="G353" s="46"/>
      <c r="H353" s="46"/>
      <c r="I353" s="46"/>
      <c r="O353" s="45"/>
    </row>
    <row r="354">
      <c r="A354" s="48"/>
      <c r="C354" s="60"/>
      <c r="D354" s="46"/>
      <c r="F354" s="46"/>
      <c r="G354" s="46"/>
      <c r="H354" s="46"/>
      <c r="I354" s="46"/>
      <c r="O354" s="45"/>
    </row>
    <row r="355">
      <c r="A355" s="48"/>
      <c r="C355" s="60"/>
      <c r="D355" s="46"/>
      <c r="F355" s="46"/>
      <c r="G355" s="46"/>
      <c r="H355" s="46"/>
      <c r="I355" s="46"/>
      <c r="O355" s="45"/>
    </row>
    <row r="356">
      <c r="A356" s="48"/>
      <c r="C356" s="60"/>
      <c r="D356" s="46"/>
      <c r="F356" s="46"/>
      <c r="G356" s="46"/>
      <c r="H356" s="46"/>
      <c r="I356" s="46"/>
      <c r="O356" s="45"/>
    </row>
    <row r="357">
      <c r="A357" s="48"/>
      <c r="C357" s="60"/>
      <c r="D357" s="46"/>
      <c r="F357" s="46"/>
      <c r="G357" s="46"/>
      <c r="H357" s="46"/>
      <c r="I357" s="46"/>
      <c r="O357" s="45"/>
    </row>
    <row r="358">
      <c r="A358" s="48"/>
      <c r="C358" s="60"/>
      <c r="D358" s="46"/>
      <c r="F358" s="46"/>
      <c r="G358" s="46"/>
      <c r="H358" s="46"/>
      <c r="I358" s="46"/>
      <c r="O358" s="45"/>
    </row>
    <row r="359">
      <c r="A359" s="48"/>
      <c r="C359" s="60"/>
      <c r="D359" s="46"/>
      <c r="F359" s="46"/>
      <c r="G359" s="46"/>
      <c r="H359" s="46"/>
      <c r="I359" s="46"/>
      <c r="O359" s="45"/>
    </row>
    <row r="360">
      <c r="A360" s="48"/>
      <c r="C360" s="60"/>
      <c r="D360" s="46"/>
      <c r="F360" s="46"/>
      <c r="G360" s="46"/>
      <c r="H360" s="46"/>
      <c r="I360" s="46"/>
      <c r="O360" s="45"/>
    </row>
    <row r="361">
      <c r="A361" s="48"/>
      <c r="C361" s="60"/>
      <c r="D361" s="46"/>
      <c r="F361" s="46"/>
      <c r="G361" s="46"/>
      <c r="H361" s="46"/>
      <c r="I361" s="46"/>
      <c r="O361" s="45"/>
    </row>
    <row r="362">
      <c r="A362" s="48"/>
      <c r="C362" s="60"/>
      <c r="D362" s="46"/>
      <c r="F362" s="46"/>
      <c r="G362" s="46"/>
      <c r="H362" s="46"/>
      <c r="I362" s="46"/>
      <c r="O362" s="45"/>
    </row>
    <row r="363">
      <c r="A363" s="48"/>
      <c r="C363" s="60"/>
      <c r="D363" s="46"/>
      <c r="F363" s="46"/>
      <c r="G363" s="46"/>
      <c r="H363" s="46"/>
      <c r="I363" s="46"/>
      <c r="O363" s="45"/>
    </row>
    <row r="364">
      <c r="A364" s="48"/>
      <c r="C364" s="60"/>
      <c r="D364" s="46"/>
      <c r="F364" s="46"/>
      <c r="G364" s="46"/>
      <c r="H364" s="46"/>
      <c r="I364" s="46"/>
      <c r="O364" s="45"/>
    </row>
    <row r="365">
      <c r="A365" s="48"/>
      <c r="C365" s="60"/>
      <c r="D365" s="46"/>
      <c r="F365" s="46"/>
      <c r="G365" s="46"/>
      <c r="H365" s="46"/>
      <c r="I365" s="46"/>
      <c r="O365" s="45"/>
    </row>
    <row r="366">
      <c r="A366" s="48"/>
      <c r="C366" s="60"/>
      <c r="D366" s="46"/>
      <c r="F366" s="46"/>
      <c r="G366" s="46"/>
      <c r="H366" s="46"/>
      <c r="I366" s="46"/>
      <c r="O366" s="45"/>
    </row>
    <row r="367">
      <c r="A367" s="48"/>
      <c r="C367" s="60"/>
      <c r="D367" s="46"/>
      <c r="F367" s="46"/>
      <c r="G367" s="46"/>
      <c r="H367" s="46"/>
      <c r="I367" s="46"/>
      <c r="O367" s="45"/>
    </row>
    <row r="368">
      <c r="A368" s="48"/>
      <c r="C368" s="60"/>
      <c r="D368" s="46"/>
      <c r="F368" s="46"/>
      <c r="G368" s="46"/>
      <c r="H368" s="46"/>
      <c r="I368" s="46"/>
      <c r="O368" s="45"/>
    </row>
    <row r="369">
      <c r="A369" s="48"/>
      <c r="C369" s="60"/>
      <c r="D369" s="46"/>
      <c r="F369" s="46"/>
      <c r="G369" s="46"/>
      <c r="H369" s="46"/>
      <c r="I369" s="46"/>
      <c r="O369" s="45"/>
    </row>
    <row r="370">
      <c r="A370" s="48"/>
      <c r="C370" s="60"/>
      <c r="D370" s="46"/>
      <c r="F370" s="46"/>
      <c r="G370" s="46"/>
      <c r="H370" s="46"/>
      <c r="I370" s="46"/>
      <c r="O370" s="45"/>
    </row>
    <row r="371">
      <c r="A371" s="48"/>
      <c r="C371" s="60"/>
      <c r="D371" s="46"/>
      <c r="F371" s="46"/>
      <c r="G371" s="46"/>
      <c r="H371" s="46"/>
      <c r="I371" s="46"/>
      <c r="O371" s="45"/>
    </row>
    <row r="372">
      <c r="A372" s="48"/>
      <c r="C372" s="60"/>
      <c r="D372" s="46"/>
      <c r="F372" s="46"/>
      <c r="G372" s="46"/>
      <c r="H372" s="46"/>
      <c r="I372" s="46"/>
      <c r="O372" s="45"/>
    </row>
    <row r="373">
      <c r="A373" s="48"/>
      <c r="C373" s="60"/>
      <c r="D373" s="46"/>
      <c r="F373" s="46"/>
      <c r="G373" s="46"/>
      <c r="H373" s="46"/>
      <c r="I373" s="46"/>
      <c r="O373" s="45"/>
    </row>
    <row r="374">
      <c r="A374" s="48"/>
      <c r="C374" s="60"/>
      <c r="D374" s="46"/>
      <c r="F374" s="46"/>
      <c r="G374" s="46"/>
      <c r="H374" s="46"/>
      <c r="I374" s="46"/>
      <c r="O374" s="45"/>
    </row>
    <row r="375">
      <c r="A375" s="48"/>
      <c r="C375" s="60"/>
      <c r="D375" s="46"/>
      <c r="F375" s="46"/>
      <c r="G375" s="46"/>
      <c r="H375" s="46"/>
      <c r="I375" s="46"/>
      <c r="O375" s="45"/>
    </row>
    <row r="376">
      <c r="A376" s="48"/>
      <c r="C376" s="60"/>
      <c r="D376" s="46"/>
      <c r="F376" s="46"/>
      <c r="G376" s="46"/>
      <c r="H376" s="46"/>
      <c r="I376" s="46"/>
      <c r="O376" s="45"/>
    </row>
    <row r="377">
      <c r="A377" s="48"/>
      <c r="C377" s="60"/>
      <c r="D377" s="46"/>
      <c r="F377" s="46"/>
      <c r="G377" s="46"/>
      <c r="H377" s="46"/>
      <c r="I377" s="46"/>
      <c r="O377" s="45"/>
    </row>
    <row r="378">
      <c r="A378" s="48"/>
      <c r="C378" s="60"/>
      <c r="D378" s="46"/>
      <c r="F378" s="46"/>
      <c r="G378" s="46"/>
      <c r="H378" s="46"/>
      <c r="I378" s="46"/>
      <c r="O378" s="45"/>
    </row>
    <row r="379">
      <c r="A379" s="48"/>
      <c r="C379" s="60"/>
      <c r="D379" s="46"/>
      <c r="F379" s="46"/>
      <c r="G379" s="46"/>
      <c r="H379" s="46"/>
      <c r="I379" s="46"/>
      <c r="O379" s="45"/>
    </row>
    <row r="380">
      <c r="A380" s="48"/>
      <c r="C380" s="60"/>
      <c r="D380" s="46"/>
      <c r="F380" s="46"/>
      <c r="G380" s="46"/>
      <c r="H380" s="46"/>
      <c r="I380" s="46"/>
      <c r="O380" s="45"/>
    </row>
    <row r="381">
      <c r="A381" s="48"/>
      <c r="C381" s="60"/>
      <c r="D381" s="46"/>
      <c r="F381" s="46"/>
      <c r="G381" s="46"/>
      <c r="H381" s="46"/>
      <c r="I381" s="46"/>
      <c r="O381" s="45"/>
    </row>
    <row r="382">
      <c r="A382" s="48"/>
      <c r="C382" s="60"/>
      <c r="D382" s="46"/>
      <c r="F382" s="46"/>
      <c r="G382" s="46"/>
      <c r="H382" s="46"/>
      <c r="I382" s="46"/>
      <c r="O382" s="45"/>
    </row>
    <row r="383">
      <c r="A383" s="48"/>
      <c r="C383" s="60"/>
      <c r="D383" s="46"/>
      <c r="F383" s="46"/>
      <c r="G383" s="46"/>
      <c r="H383" s="46"/>
      <c r="I383" s="46"/>
      <c r="O383" s="45"/>
    </row>
    <row r="384">
      <c r="A384" s="48"/>
      <c r="C384" s="60"/>
      <c r="D384" s="46"/>
      <c r="F384" s="46"/>
      <c r="G384" s="46"/>
      <c r="H384" s="46"/>
      <c r="I384" s="46"/>
      <c r="O384" s="45"/>
    </row>
    <row r="385">
      <c r="A385" s="48"/>
      <c r="C385" s="60"/>
      <c r="D385" s="46"/>
      <c r="F385" s="46"/>
      <c r="G385" s="46"/>
      <c r="H385" s="46"/>
      <c r="I385" s="46"/>
      <c r="O385" s="45"/>
    </row>
    <row r="386">
      <c r="A386" s="48"/>
      <c r="C386" s="60"/>
      <c r="D386" s="46"/>
      <c r="F386" s="46"/>
      <c r="G386" s="46"/>
      <c r="H386" s="46"/>
      <c r="I386" s="46"/>
      <c r="O386" s="45"/>
    </row>
    <row r="387">
      <c r="A387" s="48"/>
      <c r="C387" s="60"/>
      <c r="D387" s="46"/>
      <c r="F387" s="46"/>
      <c r="G387" s="46"/>
      <c r="H387" s="46"/>
      <c r="I387" s="46"/>
      <c r="O387" s="45"/>
    </row>
    <row r="388">
      <c r="A388" s="48"/>
      <c r="C388" s="60"/>
      <c r="D388" s="46"/>
      <c r="F388" s="46"/>
      <c r="G388" s="46"/>
      <c r="H388" s="46"/>
      <c r="I388" s="46"/>
      <c r="O388" s="45"/>
    </row>
    <row r="389">
      <c r="A389" s="48"/>
      <c r="C389" s="60"/>
      <c r="D389" s="46"/>
      <c r="F389" s="46"/>
      <c r="G389" s="46"/>
      <c r="H389" s="46"/>
      <c r="I389" s="46"/>
      <c r="O389" s="45"/>
    </row>
    <row r="390">
      <c r="A390" s="48"/>
      <c r="C390" s="60"/>
      <c r="D390" s="46"/>
      <c r="F390" s="46"/>
      <c r="G390" s="46"/>
      <c r="H390" s="46"/>
      <c r="I390" s="46"/>
      <c r="O390" s="45"/>
    </row>
    <row r="391">
      <c r="A391" s="48"/>
      <c r="C391" s="60"/>
      <c r="D391" s="46"/>
      <c r="F391" s="46"/>
      <c r="G391" s="46"/>
      <c r="H391" s="46"/>
      <c r="I391" s="46"/>
      <c r="O391" s="45"/>
    </row>
    <row r="392">
      <c r="A392" s="48"/>
      <c r="C392" s="60"/>
      <c r="D392" s="46"/>
      <c r="F392" s="46"/>
      <c r="G392" s="46"/>
      <c r="H392" s="46"/>
      <c r="I392" s="46"/>
      <c r="O392" s="45"/>
    </row>
    <row r="393">
      <c r="A393" s="48"/>
      <c r="C393" s="60"/>
      <c r="D393" s="46"/>
      <c r="F393" s="46"/>
      <c r="G393" s="46"/>
      <c r="H393" s="46"/>
      <c r="I393" s="46"/>
      <c r="O393" s="45"/>
    </row>
    <row r="394">
      <c r="A394" s="48"/>
      <c r="C394" s="60"/>
      <c r="D394" s="46"/>
      <c r="F394" s="46"/>
      <c r="G394" s="46"/>
      <c r="H394" s="46"/>
      <c r="I394" s="46"/>
      <c r="O394" s="45"/>
    </row>
    <row r="395">
      <c r="A395" s="48"/>
      <c r="C395" s="60"/>
      <c r="D395" s="46"/>
      <c r="F395" s="46"/>
      <c r="G395" s="46"/>
      <c r="H395" s="46"/>
      <c r="I395" s="46"/>
      <c r="O395" s="45"/>
    </row>
    <row r="396">
      <c r="A396" s="48"/>
      <c r="C396" s="60"/>
      <c r="D396" s="46"/>
      <c r="F396" s="46"/>
      <c r="G396" s="46"/>
      <c r="H396" s="46"/>
      <c r="I396" s="46"/>
      <c r="O396" s="45"/>
    </row>
    <row r="397">
      <c r="A397" s="48"/>
      <c r="C397" s="60"/>
      <c r="D397" s="46"/>
      <c r="F397" s="46"/>
      <c r="G397" s="46"/>
      <c r="H397" s="46"/>
      <c r="I397" s="46"/>
      <c r="O397" s="45"/>
    </row>
    <row r="398">
      <c r="A398" s="48"/>
      <c r="C398" s="60"/>
      <c r="D398" s="46"/>
      <c r="F398" s="46"/>
      <c r="G398" s="46"/>
      <c r="H398" s="46"/>
      <c r="I398" s="46"/>
      <c r="O398" s="45"/>
    </row>
    <row r="399">
      <c r="A399" s="48"/>
      <c r="C399" s="60"/>
      <c r="D399" s="46"/>
      <c r="F399" s="46"/>
      <c r="G399" s="46"/>
      <c r="H399" s="46"/>
      <c r="I399" s="46"/>
      <c r="O399" s="45"/>
    </row>
    <row r="400">
      <c r="A400" s="48"/>
      <c r="C400" s="60"/>
      <c r="D400" s="46"/>
      <c r="F400" s="46"/>
      <c r="G400" s="46"/>
      <c r="H400" s="46"/>
      <c r="I400" s="46"/>
      <c r="O400" s="45"/>
    </row>
    <row r="401">
      <c r="A401" s="48"/>
      <c r="C401" s="60"/>
      <c r="D401" s="46"/>
      <c r="F401" s="46"/>
      <c r="G401" s="46"/>
      <c r="H401" s="46"/>
      <c r="I401" s="46"/>
      <c r="O401" s="45"/>
    </row>
    <row r="402">
      <c r="A402" s="48"/>
      <c r="C402" s="60"/>
      <c r="D402" s="46"/>
      <c r="F402" s="46"/>
      <c r="G402" s="46"/>
      <c r="H402" s="46"/>
      <c r="I402" s="46"/>
      <c r="O402" s="45"/>
    </row>
    <row r="403">
      <c r="A403" s="48"/>
      <c r="C403" s="60"/>
      <c r="D403" s="46"/>
      <c r="F403" s="46"/>
      <c r="G403" s="46"/>
      <c r="H403" s="46"/>
      <c r="I403" s="46"/>
      <c r="O403" s="45"/>
    </row>
    <row r="404">
      <c r="A404" s="48"/>
      <c r="C404" s="60"/>
      <c r="D404" s="46"/>
      <c r="F404" s="46"/>
      <c r="G404" s="46"/>
      <c r="H404" s="46"/>
      <c r="I404" s="46"/>
      <c r="O404" s="45"/>
    </row>
    <row r="405">
      <c r="A405" s="48"/>
      <c r="C405" s="60"/>
      <c r="D405" s="46"/>
      <c r="F405" s="46"/>
      <c r="G405" s="46"/>
      <c r="H405" s="46"/>
      <c r="I405" s="46"/>
      <c r="O405" s="45"/>
    </row>
    <row r="406">
      <c r="A406" s="48"/>
      <c r="C406" s="60"/>
      <c r="D406" s="46"/>
      <c r="F406" s="46"/>
      <c r="G406" s="46"/>
      <c r="H406" s="46"/>
      <c r="I406" s="46"/>
      <c r="O406" s="45"/>
    </row>
    <row r="407">
      <c r="A407" s="48"/>
      <c r="C407" s="60"/>
      <c r="D407" s="46"/>
      <c r="F407" s="46"/>
      <c r="G407" s="46"/>
      <c r="H407" s="46"/>
      <c r="I407" s="46"/>
      <c r="O407" s="45"/>
    </row>
    <row r="408">
      <c r="A408" s="48"/>
      <c r="C408" s="60"/>
      <c r="D408" s="46"/>
      <c r="F408" s="46"/>
      <c r="G408" s="46"/>
      <c r="H408" s="46"/>
      <c r="I408" s="46"/>
      <c r="O408" s="45"/>
    </row>
    <row r="409">
      <c r="A409" s="48"/>
      <c r="C409" s="60"/>
      <c r="D409" s="46"/>
      <c r="F409" s="46"/>
      <c r="G409" s="46"/>
      <c r="H409" s="46"/>
      <c r="I409" s="46"/>
      <c r="O409" s="45"/>
    </row>
    <row r="410">
      <c r="A410" s="48"/>
      <c r="C410" s="60"/>
      <c r="D410" s="46"/>
      <c r="F410" s="46"/>
      <c r="G410" s="46"/>
      <c r="H410" s="46"/>
      <c r="I410" s="46"/>
      <c r="O410" s="45"/>
    </row>
    <row r="411">
      <c r="A411" s="48"/>
      <c r="C411" s="60"/>
      <c r="D411" s="46"/>
      <c r="F411" s="46"/>
      <c r="G411" s="46"/>
      <c r="H411" s="46"/>
      <c r="I411" s="46"/>
      <c r="O411" s="45"/>
    </row>
    <row r="412">
      <c r="A412" s="48"/>
      <c r="C412" s="60"/>
      <c r="D412" s="46"/>
      <c r="F412" s="46"/>
      <c r="G412" s="46"/>
      <c r="H412" s="46"/>
      <c r="I412" s="46"/>
      <c r="O412" s="45"/>
    </row>
    <row r="413">
      <c r="A413" s="48"/>
      <c r="C413" s="60"/>
      <c r="D413" s="46"/>
      <c r="F413" s="46"/>
      <c r="G413" s="46"/>
      <c r="H413" s="46"/>
      <c r="I413" s="46"/>
      <c r="O413" s="45"/>
    </row>
    <row r="414">
      <c r="A414" s="48"/>
      <c r="C414" s="60"/>
      <c r="D414" s="46"/>
      <c r="F414" s="46"/>
      <c r="G414" s="46"/>
      <c r="H414" s="46"/>
      <c r="I414" s="46"/>
      <c r="O414" s="45"/>
    </row>
    <row r="415">
      <c r="A415" s="48"/>
      <c r="C415" s="60"/>
      <c r="D415" s="46"/>
      <c r="F415" s="46"/>
      <c r="G415" s="46"/>
      <c r="H415" s="46"/>
      <c r="I415" s="46"/>
      <c r="O415" s="45"/>
    </row>
    <row r="416">
      <c r="A416" s="48"/>
      <c r="C416" s="60"/>
      <c r="D416" s="46"/>
      <c r="F416" s="46"/>
      <c r="G416" s="46"/>
      <c r="H416" s="46"/>
      <c r="I416" s="46"/>
      <c r="O416" s="45"/>
    </row>
    <row r="417">
      <c r="A417" s="48"/>
      <c r="C417" s="60"/>
      <c r="D417" s="46"/>
      <c r="F417" s="46"/>
      <c r="G417" s="46"/>
      <c r="H417" s="46"/>
      <c r="I417" s="46"/>
      <c r="O417" s="45"/>
    </row>
    <row r="418">
      <c r="A418" s="48"/>
      <c r="C418" s="60"/>
      <c r="D418" s="46"/>
      <c r="F418" s="46"/>
      <c r="G418" s="46"/>
      <c r="H418" s="46"/>
      <c r="I418" s="46"/>
      <c r="O418" s="45"/>
    </row>
    <row r="419">
      <c r="A419" s="48"/>
      <c r="C419" s="60"/>
      <c r="D419" s="46"/>
      <c r="F419" s="46"/>
      <c r="G419" s="46"/>
      <c r="H419" s="46"/>
      <c r="I419" s="46"/>
      <c r="O419" s="45"/>
    </row>
    <row r="420">
      <c r="A420" s="48"/>
      <c r="C420" s="60"/>
      <c r="D420" s="46"/>
      <c r="F420" s="46"/>
      <c r="G420" s="46"/>
      <c r="H420" s="46"/>
      <c r="I420" s="46"/>
      <c r="O420" s="45"/>
    </row>
    <row r="421">
      <c r="A421" s="48"/>
      <c r="C421" s="60"/>
      <c r="D421" s="46"/>
      <c r="F421" s="46"/>
      <c r="G421" s="46"/>
      <c r="H421" s="46"/>
      <c r="I421" s="46"/>
      <c r="O421" s="45"/>
    </row>
    <row r="422">
      <c r="A422" s="48"/>
      <c r="C422" s="60"/>
      <c r="D422" s="46"/>
      <c r="F422" s="46"/>
      <c r="G422" s="46"/>
      <c r="H422" s="46"/>
      <c r="I422" s="46"/>
      <c r="O422" s="45"/>
    </row>
    <row r="423">
      <c r="A423" s="48"/>
      <c r="C423" s="60"/>
      <c r="D423" s="46"/>
      <c r="F423" s="46"/>
      <c r="G423" s="46"/>
      <c r="H423" s="46"/>
      <c r="I423" s="46"/>
      <c r="O423" s="45"/>
    </row>
    <row r="424">
      <c r="A424" s="48"/>
      <c r="C424" s="60"/>
      <c r="D424" s="46"/>
      <c r="F424" s="46"/>
      <c r="G424" s="46"/>
      <c r="H424" s="46"/>
      <c r="I424" s="46"/>
      <c r="O424" s="45"/>
    </row>
    <row r="425">
      <c r="A425" s="48"/>
      <c r="C425" s="60"/>
      <c r="D425" s="46"/>
      <c r="F425" s="46"/>
      <c r="G425" s="46"/>
      <c r="H425" s="46"/>
      <c r="I425" s="46"/>
      <c r="O425" s="45"/>
    </row>
    <row r="426">
      <c r="A426" s="48"/>
      <c r="C426" s="60"/>
      <c r="D426" s="46"/>
      <c r="F426" s="46"/>
      <c r="G426" s="46"/>
      <c r="H426" s="46"/>
      <c r="I426" s="46"/>
      <c r="O426" s="45"/>
    </row>
    <row r="427">
      <c r="A427" s="48"/>
      <c r="C427" s="60"/>
      <c r="D427" s="46"/>
      <c r="F427" s="46"/>
      <c r="G427" s="46"/>
      <c r="H427" s="46"/>
      <c r="I427" s="46"/>
      <c r="O427" s="45"/>
    </row>
    <row r="428">
      <c r="A428" s="48"/>
      <c r="C428" s="60"/>
      <c r="D428" s="46"/>
      <c r="F428" s="46"/>
      <c r="G428" s="46"/>
      <c r="H428" s="46"/>
      <c r="I428" s="46"/>
      <c r="O428" s="45"/>
    </row>
    <row r="429">
      <c r="A429" s="48"/>
      <c r="C429" s="60"/>
      <c r="D429" s="46"/>
      <c r="F429" s="46"/>
      <c r="G429" s="46"/>
      <c r="H429" s="46"/>
      <c r="I429" s="46"/>
      <c r="O429" s="45"/>
    </row>
    <row r="430">
      <c r="A430" s="48"/>
      <c r="C430" s="60"/>
      <c r="D430" s="46"/>
      <c r="F430" s="46"/>
      <c r="G430" s="46"/>
      <c r="H430" s="46"/>
      <c r="I430" s="46"/>
      <c r="O430" s="45"/>
    </row>
    <row r="431">
      <c r="A431" s="48"/>
      <c r="C431" s="60"/>
      <c r="D431" s="46"/>
      <c r="F431" s="46"/>
      <c r="G431" s="46"/>
      <c r="H431" s="46"/>
      <c r="I431" s="46"/>
      <c r="O431" s="45"/>
    </row>
    <row r="432">
      <c r="A432" s="48"/>
      <c r="C432" s="60"/>
      <c r="D432" s="46"/>
      <c r="F432" s="46"/>
      <c r="G432" s="46"/>
      <c r="H432" s="46"/>
      <c r="I432" s="46"/>
      <c r="O432" s="45"/>
    </row>
    <row r="433">
      <c r="A433" s="48"/>
      <c r="C433" s="60"/>
      <c r="D433" s="46"/>
      <c r="F433" s="46"/>
      <c r="G433" s="46"/>
      <c r="H433" s="46"/>
      <c r="I433" s="46"/>
      <c r="O433" s="45"/>
    </row>
    <row r="434">
      <c r="A434" s="48"/>
      <c r="C434" s="60"/>
      <c r="D434" s="46"/>
      <c r="F434" s="46"/>
      <c r="G434" s="46"/>
      <c r="H434" s="46"/>
      <c r="I434" s="46"/>
      <c r="O434" s="45"/>
    </row>
    <row r="435">
      <c r="A435" s="48"/>
      <c r="C435" s="60"/>
      <c r="D435" s="46"/>
      <c r="F435" s="46"/>
      <c r="G435" s="46"/>
      <c r="H435" s="46"/>
      <c r="I435" s="46"/>
      <c r="O435" s="45"/>
    </row>
    <row r="436">
      <c r="A436" s="48"/>
      <c r="C436" s="60"/>
      <c r="D436" s="46"/>
      <c r="F436" s="46"/>
      <c r="G436" s="46"/>
      <c r="H436" s="46"/>
      <c r="I436" s="46"/>
      <c r="O436" s="45"/>
    </row>
    <row r="437">
      <c r="A437" s="48"/>
      <c r="C437" s="60"/>
      <c r="D437" s="46"/>
      <c r="F437" s="46"/>
      <c r="G437" s="46"/>
      <c r="H437" s="46"/>
      <c r="I437" s="46"/>
      <c r="O437" s="45"/>
    </row>
    <row r="438">
      <c r="A438" s="48"/>
      <c r="C438" s="60"/>
      <c r="D438" s="46"/>
      <c r="F438" s="46"/>
      <c r="G438" s="46"/>
      <c r="H438" s="46"/>
      <c r="I438" s="46"/>
      <c r="O438" s="45"/>
    </row>
    <row r="439">
      <c r="A439" s="48"/>
      <c r="C439" s="60"/>
      <c r="D439" s="46"/>
      <c r="F439" s="46"/>
      <c r="G439" s="46"/>
      <c r="H439" s="46"/>
      <c r="I439" s="46"/>
      <c r="O439" s="45"/>
    </row>
    <row r="440">
      <c r="A440" s="48"/>
      <c r="C440" s="60"/>
      <c r="D440" s="46"/>
      <c r="F440" s="46"/>
      <c r="G440" s="46"/>
      <c r="H440" s="46"/>
      <c r="I440" s="46"/>
      <c r="O440" s="45"/>
    </row>
    <row r="441">
      <c r="A441" s="48"/>
      <c r="C441" s="60"/>
      <c r="D441" s="46"/>
      <c r="F441" s="46"/>
      <c r="G441" s="46"/>
      <c r="H441" s="46"/>
      <c r="I441" s="46"/>
      <c r="O441" s="45"/>
    </row>
    <row r="442">
      <c r="A442" s="48"/>
      <c r="C442" s="60"/>
      <c r="D442" s="46"/>
      <c r="F442" s="46"/>
      <c r="G442" s="46"/>
      <c r="H442" s="46"/>
      <c r="I442" s="46"/>
      <c r="O442" s="45"/>
    </row>
    <row r="443">
      <c r="A443" s="48"/>
      <c r="C443" s="60"/>
      <c r="D443" s="46"/>
      <c r="F443" s="46"/>
      <c r="G443" s="46"/>
      <c r="H443" s="46"/>
      <c r="I443" s="46"/>
      <c r="O443" s="45"/>
    </row>
    <row r="444">
      <c r="A444" s="48"/>
      <c r="C444" s="60"/>
      <c r="D444" s="46"/>
      <c r="F444" s="46"/>
      <c r="G444" s="46"/>
      <c r="H444" s="46"/>
      <c r="I444" s="46"/>
      <c r="O444" s="45"/>
    </row>
    <row r="445">
      <c r="A445" s="48"/>
      <c r="C445" s="60"/>
      <c r="D445" s="46"/>
      <c r="F445" s="46"/>
      <c r="G445" s="46"/>
      <c r="H445" s="46"/>
      <c r="I445" s="46"/>
      <c r="O445" s="45"/>
    </row>
    <row r="446">
      <c r="A446" s="48"/>
      <c r="C446" s="60"/>
      <c r="D446" s="46"/>
      <c r="F446" s="46"/>
      <c r="G446" s="46"/>
      <c r="H446" s="46"/>
      <c r="I446" s="46"/>
      <c r="O446" s="45"/>
    </row>
    <row r="447">
      <c r="A447" s="48"/>
      <c r="C447" s="60"/>
      <c r="D447" s="46"/>
      <c r="F447" s="46"/>
      <c r="G447" s="46"/>
      <c r="H447" s="46"/>
      <c r="I447" s="46"/>
      <c r="O447" s="45"/>
    </row>
    <row r="448">
      <c r="A448" s="48"/>
      <c r="C448" s="60"/>
      <c r="D448" s="46"/>
      <c r="F448" s="46"/>
      <c r="G448" s="46"/>
      <c r="H448" s="46"/>
      <c r="I448" s="46"/>
      <c r="O448" s="45"/>
    </row>
    <row r="449">
      <c r="A449" s="48"/>
      <c r="C449" s="60"/>
      <c r="D449" s="46"/>
      <c r="F449" s="46"/>
      <c r="G449" s="46"/>
      <c r="H449" s="46"/>
      <c r="I449" s="46"/>
      <c r="O449" s="45"/>
    </row>
    <row r="450">
      <c r="A450" s="48"/>
      <c r="C450" s="60"/>
      <c r="D450" s="46"/>
      <c r="F450" s="46"/>
      <c r="G450" s="46"/>
      <c r="H450" s="46"/>
      <c r="I450" s="46"/>
      <c r="O450" s="45"/>
    </row>
    <row r="451">
      <c r="A451" s="48"/>
      <c r="C451" s="60"/>
      <c r="D451" s="46"/>
      <c r="F451" s="46"/>
      <c r="G451" s="46"/>
      <c r="H451" s="46"/>
      <c r="I451" s="46"/>
      <c r="O451" s="45"/>
    </row>
    <row r="452">
      <c r="A452" s="48"/>
      <c r="C452" s="60"/>
      <c r="D452" s="46"/>
      <c r="F452" s="46"/>
      <c r="G452" s="46"/>
      <c r="H452" s="46"/>
      <c r="I452" s="46"/>
      <c r="O452" s="45"/>
    </row>
    <row r="453">
      <c r="A453" s="48"/>
      <c r="C453" s="60"/>
      <c r="D453" s="46"/>
      <c r="F453" s="46"/>
      <c r="G453" s="46"/>
      <c r="H453" s="46"/>
      <c r="I453" s="46"/>
      <c r="O453" s="45"/>
    </row>
    <row r="454">
      <c r="A454" s="48"/>
      <c r="C454" s="60"/>
      <c r="D454" s="46"/>
      <c r="F454" s="46"/>
      <c r="G454" s="46"/>
      <c r="H454" s="46"/>
      <c r="I454" s="46"/>
      <c r="O454" s="45"/>
    </row>
    <row r="455">
      <c r="A455" s="48"/>
      <c r="C455" s="60"/>
      <c r="D455" s="46"/>
      <c r="F455" s="46"/>
      <c r="G455" s="46"/>
      <c r="H455" s="46"/>
      <c r="I455" s="46"/>
      <c r="O455" s="45"/>
    </row>
    <row r="456">
      <c r="A456" s="48"/>
      <c r="C456" s="60"/>
      <c r="D456" s="46"/>
      <c r="F456" s="46"/>
      <c r="G456" s="46"/>
      <c r="H456" s="46"/>
      <c r="I456" s="46"/>
      <c r="O456" s="45"/>
    </row>
    <row r="457">
      <c r="A457" s="48"/>
      <c r="C457" s="60"/>
      <c r="D457" s="46"/>
      <c r="F457" s="46"/>
      <c r="G457" s="46"/>
      <c r="H457" s="46"/>
      <c r="I457" s="46"/>
      <c r="O457" s="45"/>
    </row>
    <row r="458">
      <c r="A458" s="48"/>
      <c r="C458" s="60"/>
      <c r="D458" s="46"/>
      <c r="F458" s="46"/>
      <c r="G458" s="46"/>
      <c r="H458" s="46"/>
      <c r="I458" s="46"/>
      <c r="O458" s="45"/>
    </row>
    <row r="459">
      <c r="A459" s="48"/>
      <c r="C459" s="60"/>
      <c r="D459" s="46"/>
      <c r="F459" s="46"/>
      <c r="G459" s="46"/>
      <c r="H459" s="46"/>
      <c r="I459" s="46"/>
      <c r="O459" s="45"/>
    </row>
    <row r="460">
      <c r="A460" s="48"/>
      <c r="C460" s="60"/>
      <c r="D460" s="46"/>
      <c r="F460" s="46"/>
      <c r="G460" s="46"/>
      <c r="H460" s="46"/>
      <c r="I460" s="46"/>
      <c r="O460" s="45"/>
    </row>
    <row r="461">
      <c r="A461" s="48"/>
      <c r="C461" s="60"/>
      <c r="D461" s="46"/>
      <c r="F461" s="46"/>
      <c r="G461" s="46"/>
      <c r="H461" s="46"/>
      <c r="I461" s="46"/>
      <c r="O461" s="45"/>
    </row>
    <row r="462">
      <c r="A462" s="48"/>
      <c r="C462" s="60"/>
      <c r="D462" s="46"/>
      <c r="F462" s="46"/>
      <c r="G462" s="46"/>
      <c r="H462" s="46"/>
      <c r="I462" s="46"/>
      <c r="O462" s="45"/>
    </row>
    <row r="463">
      <c r="A463" s="48"/>
      <c r="C463" s="60"/>
      <c r="D463" s="46"/>
      <c r="F463" s="46"/>
      <c r="G463" s="46"/>
      <c r="H463" s="46"/>
      <c r="I463" s="46"/>
      <c r="O463" s="45"/>
    </row>
    <row r="464">
      <c r="A464" s="48"/>
      <c r="C464" s="60"/>
      <c r="D464" s="46"/>
      <c r="F464" s="46"/>
      <c r="G464" s="46"/>
      <c r="H464" s="46"/>
      <c r="I464" s="46"/>
      <c r="O464" s="45"/>
    </row>
    <row r="465">
      <c r="A465" s="48"/>
      <c r="C465" s="60"/>
      <c r="D465" s="46"/>
      <c r="F465" s="46"/>
      <c r="G465" s="46"/>
      <c r="H465" s="46"/>
      <c r="I465" s="46"/>
      <c r="O465" s="45"/>
    </row>
    <row r="466">
      <c r="A466" s="48"/>
      <c r="C466" s="60"/>
      <c r="D466" s="46"/>
      <c r="F466" s="46"/>
      <c r="G466" s="46"/>
      <c r="H466" s="46"/>
      <c r="I466" s="46"/>
      <c r="O466" s="45"/>
    </row>
    <row r="467">
      <c r="A467" s="48"/>
      <c r="C467" s="60"/>
      <c r="D467" s="46"/>
      <c r="F467" s="46"/>
      <c r="G467" s="46"/>
      <c r="H467" s="46"/>
      <c r="I467" s="46"/>
      <c r="O467" s="45"/>
    </row>
    <row r="468">
      <c r="A468" s="48"/>
      <c r="C468" s="60"/>
      <c r="D468" s="46"/>
      <c r="F468" s="46"/>
      <c r="G468" s="46"/>
      <c r="H468" s="46"/>
      <c r="I468" s="46"/>
      <c r="O468" s="45"/>
    </row>
    <row r="469">
      <c r="A469" s="48"/>
      <c r="C469" s="60"/>
      <c r="D469" s="46"/>
      <c r="F469" s="46"/>
      <c r="G469" s="46"/>
      <c r="H469" s="46"/>
      <c r="I469" s="46"/>
      <c r="O469" s="45"/>
    </row>
    <row r="470">
      <c r="A470" s="48"/>
      <c r="C470" s="60"/>
      <c r="D470" s="46"/>
      <c r="F470" s="46"/>
      <c r="G470" s="46"/>
      <c r="H470" s="46"/>
      <c r="I470" s="46"/>
      <c r="O470" s="45"/>
    </row>
    <row r="471">
      <c r="A471" s="48"/>
      <c r="C471" s="60"/>
      <c r="D471" s="46"/>
      <c r="F471" s="46"/>
      <c r="G471" s="46"/>
      <c r="H471" s="46"/>
      <c r="I471" s="46"/>
      <c r="O471" s="45"/>
    </row>
    <row r="472">
      <c r="A472" s="48"/>
      <c r="C472" s="60"/>
      <c r="D472" s="46"/>
      <c r="F472" s="46"/>
      <c r="G472" s="46"/>
      <c r="H472" s="46"/>
      <c r="I472" s="46"/>
      <c r="O472" s="45"/>
    </row>
    <row r="473">
      <c r="A473" s="48"/>
      <c r="C473" s="60"/>
      <c r="D473" s="46"/>
      <c r="F473" s="46"/>
      <c r="G473" s="46"/>
      <c r="H473" s="46"/>
      <c r="I473" s="46"/>
      <c r="O473" s="45"/>
    </row>
    <row r="474">
      <c r="A474" s="48"/>
      <c r="C474" s="60"/>
      <c r="D474" s="46"/>
      <c r="F474" s="46"/>
      <c r="G474" s="46"/>
      <c r="H474" s="46"/>
      <c r="I474" s="46"/>
      <c r="O474" s="45"/>
    </row>
    <row r="475">
      <c r="A475" s="48"/>
      <c r="C475" s="60"/>
      <c r="D475" s="46"/>
      <c r="F475" s="46"/>
      <c r="G475" s="46"/>
      <c r="H475" s="46"/>
      <c r="I475" s="46"/>
      <c r="O475" s="45"/>
    </row>
    <row r="476">
      <c r="A476" s="48"/>
      <c r="C476" s="60"/>
      <c r="D476" s="46"/>
      <c r="F476" s="46"/>
      <c r="G476" s="46"/>
      <c r="H476" s="46"/>
      <c r="I476" s="46"/>
      <c r="O476" s="45"/>
    </row>
    <row r="477">
      <c r="A477" s="48"/>
      <c r="C477" s="60"/>
      <c r="D477" s="46"/>
      <c r="F477" s="46"/>
      <c r="G477" s="46"/>
      <c r="H477" s="46"/>
      <c r="I477" s="46"/>
      <c r="O477" s="45"/>
    </row>
    <row r="478">
      <c r="A478" s="48"/>
      <c r="C478" s="60"/>
      <c r="D478" s="46"/>
      <c r="F478" s="46"/>
      <c r="G478" s="46"/>
      <c r="H478" s="46"/>
      <c r="I478" s="46"/>
      <c r="O478" s="45"/>
    </row>
    <row r="479">
      <c r="A479" s="48"/>
      <c r="C479" s="60"/>
      <c r="D479" s="46"/>
      <c r="F479" s="46"/>
      <c r="G479" s="46"/>
      <c r="H479" s="46"/>
      <c r="I479" s="46"/>
      <c r="O479" s="45"/>
    </row>
    <row r="480">
      <c r="A480" s="48"/>
      <c r="C480" s="60"/>
      <c r="D480" s="46"/>
      <c r="F480" s="46"/>
      <c r="G480" s="46"/>
      <c r="H480" s="46"/>
      <c r="I480" s="46"/>
      <c r="O480" s="45"/>
    </row>
    <row r="481">
      <c r="A481" s="48"/>
      <c r="C481" s="60"/>
      <c r="D481" s="46"/>
      <c r="F481" s="46"/>
      <c r="G481" s="46"/>
      <c r="H481" s="46"/>
      <c r="I481" s="46"/>
      <c r="O481" s="45"/>
    </row>
    <row r="482">
      <c r="A482" s="48"/>
      <c r="C482" s="60"/>
      <c r="D482" s="46"/>
      <c r="F482" s="46"/>
      <c r="G482" s="46"/>
      <c r="H482" s="46"/>
      <c r="I482" s="46"/>
      <c r="O482" s="45"/>
    </row>
    <row r="483">
      <c r="A483" s="48"/>
      <c r="C483" s="60"/>
      <c r="D483" s="46"/>
      <c r="F483" s="46"/>
      <c r="G483" s="46"/>
      <c r="H483" s="46"/>
      <c r="I483" s="46"/>
      <c r="O483" s="45"/>
    </row>
    <row r="484">
      <c r="A484" s="48"/>
      <c r="C484" s="60"/>
      <c r="D484" s="46"/>
      <c r="F484" s="46"/>
      <c r="G484" s="46"/>
      <c r="H484" s="46"/>
      <c r="I484" s="46"/>
      <c r="O484" s="45"/>
    </row>
    <row r="485">
      <c r="A485" s="48"/>
      <c r="C485" s="60"/>
      <c r="D485" s="46"/>
      <c r="F485" s="46"/>
      <c r="G485" s="46"/>
      <c r="H485" s="46"/>
      <c r="I485" s="46"/>
      <c r="O485" s="45"/>
    </row>
    <row r="486">
      <c r="A486" s="48"/>
      <c r="C486" s="60"/>
      <c r="D486" s="46"/>
      <c r="F486" s="46"/>
      <c r="G486" s="46"/>
      <c r="H486" s="46"/>
      <c r="I486" s="46"/>
      <c r="O486" s="45"/>
    </row>
    <row r="487">
      <c r="A487" s="48"/>
      <c r="C487" s="60"/>
      <c r="D487" s="46"/>
      <c r="F487" s="46"/>
      <c r="G487" s="46"/>
      <c r="H487" s="46"/>
      <c r="I487" s="46"/>
      <c r="O487" s="45"/>
    </row>
    <row r="488">
      <c r="A488" s="48"/>
      <c r="C488" s="60"/>
      <c r="D488" s="46"/>
      <c r="F488" s="46"/>
      <c r="G488" s="46"/>
      <c r="H488" s="46"/>
      <c r="I488" s="46"/>
      <c r="O488" s="45"/>
    </row>
    <row r="489">
      <c r="A489" s="48"/>
      <c r="C489" s="60"/>
      <c r="D489" s="46"/>
      <c r="F489" s="46"/>
      <c r="G489" s="46"/>
      <c r="H489" s="46"/>
      <c r="I489" s="46"/>
      <c r="O489" s="45"/>
    </row>
    <row r="490">
      <c r="A490" s="48"/>
      <c r="C490" s="60"/>
      <c r="D490" s="46"/>
      <c r="F490" s="46"/>
      <c r="G490" s="46"/>
      <c r="H490" s="46"/>
      <c r="I490" s="46"/>
      <c r="O490" s="45"/>
    </row>
    <row r="491">
      <c r="A491" s="48"/>
      <c r="C491" s="60"/>
      <c r="D491" s="46"/>
      <c r="F491" s="46"/>
      <c r="G491" s="46"/>
      <c r="H491" s="46"/>
      <c r="I491" s="46"/>
      <c r="O491" s="45"/>
    </row>
    <row r="492">
      <c r="A492" s="48"/>
      <c r="C492" s="60"/>
      <c r="D492" s="46"/>
      <c r="F492" s="46"/>
      <c r="G492" s="46"/>
      <c r="H492" s="46"/>
      <c r="I492" s="46"/>
      <c r="O492" s="45"/>
    </row>
    <row r="493">
      <c r="A493" s="48"/>
      <c r="C493" s="60"/>
      <c r="D493" s="46"/>
      <c r="F493" s="46"/>
      <c r="G493" s="46"/>
      <c r="H493" s="46"/>
      <c r="I493" s="46"/>
      <c r="O493" s="45"/>
    </row>
    <row r="494">
      <c r="A494" s="48"/>
      <c r="C494" s="60"/>
      <c r="D494" s="46"/>
      <c r="F494" s="46"/>
      <c r="G494" s="46"/>
      <c r="H494" s="46"/>
      <c r="I494" s="46"/>
      <c r="O494" s="45"/>
    </row>
    <row r="495">
      <c r="A495" s="48"/>
      <c r="C495" s="60"/>
      <c r="D495" s="46"/>
      <c r="F495" s="46"/>
      <c r="G495" s="46"/>
      <c r="H495" s="46"/>
      <c r="I495" s="46"/>
      <c r="O495" s="45"/>
    </row>
    <row r="496">
      <c r="A496" s="48"/>
      <c r="C496" s="60"/>
      <c r="D496" s="46"/>
      <c r="F496" s="46"/>
      <c r="G496" s="46"/>
      <c r="H496" s="46"/>
      <c r="I496" s="46"/>
      <c r="O496" s="45"/>
    </row>
    <row r="497">
      <c r="A497" s="48"/>
      <c r="C497" s="60"/>
      <c r="D497" s="46"/>
      <c r="F497" s="46"/>
      <c r="G497" s="46"/>
      <c r="H497" s="46"/>
      <c r="I497" s="46"/>
      <c r="O497" s="45"/>
    </row>
    <row r="498">
      <c r="A498" s="48"/>
      <c r="C498" s="60"/>
      <c r="D498" s="46"/>
      <c r="F498" s="46"/>
      <c r="G498" s="46"/>
      <c r="H498" s="46"/>
      <c r="I498" s="46"/>
      <c r="O498" s="45"/>
    </row>
    <row r="499">
      <c r="A499" s="48"/>
      <c r="C499" s="60"/>
      <c r="D499" s="46"/>
      <c r="F499" s="46"/>
      <c r="G499" s="46"/>
      <c r="H499" s="46"/>
      <c r="I499" s="46"/>
      <c r="O499" s="45"/>
    </row>
    <row r="500">
      <c r="A500" s="48"/>
      <c r="C500" s="60"/>
      <c r="D500" s="46"/>
      <c r="F500" s="46"/>
      <c r="G500" s="46"/>
      <c r="H500" s="46"/>
      <c r="I500" s="46"/>
      <c r="O500" s="45"/>
    </row>
    <row r="501">
      <c r="A501" s="48"/>
      <c r="C501" s="60"/>
      <c r="D501" s="46"/>
      <c r="F501" s="46"/>
      <c r="G501" s="46"/>
      <c r="H501" s="46"/>
      <c r="I501" s="46"/>
      <c r="O501" s="45"/>
    </row>
    <row r="502">
      <c r="A502" s="48"/>
      <c r="C502" s="60"/>
      <c r="D502" s="46"/>
      <c r="F502" s="46"/>
      <c r="G502" s="46"/>
      <c r="H502" s="46"/>
      <c r="I502" s="46"/>
      <c r="O502" s="45"/>
    </row>
    <row r="503">
      <c r="A503" s="48"/>
      <c r="C503" s="60"/>
      <c r="D503" s="46"/>
      <c r="F503" s="46"/>
      <c r="G503" s="46"/>
      <c r="H503" s="46"/>
      <c r="I503" s="46"/>
      <c r="O503" s="45"/>
    </row>
    <row r="504">
      <c r="A504" s="48"/>
      <c r="C504" s="60"/>
      <c r="D504" s="46"/>
      <c r="F504" s="46"/>
      <c r="G504" s="46"/>
      <c r="H504" s="46"/>
      <c r="I504" s="46"/>
      <c r="O504" s="45"/>
    </row>
    <row r="505">
      <c r="A505" s="48"/>
      <c r="C505" s="60"/>
      <c r="D505" s="46"/>
      <c r="F505" s="46"/>
      <c r="G505" s="46"/>
      <c r="H505" s="46"/>
      <c r="I505" s="46"/>
      <c r="O505" s="45"/>
    </row>
    <row r="506">
      <c r="A506" s="48"/>
      <c r="C506" s="60"/>
      <c r="D506" s="46"/>
      <c r="F506" s="46"/>
      <c r="G506" s="46"/>
      <c r="H506" s="46"/>
      <c r="I506" s="46"/>
      <c r="O506" s="45"/>
    </row>
    <row r="507">
      <c r="A507" s="48"/>
      <c r="C507" s="60"/>
      <c r="D507" s="46"/>
      <c r="F507" s="46"/>
      <c r="G507" s="46"/>
      <c r="H507" s="46"/>
      <c r="I507" s="46"/>
      <c r="O507" s="45"/>
    </row>
    <row r="508">
      <c r="A508" s="48"/>
      <c r="C508" s="60"/>
      <c r="D508" s="46"/>
      <c r="F508" s="46"/>
      <c r="G508" s="46"/>
      <c r="H508" s="46"/>
      <c r="I508" s="46"/>
      <c r="O508" s="45"/>
    </row>
    <row r="509">
      <c r="A509" s="48"/>
      <c r="C509" s="60"/>
      <c r="D509" s="46"/>
      <c r="F509" s="46"/>
      <c r="G509" s="46"/>
      <c r="H509" s="46"/>
      <c r="I509" s="46"/>
      <c r="O509" s="45"/>
    </row>
    <row r="510">
      <c r="A510" s="48"/>
      <c r="C510" s="60"/>
      <c r="D510" s="46"/>
      <c r="F510" s="46"/>
      <c r="G510" s="46"/>
      <c r="H510" s="46"/>
      <c r="I510" s="46"/>
      <c r="O510" s="45"/>
    </row>
    <row r="511">
      <c r="A511" s="48"/>
      <c r="C511" s="60"/>
      <c r="D511" s="46"/>
      <c r="F511" s="46"/>
      <c r="G511" s="46"/>
      <c r="H511" s="46"/>
      <c r="I511" s="46"/>
      <c r="O511" s="45"/>
    </row>
    <row r="512">
      <c r="A512" s="48"/>
      <c r="C512" s="60"/>
      <c r="D512" s="46"/>
      <c r="F512" s="46"/>
      <c r="G512" s="46"/>
      <c r="H512" s="46"/>
      <c r="I512" s="46"/>
      <c r="O512" s="45"/>
    </row>
    <row r="513">
      <c r="A513" s="48"/>
      <c r="C513" s="60"/>
      <c r="D513" s="46"/>
      <c r="F513" s="46"/>
      <c r="G513" s="46"/>
      <c r="H513" s="46"/>
      <c r="I513" s="46"/>
      <c r="O513" s="45"/>
    </row>
    <row r="514">
      <c r="A514" s="48"/>
      <c r="C514" s="60"/>
      <c r="D514" s="46"/>
      <c r="F514" s="46"/>
      <c r="G514" s="46"/>
      <c r="H514" s="46"/>
      <c r="I514" s="46"/>
      <c r="O514" s="45"/>
    </row>
    <row r="515">
      <c r="A515" s="48"/>
      <c r="C515" s="60"/>
      <c r="D515" s="46"/>
      <c r="F515" s="46"/>
      <c r="G515" s="46"/>
      <c r="H515" s="46"/>
      <c r="I515" s="46"/>
      <c r="O515" s="45"/>
    </row>
    <row r="516">
      <c r="A516" s="48"/>
      <c r="C516" s="60"/>
      <c r="D516" s="46"/>
      <c r="F516" s="46"/>
      <c r="G516" s="46"/>
      <c r="H516" s="46"/>
      <c r="I516" s="46"/>
      <c r="O516" s="45"/>
    </row>
    <row r="517">
      <c r="A517" s="48"/>
      <c r="C517" s="60"/>
      <c r="D517" s="46"/>
      <c r="F517" s="46"/>
      <c r="G517" s="46"/>
      <c r="H517" s="46"/>
      <c r="I517" s="46"/>
      <c r="O517" s="45"/>
    </row>
    <row r="518">
      <c r="A518" s="48"/>
      <c r="C518" s="60"/>
      <c r="D518" s="46"/>
      <c r="F518" s="46"/>
      <c r="G518" s="46"/>
      <c r="H518" s="46"/>
      <c r="I518" s="46"/>
      <c r="O518" s="45"/>
    </row>
    <row r="519">
      <c r="A519" s="48"/>
      <c r="C519" s="60"/>
      <c r="D519" s="46"/>
      <c r="F519" s="46"/>
      <c r="G519" s="46"/>
      <c r="H519" s="46"/>
      <c r="I519" s="46"/>
      <c r="O519" s="45"/>
    </row>
    <row r="520">
      <c r="A520" s="48"/>
      <c r="C520" s="60"/>
      <c r="D520" s="46"/>
      <c r="F520" s="46"/>
      <c r="G520" s="46"/>
      <c r="H520" s="46"/>
      <c r="I520" s="46"/>
      <c r="O520" s="45"/>
    </row>
    <row r="521">
      <c r="A521" s="48"/>
      <c r="C521" s="60"/>
      <c r="D521" s="46"/>
      <c r="F521" s="46"/>
      <c r="G521" s="46"/>
      <c r="H521" s="46"/>
      <c r="I521" s="46"/>
      <c r="O521" s="45"/>
    </row>
    <row r="522">
      <c r="A522" s="48"/>
      <c r="C522" s="60"/>
      <c r="D522" s="46"/>
      <c r="F522" s="46"/>
      <c r="G522" s="46"/>
      <c r="H522" s="46"/>
      <c r="I522" s="46"/>
      <c r="O522" s="45"/>
    </row>
    <row r="523">
      <c r="A523" s="48"/>
      <c r="C523" s="60"/>
      <c r="D523" s="46"/>
      <c r="F523" s="46"/>
      <c r="G523" s="46"/>
      <c r="H523" s="46"/>
      <c r="I523" s="46"/>
      <c r="O523" s="45"/>
    </row>
    <row r="524">
      <c r="A524" s="48"/>
      <c r="C524" s="60"/>
      <c r="D524" s="46"/>
      <c r="F524" s="46"/>
      <c r="G524" s="46"/>
      <c r="H524" s="46"/>
      <c r="I524" s="46"/>
      <c r="O524" s="45"/>
    </row>
    <row r="525">
      <c r="A525" s="48"/>
      <c r="C525" s="60"/>
      <c r="D525" s="46"/>
      <c r="F525" s="46"/>
      <c r="G525" s="46"/>
      <c r="H525" s="46"/>
      <c r="I525" s="46"/>
      <c r="O525" s="45"/>
    </row>
    <row r="526">
      <c r="A526" s="48"/>
      <c r="C526" s="60"/>
      <c r="D526" s="46"/>
      <c r="F526" s="46"/>
      <c r="G526" s="46"/>
      <c r="H526" s="46"/>
      <c r="I526" s="46"/>
      <c r="O526" s="45"/>
    </row>
    <row r="527">
      <c r="A527" s="48"/>
      <c r="C527" s="60"/>
      <c r="D527" s="46"/>
      <c r="F527" s="46"/>
      <c r="G527" s="46"/>
      <c r="H527" s="46"/>
      <c r="I527" s="46"/>
      <c r="O527" s="45"/>
    </row>
    <row r="528">
      <c r="A528" s="48"/>
      <c r="C528" s="60"/>
      <c r="D528" s="46"/>
      <c r="F528" s="46"/>
      <c r="G528" s="46"/>
      <c r="H528" s="46"/>
      <c r="I528" s="46"/>
      <c r="O528" s="45"/>
    </row>
    <row r="529">
      <c r="A529" s="48"/>
      <c r="C529" s="60"/>
      <c r="D529" s="46"/>
      <c r="F529" s="46"/>
      <c r="G529" s="46"/>
      <c r="H529" s="46"/>
      <c r="I529" s="46"/>
      <c r="O529" s="45"/>
    </row>
    <row r="530">
      <c r="A530" s="48"/>
      <c r="C530" s="60"/>
      <c r="D530" s="46"/>
      <c r="F530" s="46"/>
      <c r="G530" s="46"/>
      <c r="H530" s="46"/>
      <c r="I530" s="46"/>
      <c r="O530" s="45"/>
    </row>
    <row r="531">
      <c r="A531" s="48"/>
      <c r="C531" s="60"/>
      <c r="D531" s="46"/>
      <c r="F531" s="46"/>
      <c r="G531" s="46"/>
      <c r="H531" s="46"/>
      <c r="I531" s="46"/>
      <c r="O531" s="45"/>
    </row>
    <row r="532">
      <c r="A532" s="48"/>
      <c r="C532" s="60"/>
      <c r="D532" s="46"/>
      <c r="F532" s="46"/>
      <c r="G532" s="46"/>
      <c r="H532" s="46"/>
      <c r="I532" s="46"/>
      <c r="O532" s="45"/>
    </row>
    <row r="533">
      <c r="A533" s="48"/>
      <c r="C533" s="60"/>
      <c r="D533" s="46"/>
      <c r="F533" s="46"/>
      <c r="G533" s="46"/>
      <c r="H533" s="46"/>
      <c r="I533" s="46"/>
      <c r="O533" s="45"/>
    </row>
    <row r="534">
      <c r="A534" s="48"/>
      <c r="C534" s="60"/>
      <c r="D534" s="46"/>
      <c r="F534" s="46"/>
      <c r="G534" s="46"/>
      <c r="H534" s="46"/>
      <c r="I534" s="46"/>
      <c r="O534" s="45"/>
    </row>
    <row r="535">
      <c r="A535" s="48"/>
      <c r="C535" s="60"/>
      <c r="D535" s="46"/>
      <c r="F535" s="46"/>
      <c r="G535" s="46"/>
      <c r="H535" s="46"/>
      <c r="I535" s="46"/>
      <c r="O535" s="45"/>
    </row>
    <row r="536">
      <c r="A536" s="48"/>
      <c r="C536" s="60"/>
      <c r="D536" s="46"/>
      <c r="F536" s="46"/>
      <c r="G536" s="46"/>
      <c r="H536" s="46"/>
      <c r="I536" s="46"/>
      <c r="O536" s="45"/>
    </row>
    <row r="537">
      <c r="A537" s="48"/>
      <c r="C537" s="60"/>
      <c r="D537" s="46"/>
      <c r="F537" s="46"/>
      <c r="G537" s="46"/>
      <c r="H537" s="46"/>
      <c r="I537" s="46"/>
      <c r="O537" s="45"/>
    </row>
    <row r="538">
      <c r="A538" s="48"/>
      <c r="C538" s="60"/>
      <c r="D538" s="46"/>
      <c r="F538" s="46"/>
      <c r="G538" s="46"/>
      <c r="H538" s="46"/>
      <c r="I538" s="46"/>
      <c r="O538" s="45"/>
    </row>
    <row r="539">
      <c r="A539" s="48"/>
      <c r="C539" s="60"/>
      <c r="D539" s="46"/>
      <c r="F539" s="46"/>
      <c r="G539" s="46"/>
      <c r="H539" s="46"/>
      <c r="I539" s="46"/>
      <c r="O539" s="45"/>
    </row>
    <row r="540">
      <c r="A540" s="48"/>
      <c r="C540" s="60"/>
      <c r="D540" s="46"/>
      <c r="F540" s="46"/>
      <c r="G540" s="46"/>
      <c r="H540" s="46"/>
      <c r="I540" s="46"/>
      <c r="O540" s="45"/>
    </row>
    <row r="541">
      <c r="A541" s="48"/>
      <c r="C541" s="60"/>
      <c r="D541" s="46"/>
      <c r="F541" s="46"/>
      <c r="G541" s="46"/>
      <c r="H541" s="46"/>
      <c r="I541" s="46"/>
      <c r="O541" s="45"/>
    </row>
    <row r="542">
      <c r="A542" s="48"/>
      <c r="C542" s="60"/>
      <c r="D542" s="46"/>
      <c r="F542" s="46"/>
      <c r="G542" s="46"/>
      <c r="H542" s="46"/>
      <c r="I542" s="46"/>
      <c r="O542" s="45"/>
    </row>
    <row r="543">
      <c r="A543" s="48"/>
      <c r="C543" s="60"/>
      <c r="D543" s="46"/>
      <c r="F543" s="46"/>
      <c r="G543" s="46"/>
      <c r="H543" s="46"/>
      <c r="I543" s="46"/>
      <c r="O543" s="45"/>
    </row>
    <row r="544">
      <c r="A544" s="48"/>
      <c r="C544" s="60"/>
      <c r="D544" s="46"/>
      <c r="F544" s="46"/>
      <c r="G544" s="46"/>
      <c r="H544" s="46"/>
      <c r="I544" s="46"/>
      <c r="O544" s="45"/>
    </row>
    <row r="545">
      <c r="A545" s="48"/>
      <c r="C545" s="60"/>
      <c r="D545" s="46"/>
      <c r="F545" s="46"/>
      <c r="G545" s="46"/>
      <c r="H545" s="46"/>
      <c r="I545" s="46"/>
      <c r="O545" s="45"/>
    </row>
    <row r="546">
      <c r="A546" s="48"/>
      <c r="C546" s="60"/>
      <c r="D546" s="46"/>
      <c r="F546" s="46"/>
      <c r="G546" s="46"/>
      <c r="H546" s="46"/>
      <c r="I546" s="46"/>
      <c r="O546" s="45"/>
    </row>
    <row r="547">
      <c r="A547" s="48"/>
      <c r="C547" s="60"/>
      <c r="D547" s="46"/>
      <c r="F547" s="46"/>
      <c r="G547" s="46"/>
      <c r="H547" s="46"/>
      <c r="I547" s="46"/>
      <c r="O547" s="45"/>
    </row>
    <row r="548">
      <c r="A548" s="48"/>
      <c r="C548" s="60"/>
      <c r="D548" s="46"/>
      <c r="F548" s="46"/>
      <c r="G548" s="46"/>
      <c r="H548" s="46"/>
      <c r="I548" s="46"/>
      <c r="O548" s="45"/>
    </row>
    <row r="549">
      <c r="A549" s="48"/>
      <c r="C549" s="60"/>
      <c r="D549" s="46"/>
      <c r="F549" s="46"/>
      <c r="G549" s="46"/>
      <c r="H549" s="46"/>
      <c r="I549" s="46"/>
      <c r="O549" s="45"/>
    </row>
    <row r="550">
      <c r="A550" s="48"/>
      <c r="C550" s="60"/>
      <c r="D550" s="46"/>
      <c r="F550" s="46"/>
      <c r="G550" s="46"/>
      <c r="H550" s="46"/>
      <c r="I550" s="46"/>
      <c r="O550" s="45"/>
    </row>
    <row r="551">
      <c r="A551" s="48"/>
      <c r="C551" s="60"/>
      <c r="D551" s="46"/>
      <c r="F551" s="46"/>
      <c r="G551" s="46"/>
      <c r="H551" s="46"/>
      <c r="I551" s="46"/>
      <c r="O551" s="45"/>
    </row>
    <row r="552">
      <c r="A552" s="48"/>
      <c r="C552" s="60"/>
      <c r="D552" s="46"/>
      <c r="F552" s="46"/>
      <c r="G552" s="46"/>
      <c r="H552" s="46"/>
      <c r="I552" s="46"/>
      <c r="O552" s="45"/>
    </row>
    <row r="553">
      <c r="A553" s="48"/>
      <c r="C553" s="60"/>
      <c r="D553" s="46"/>
      <c r="F553" s="46"/>
      <c r="G553" s="46"/>
      <c r="H553" s="46"/>
      <c r="I553" s="46"/>
      <c r="O553" s="45"/>
    </row>
    <row r="554">
      <c r="A554" s="48"/>
      <c r="C554" s="60"/>
      <c r="D554" s="46"/>
      <c r="F554" s="46"/>
      <c r="G554" s="46"/>
      <c r="H554" s="46"/>
      <c r="I554" s="46"/>
      <c r="O554" s="45"/>
    </row>
    <row r="555">
      <c r="A555" s="48"/>
      <c r="C555" s="60"/>
      <c r="D555" s="46"/>
      <c r="F555" s="46"/>
      <c r="G555" s="46"/>
      <c r="H555" s="46"/>
      <c r="I555" s="46"/>
      <c r="O555" s="45"/>
    </row>
    <row r="556">
      <c r="A556" s="48"/>
      <c r="C556" s="60"/>
      <c r="D556" s="46"/>
      <c r="F556" s="46"/>
      <c r="G556" s="46"/>
      <c r="H556" s="46"/>
      <c r="I556" s="46"/>
      <c r="O556" s="45"/>
    </row>
    <row r="557">
      <c r="A557" s="48"/>
      <c r="C557" s="60"/>
      <c r="D557" s="46"/>
      <c r="F557" s="46"/>
      <c r="G557" s="46"/>
      <c r="H557" s="46"/>
      <c r="I557" s="46"/>
      <c r="O557" s="45"/>
    </row>
    <row r="558">
      <c r="A558" s="48"/>
      <c r="C558" s="60"/>
      <c r="D558" s="46"/>
      <c r="F558" s="46"/>
      <c r="G558" s="46"/>
      <c r="H558" s="46"/>
      <c r="I558" s="46"/>
      <c r="O558" s="45"/>
    </row>
    <row r="559">
      <c r="A559" s="48"/>
      <c r="C559" s="60"/>
      <c r="D559" s="46"/>
      <c r="F559" s="46"/>
      <c r="G559" s="46"/>
      <c r="H559" s="46"/>
      <c r="I559" s="46"/>
      <c r="O559" s="45"/>
    </row>
    <row r="560">
      <c r="A560" s="48"/>
      <c r="C560" s="60"/>
      <c r="D560" s="46"/>
      <c r="F560" s="46"/>
      <c r="G560" s="46"/>
      <c r="H560" s="46"/>
      <c r="I560" s="46"/>
      <c r="O560" s="45"/>
    </row>
    <row r="561">
      <c r="A561" s="48"/>
      <c r="C561" s="60"/>
      <c r="D561" s="46"/>
      <c r="F561" s="46"/>
      <c r="G561" s="46"/>
      <c r="H561" s="46"/>
      <c r="I561" s="46"/>
      <c r="O561" s="45"/>
    </row>
    <row r="562">
      <c r="A562" s="48"/>
      <c r="C562" s="60"/>
      <c r="D562" s="46"/>
      <c r="F562" s="46"/>
      <c r="G562" s="46"/>
      <c r="H562" s="46"/>
      <c r="I562" s="46"/>
      <c r="O562" s="45"/>
    </row>
    <row r="563">
      <c r="A563" s="48"/>
      <c r="C563" s="60"/>
      <c r="D563" s="46"/>
      <c r="F563" s="46"/>
      <c r="G563" s="46"/>
      <c r="H563" s="46"/>
      <c r="I563" s="46"/>
      <c r="O563" s="45"/>
    </row>
    <row r="564">
      <c r="A564" s="48"/>
      <c r="C564" s="60"/>
      <c r="D564" s="46"/>
      <c r="F564" s="46"/>
      <c r="G564" s="46"/>
      <c r="H564" s="46"/>
      <c r="I564" s="46"/>
      <c r="O564" s="45"/>
    </row>
    <row r="565">
      <c r="A565" s="48"/>
      <c r="C565" s="60"/>
      <c r="D565" s="46"/>
      <c r="F565" s="46"/>
      <c r="G565" s="46"/>
      <c r="H565" s="46"/>
      <c r="I565" s="46"/>
      <c r="O565" s="45"/>
    </row>
    <row r="566">
      <c r="A566" s="48"/>
      <c r="C566" s="60"/>
      <c r="D566" s="46"/>
      <c r="F566" s="46"/>
      <c r="G566" s="46"/>
      <c r="H566" s="46"/>
      <c r="I566" s="46"/>
      <c r="O566" s="45"/>
    </row>
    <row r="567">
      <c r="A567" s="48"/>
      <c r="C567" s="60"/>
      <c r="D567" s="46"/>
      <c r="F567" s="46"/>
      <c r="G567" s="46"/>
      <c r="H567" s="46"/>
      <c r="I567" s="46"/>
      <c r="O567" s="45"/>
    </row>
    <row r="568">
      <c r="A568" s="48"/>
      <c r="C568" s="60"/>
      <c r="D568" s="46"/>
      <c r="F568" s="46"/>
      <c r="G568" s="46"/>
      <c r="H568" s="46"/>
      <c r="I568" s="46"/>
      <c r="O568" s="45"/>
    </row>
    <row r="569">
      <c r="A569" s="48"/>
      <c r="C569" s="60"/>
      <c r="D569" s="46"/>
      <c r="F569" s="46"/>
      <c r="G569" s="46"/>
      <c r="H569" s="46"/>
      <c r="I569" s="46"/>
      <c r="O569" s="45"/>
    </row>
    <row r="570">
      <c r="A570" s="48"/>
      <c r="C570" s="60"/>
      <c r="D570" s="46"/>
      <c r="F570" s="46"/>
      <c r="G570" s="46"/>
      <c r="H570" s="46"/>
      <c r="I570" s="46"/>
      <c r="O570" s="45"/>
    </row>
    <row r="571">
      <c r="A571" s="48"/>
      <c r="C571" s="60"/>
      <c r="D571" s="46"/>
      <c r="F571" s="46"/>
      <c r="G571" s="46"/>
      <c r="H571" s="46"/>
      <c r="I571" s="46"/>
      <c r="O571" s="45"/>
    </row>
    <row r="572">
      <c r="A572" s="48"/>
      <c r="C572" s="60"/>
      <c r="D572" s="46"/>
      <c r="F572" s="46"/>
      <c r="G572" s="46"/>
      <c r="H572" s="46"/>
      <c r="I572" s="46"/>
      <c r="O572" s="45"/>
    </row>
    <row r="573">
      <c r="A573" s="48"/>
      <c r="C573" s="60"/>
      <c r="D573" s="46"/>
      <c r="F573" s="46"/>
      <c r="G573" s="46"/>
      <c r="H573" s="46"/>
      <c r="I573" s="46"/>
      <c r="O573" s="45"/>
    </row>
    <row r="574">
      <c r="A574" s="48"/>
      <c r="C574" s="60"/>
      <c r="D574" s="46"/>
      <c r="F574" s="46"/>
      <c r="G574" s="46"/>
      <c r="H574" s="46"/>
      <c r="I574" s="46"/>
      <c r="O574" s="45"/>
    </row>
    <row r="575">
      <c r="A575" s="48"/>
      <c r="C575" s="60"/>
      <c r="D575" s="46"/>
      <c r="F575" s="46"/>
      <c r="G575" s="46"/>
      <c r="H575" s="46"/>
      <c r="I575" s="46"/>
      <c r="O575" s="45"/>
    </row>
    <row r="576">
      <c r="A576" s="48"/>
      <c r="C576" s="60"/>
      <c r="D576" s="46"/>
      <c r="F576" s="46"/>
      <c r="G576" s="46"/>
      <c r="H576" s="46"/>
      <c r="I576" s="46"/>
      <c r="O576" s="45"/>
    </row>
    <row r="577">
      <c r="A577" s="48"/>
      <c r="C577" s="60"/>
      <c r="D577" s="46"/>
      <c r="F577" s="46"/>
      <c r="G577" s="46"/>
      <c r="H577" s="46"/>
      <c r="I577" s="46"/>
      <c r="O577" s="45"/>
    </row>
    <row r="578">
      <c r="A578" s="48"/>
      <c r="C578" s="60"/>
      <c r="D578" s="46"/>
      <c r="F578" s="46"/>
      <c r="G578" s="46"/>
      <c r="H578" s="46"/>
      <c r="I578" s="46"/>
      <c r="O578" s="45"/>
    </row>
    <row r="579">
      <c r="A579" s="48"/>
      <c r="C579" s="60"/>
      <c r="D579" s="46"/>
      <c r="F579" s="46"/>
      <c r="G579" s="46"/>
      <c r="H579" s="46"/>
      <c r="I579" s="46"/>
      <c r="O579" s="45"/>
    </row>
    <row r="580">
      <c r="A580" s="48"/>
      <c r="C580" s="60"/>
      <c r="D580" s="46"/>
      <c r="F580" s="46"/>
      <c r="G580" s="46"/>
      <c r="H580" s="46"/>
      <c r="I580" s="46"/>
      <c r="O580" s="45"/>
    </row>
    <row r="581">
      <c r="A581" s="48"/>
      <c r="C581" s="60"/>
      <c r="D581" s="46"/>
      <c r="F581" s="46"/>
      <c r="G581" s="46"/>
      <c r="H581" s="46"/>
      <c r="I581" s="46"/>
      <c r="O581" s="45"/>
    </row>
    <row r="582">
      <c r="A582" s="48"/>
      <c r="C582" s="60"/>
      <c r="D582" s="46"/>
      <c r="F582" s="46"/>
      <c r="G582" s="46"/>
      <c r="H582" s="46"/>
      <c r="I582" s="46"/>
      <c r="O582" s="45"/>
    </row>
    <row r="583">
      <c r="A583" s="48"/>
      <c r="C583" s="60"/>
      <c r="D583" s="46"/>
      <c r="F583" s="46"/>
      <c r="G583" s="46"/>
      <c r="H583" s="46"/>
      <c r="I583" s="46"/>
      <c r="O583" s="45"/>
    </row>
    <row r="584">
      <c r="A584" s="48"/>
      <c r="C584" s="60"/>
      <c r="D584" s="46"/>
      <c r="F584" s="46"/>
      <c r="G584" s="46"/>
      <c r="H584" s="46"/>
      <c r="I584" s="46"/>
      <c r="O584" s="45"/>
    </row>
    <row r="585">
      <c r="A585" s="48"/>
      <c r="C585" s="60"/>
      <c r="D585" s="46"/>
      <c r="F585" s="46"/>
      <c r="G585" s="46"/>
      <c r="H585" s="46"/>
      <c r="I585" s="46"/>
      <c r="O585" s="45"/>
    </row>
    <row r="586">
      <c r="A586" s="48"/>
      <c r="C586" s="60"/>
      <c r="D586" s="46"/>
      <c r="F586" s="46"/>
      <c r="G586" s="46"/>
      <c r="H586" s="46"/>
      <c r="I586" s="46"/>
      <c r="O586" s="45"/>
    </row>
    <row r="587">
      <c r="A587" s="48"/>
      <c r="C587" s="60"/>
      <c r="D587" s="46"/>
      <c r="F587" s="46"/>
      <c r="G587" s="46"/>
      <c r="H587" s="46"/>
      <c r="I587" s="46"/>
      <c r="O587" s="45"/>
    </row>
    <row r="588">
      <c r="A588" s="48"/>
      <c r="C588" s="60"/>
      <c r="D588" s="46"/>
      <c r="F588" s="46"/>
      <c r="G588" s="46"/>
      <c r="H588" s="46"/>
      <c r="I588" s="46"/>
      <c r="O588" s="45"/>
    </row>
    <row r="589">
      <c r="A589" s="48"/>
      <c r="C589" s="60"/>
      <c r="D589" s="46"/>
      <c r="F589" s="46"/>
      <c r="G589" s="46"/>
      <c r="H589" s="46"/>
      <c r="I589" s="46"/>
      <c r="O589" s="45"/>
    </row>
    <row r="590">
      <c r="A590" s="48"/>
      <c r="C590" s="60"/>
      <c r="D590" s="46"/>
      <c r="F590" s="46"/>
      <c r="G590" s="46"/>
      <c r="H590" s="46"/>
      <c r="I590" s="46"/>
      <c r="O590" s="45"/>
    </row>
    <row r="591">
      <c r="A591" s="48"/>
      <c r="C591" s="60"/>
      <c r="D591" s="46"/>
      <c r="F591" s="46"/>
      <c r="G591" s="46"/>
      <c r="H591" s="46"/>
      <c r="I591" s="46"/>
      <c r="O591" s="45"/>
    </row>
    <row r="592">
      <c r="A592" s="48"/>
      <c r="C592" s="60"/>
      <c r="D592" s="46"/>
      <c r="F592" s="46"/>
      <c r="G592" s="46"/>
      <c r="H592" s="46"/>
      <c r="I592" s="46"/>
      <c r="O592" s="45"/>
    </row>
    <row r="593">
      <c r="A593" s="48"/>
      <c r="C593" s="60"/>
      <c r="D593" s="46"/>
      <c r="F593" s="46"/>
      <c r="G593" s="46"/>
      <c r="H593" s="46"/>
      <c r="I593" s="46"/>
      <c r="O593" s="45"/>
    </row>
    <row r="594">
      <c r="A594" s="48"/>
      <c r="C594" s="60"/>
      <c r="D594" s="46"/>
      <c r="F594" s="46"/>
      <c r="G594" s="46"/>
      <c r="H594" s="46"/>
      <c r="I594" s="46"/>
      <c r="O594" s="45"/>
    </row>
    <row r="595">
      <c r="A595" s="48"/>
      <c r="C595" s="60"/>
      <c r="D595" s="46"/>
      <c r="F595" s="46"/>
      <c r="G595" s="46"/>
      <c r="H595" s="46"/>
      <c r="I595" s="46"/>
      <c r="O595" s="45"/>
    </row>
    <row r="596">
      <c r="A596" s="48"/>
      <c r="C596" s="60"/>
      <c r="D596" s="46"/>
      <c r="F596" s="46"/>
      <c r="G596" s="46"/>
      <c r="H596" s="46"/>
      <c r="I596" s="46"/>
      <c r="O596" s="45"/>
    </row>
    <row r="597">
      <c r="A597" s="48"/>
      <c r="C597" s="60"/>
      <c r="D597" s="46"/>
      <c r="F597" s="46"/>
      <c r="G597" s="46"/>
      <c r="H597" s="46"/>
      <c r="I597" s="46"/>
      <c r="O597" s="45"/>
    </row>
    <row r="598">
      <c r="A598" s="48"/>
      <c r="C598" s="60"/>
      <c r="D598" s="46"/>
      <c r="F598" s="46"/>
      <c r="G598" s="46"/>
      <c r="H598" s="46"/>
      <c r="I598" s="46"/>
      <c r="O598" s="45"/>
    </row>
    <row r="599">
      <c r="A599" s="48"/>
      <c r="C599" s="60"/>
      <c r="D599" s="46"/>
      <c r="F599" s="46"/>
      <c r="G599" s="46"/>
      <c r="H599" s="46"/>
      <c r="I599" s="46"/>
      <c r="O599" s="45"/>
    </row>
    <row r="600">
      <c r="A600" s="48"/>
      <c r="C600" s="60"/>
      <c r="D600" s="46"/>
      <c r="F600" s="46"/>
      <c r="G600" s="46"/>
      <c r="H600" s="46"/>
      <c r="I600" s="46"/>
      <c r="O600" s="45"/>
    </row>
    <row r="601">
      <c r="A601" s="48"/>
      <c r="C601" s="60"/>
      <c r="D601" s="46"/>
      <c r="F601" s="46"/>
      <c r="G601" s="46"/>
      <c r="H601" s="46"/>
      <c r="I601" s="46"/>
      <c r="O601" s="45"/>
    </row>
    <row r="602">
      <c r="A602" s="48"/>
      <c r="C602" s="60"/>
      <c r="D602" s="46"/>
      <c r="F602" s="46"/>
      <c r="G602" s="46"/>
      <c r="H602" s="46"/>
      <c r="I602" s="46"/>
      <c r="O602" s="45"/>
    </row>
    <row r="603">
      <c r="A603" s="48"/>
      <c r="C603" s="60"/>
      <c r="D603" s="46"/>
      <c r="F603" s="46"/>
      <c r="G603" s="46"/>
      <c r="H603" s="46"/>
      <c r="I603" s="46"/>
      <c r="O603" s="45"/>
    </row>
    <row r="604">
      <c r="A604" s="48"/>
      <c r="C604" s="60"/>
      <c r="D604" s="46"/>
      <c r="F604" s="46"/>
      <c r="G604" s="46"/>
      <c r="H604" s="46"/>
      <c r="I604" s="46"/>
      <c r="O604" s="45"/>
    </row>
    <row r="605">
      <c r="A605" s="48"/>
      <c r="C605" s="60"/>
      <c r="D605" s="46"/>
      <c r="F605" s="46"/>
      <c r="G605" s="46"/>
      <c r="H605" s="46"/>
      <c r="I605" s="46"/>
      <c r="O605" s="45"/>
    </row>
    <row r="606">
      <c r="A606" s="48"/>
      <c r="C606" s="60"/>
      <c r="D606" s="46"/>
      <c r="F606" s="46"/>
      <c r="G606" s="46"/>
      <c r="H606" s="46"/>
      <c r="I606" s="46"/>
      <c r="O606" s="45"/>
    </row>
    <row r="607">
      <c r="A607" s="48"/>
      <c r="C607" s="60"/>
      <c r="D607" s="46"/>
      <c r="F607" s="46"/>
      <c r="G607" s="46"/>
      <c r="H607" s="46"/>
      <c r="I607" s="46"/>
      <c r="O607" s="45"/>
    </row>
    <row r="608">
      <c r="A608" s="48"/>
      <c r="C608" s="60"/>
      <c r="D608" s="46"/>
      <c r="F608" s="46"/>
      <c r="G608" s="46"/>
      <c r="H608" s="46"/>
      <c r="I608" s="46"/>
      <c r="O608" s="45"/>
    </row>
    <row r="609">
      <c r="A609" s="48"/>
      <c r="C609" s="60"/>
      <c r="D609" s="46"/>
      <c r="F609" s="46"/>
      <c r="G609" s="46"/>
      <c r="H609" s="46"/>
      <c r="I609" s="46"/>
      <c r="O609" s="45"/>
    </row>
    <row r="610">
      <c r="A610" s="48"/>
      <c r="C610" s="60"/>
      <c r="D610" s="46"/>
      <c r="F610" s="46"/>
      <c r="G610" s="46"/>
      <c r="H610" s="46"/>
      <c r="I610" s="46"/>
      <c r="O610" s="45"/>
    </row>
    <row r="611">
      <c r="A611" s="48"/>
      <c r="C611" s="60"/>
      <c r="D611" s="46"/>
      <c r="F611" s="46"/>
      <c r="G611" s="46"/>
      <c r="H611" s="46"/>
      <c r="I611" s="46"/>
      <c r="O611" s="45"/>
    </row>
    <row r="612">
      <c r="A612" s="48"/>
      <c r="C612" s="60"/>
      <c r="D612" s="46"/>
      <c r="F612" s="46"/>
      <c r="G612" s="46"/>
      <c r="H612" s="46"/>
      <c r="I612" s="46"/>
      <c r="O612" s="45"/>
    </row>
    <row r="613">
      <c r="A613" s="48"/>
      <c r="C613" s="60"/>
      <c r="D613" s="46"/>
      <c r="F613" s="46"/>
      <c r="G613" s="46"/>
      <c r="H613" s="46"/>
      <c r="I613" s="46"/>
      <c r="O613" s="45"/>
    </row>
    <row r="614">
      <c r="A614" s="48"/>
      <c r="C614" s="60"/>
      <c r="D614" s="46"/>
      <c r="F614" s="46"/>
      <c r="G614" s="46"/>
      <c r="H614" s="46"/>
      <c r="I614" s="46"/>
      <c r="O614" s="45"/>
    </row>
    <row r="615">
      <c r="A615" s="48"/>
      <c r="C615" s="60"/>
      <c r="D615" s="46"/>
      <c r="F615" s="46"/>
      <c r="G615" s="46"/>
      <c r="H615" s="46"/>
      <c r="I615" s="46"/>
      <c r="O615" s="45"/>
    </row>
    <row r="616">
      <c r="A616" s="48"/>
      <c r="C616" s="60"/>
      <c r="D616" s="46"/>
      <c r="F616" s="46"/>
      <c r="G616" s="46"/>
      <c r="H616" s="46"/>
      <c r="I616" s="46"/>
      <c r="O616" s="45"/>
    </row>
    <row r="617">
      <c r="A617" s="48"/>
      <c r="C617" s="60"/>
      <c r="D617" s="46"/>
      <c r="F617" s="46"/>
      <c r="G617" s="46"/>
      <c r="H617" s="46"/>
      <c r="I617" s="46"/>
      <c r="O617" s="45"/>
    </row>
    <row r="618">
      <c r="A618" s="48"/>
      <c r="C618" s="60"/>
      <c r="D618" s="46"/>
      <c r="F618" s="46"/>
      <c r="G618" s="46"/>
      <c r="H618" s="46"/>
      <c r="I618" s="46"/>
      <c r="O618" s="45"/>
    </row>
    <row r="619">
      <c r="A619" s="48"/>
      <c r="C619" s="60"/>
      <c r="D619" s="46"/>
      <c r="F619" s="46"/>
      <c r="G619" s="46"/>
      <c r="H619" s="46"/>
      <c r="I619" s="46"/>
      <c r="O619" s="45"/>
    </row>
    <row r="620">
      <c r="A620" s="48"/>
      <c r="C620" s="60"/>
      <c r="D620" s="46"/>
      <c r="F620" s="46"/>
      <c r="G620" s="46"/>
      <c r="H620" s="46"/>
      <c r="I620" s="46"/>
      <c r="O620" s="45"/>
    </row>
    <row r="621">
      <c r="A621" s="48"/>
      <c r="C621" s="60"/>
      <c r="D621" s="46"/>
      <c r="F621" s="46"/>
      <c r="G621" s="46"/>
      <c r="H621" s="46"/>
      <c r="I621" s="46"/>
      <c r="O621" s="45"/>
    </row>
    <row r="622">
      <c r="A622" s="48"/>
      <c r="C622" s="60"/>
      <c r="D622" s="46"/>
      <c r="F622" s="46"/>
      <c r="G622" s="46"/>
      <c r="H622" s="46"/>
      <c r="I622" s="46"/>
      <c r="O622" s="45"/>
    </row>
    <row r="623">
      <c r="A623" s="48"/>
      <c r="C623" s="60"/>
      <c r="D623" s="46"/>
      <c r="F623" s="46"/>
      <c r="G623" s="46"/>
      <c r="H623" s="46"/>
      <c r="I623" s="46"/>
      <c r="O623" s="45"/>
    </row>
    <row r="624">
      <c r="A624" s="48"/>
      <c r="C624" s="60"/>
      <c r="D624" s="46"/>
      <c r="F624" s="46"/>
      <c r="G624" s="46"/>
      <c r="H624" s="46"/>
      <c r="I624" s="46"/>
      <c r="O624" s="45"/>
    </row>
    <row r="625">
      <c r="A625" s="48"/>
      <c r="C625" s="60"/>
      <c r="D625" s="46"/>
      <c r="F625" s="46"/>
      <c r="G625" s="46"/>
      <c r="H625" s="46"/>
      <c r="I625" s="46"/>
      <c r="O625" s="45"/>
    </row>
    <row r="626">
      <c r="A626" s="48"/>
      <c r="C626" s="60"/>
      <c r="D626" s="46"/>
      <c r="F626" s="46"/>
      <c r="G626" s="46"/>
      <c r="H626" s="46"/>
      <c r="I626" s="46"/>
      <c r="O626" s="45"/>
    </row>
    <row r="627">
      <c r="A627" s="48"/>
      <c r="C627" s="60"/>
      <c r="D627" s="46"/>
      <c r="F627" s="46"/>
      <c r="G627" s="46"/>
      <c r="H627" s="46"/>
      <c r="I627" s="46"/>
      <c r="O627" s="45"/>
    </row>
    <row r="628">
      <c r="A628" s="48"/>
      <c r="C628" s="60"/>
      <c r="D628" s="46"/>
      <c r="F628" s="46"/>
      <c r="G628" s="46"/>
      <c r="H628" s="46"/>
      <c r="I628" s="46"/>
      <c r="O628" s="45"/>
    </row>
    <row r="629">
      <c r="A629" s="48"/>
      <c r="C629" s="60"/>
      <c r="D629" s="46"/>
      <c r="F629" s="46"/>
      <c r="G629" s="46"/>
      <c r="H629" s="46"/>
      <c r="I629" s="46"/>
      <c r="O629" s="45"/>
    </row>
    <row r="630">
      <c r="A630" s="48"/>
      <c r="C630" s="60"/>
      <c r="D630" s="46"/>
      <c r="F630" s="46"/>
      <c r="G630" s="46"/>
      <c r="H630" s="46"/>
      <c r="I630" s="46"/>
      <c r="O630" s="45"/>
    </row>
    <row r="631">
      <c r="A631" s="48"/>
      <c r="C631" s="60"/>
      <c r="D631" s="46"/>
      <c r="F631" s="46"/>
      <c r="G631" s="46"/>
      <c r="H631" s="46"/>
      <c r="I631" s="46"/>
      <c r="O631" s="45"/>
    </row>
    <row r="632">
      <c r="A632" s="48"/>
      <c r="C632" s="60"/>
      <c r="D632" s="46"/>
      <c r="F632" s="46"/>
      <c r="G632" s="46"/>
      <c r="H632" s="46"/>
      <c r="I632" s="46"/>
      <c r="O632" s="45"/>
    </row>
    <row r="633">
      <c r="A633" s="48"/>
      <c r="C633" s="60"/>
      <c r="D633" s="46"/>
      <c r="F633" s="46"/>
      <c r="G633" s="46"/>
      <c r="H633" s="46"/>
      <c r="I633" s="46"/>
      <c r="O633" s="45"/>
    </row>
    <row r="634">
      <c r="A634" s="48"/>
      <c r="C634" s="60"/>
      <c r="D634" s="46"/>
      <c r="F634" s="46"/>
      <c r="G634" s="46"/>
      <c r="H634" s="46"/>
      <c r="I634" s="46"/>
      <c r="O634" s="45"/>
    </row>
    <row r="635">
      <c r="A635" s="48"/>
      <c r="C635" s="60"/>
      <c r="D635" s="46"/>
      <c r="F635" s="46"/>
      <c r="G635" s="46"/>
      <c r="H635" s="46"/>
      <c r="I635" s="46"/>
      <c r="O635" s="45"/>
    </row>
    <row r="636">
      <c r="A636" s="48"/>
      <c r="C636" s="60"/>
      <c r="D636" s="46"/>
      <c r="F636" s="46"/>
      <c r="G636" s="46"/>
      <c r="H636" s="46"/>
      <c r="I636" s="46"/>
      <c r="O636" s="45"/>
    </row>
    <row r="637">
      <c r="A637" s="48"/>
      <c r="C637" s="60"/>
      <c r="D637" s="46"/>
      <c r="F637" s="46"/>
      <c r="G637" s="46"/>
      <c r="H637" s="46"/>
      <c r="I637" s="46"/>
      <c r="O637" s="45"/>
    </row>
    <row r="638">
      <c r="A638" s="48"/>
      <c r="C638" s="60"/>
      <c r="D638" s="46"/>
      <c r="F638" s="46"/>
      <c r="G638" s="46"/>
      <c r="H638" s="46"/>
      <c r="I638" s="46"/>
      <c r="O638" s="45"/>
    </row>
    <row r="639">
      <c r="A639" s="48"/>
      <c r="C639" s="60"/>
      <c r="D639" s="46"/>
      <c r="F639" s="46"/>
      <c r="G639" s="46"/>
      <c r="H639" s="46"/>
      <c r="I639" s="46"/>
      <c r="O639" s="45"/>
    </row>
    <row r="640">
      <c r="A640" s="48"/>
      <c r="C640" s="60"/>
      <c r="D640" s="46"/>
      <c r="F640" s="46"/>
      <c r="G640" s="46"/>
      <c r="H640" s="46"/>
      <c r="I640" s="46"/>
      <c r="O640" s="45"/>
    </row>
    <row r="641">
      <c r="A641" s="48"/>
      <c r="C641" s="60"/>
      <c r="D641" s="46"/>
      <c r="F641" s="46"/>
      <c r="G641" s="46"/>
      <c r="H641" s="46"/>
      <c r="I641" s="46"/>
      <c r="O641" s="45"/>
    </row>
    <row r="642">
      <c r="A642" s="48"/>
      <c r="C642" s="60"/>
      <c r="D642" s="46"/>
      <c r="F642" s="46"/>
      <c r="G642" s="46"/>
      <c r="H642" s="46"/>
      <c r="I642" s="46"/>
      <c r="O642" s="45"/>
    </row>
    <row r="643">
      <c r="A643" s="48"/>
      <c r="C643" s="60"/>
      <c r="D643" s="46"/>
      <c r="F643" s="46"/>
      <c r="G643" s="46"/>
      <c r="H643" s="46"/>
      <c r="I643" s="46"/>
      <c r="O643" s="45"/>
    </row>
    <row r="644">
      <c r="A644" s="48"/>
      <c r="C644" s="60"/>
      <c r="D644" s="46"/>
      <c r="F644" s="46"/>
      <c r="G644" s="46"/>
      <c r="H644" s="46"/>
      <c r="I644" s="46"/>
      <c r="O644" s="45"/>
    </row>
    <row r="645">
      <c r="A645" s="48"/>
      <c r="C645" s="60"/>
      <c r="D645" s="46"/>
      <c r="F645" s="46"/>
      <c r="G645" s="46"/>
      <c r="H645" s="46"/>
      <c r="I645" s="46"/>
      <c r="O645" s="45"/>
    </row>
    <row r="646">
      <c r="A646" s="48"/>
      <c r="C646" s="60"/>
      <c r="D646" s="46"/>
      <c r="F646" s="46"/>
      <c r="G646" s="46"/>
      <c r="H646" s="46"/>
      <c r="I646" s="46"/>
      <c r="O646" s="45"/>
    </row>
    <row r="647">
      <c r="A647" s="48"/>
      <c r="C647" s="60"/>
      <c r="D647" s="46"/>
      <c r="F647" s="46"/>
      <c r="G647" s="46"/>
      <c r="H647" s="46"/>
      <c r="I647" s="46"/>
      <c r="O647" s="45"/>
    </row>
    <row r="648">
      <c r="A648" s="48"/>
      <c r="C648" s="60"/>
      <c r="D648" s="46"/>
      <c r="F648" s="46"/>
      <c r="G648" s="46"/>
      <c r="H648" s="46"/>
      <c r="I648" s="46"/>
      <c r="O648" s="45"/>
    </row>
    <row r="649">
      <c r="A649" s="48"/>
      <c r="C649" s="60"/>
      <c r="D649" s="46"/>
      <c r="F649" s="46"/>
      <c r="G649" s="46"/>
      <c r="H649" s="46"/>
      <c r="I649" s="46"/>
      <c r="O649" s="45"/>
    </row>
    <row r="650">
      <c r="A650" s="48"/>
      <c r="C650" s="60"/>
      <c r="D650" s="46"/>
      <c r="F650" s="46"/>
      <c r="G650" s="46"/>
      <c r="H650" s="46"/>
      <c r="I650" s="46"/>
      <c r="O650" s="45"/>
    </row>
    <row r="651">
      <c r="A651" s="48"/>
      <c r="C651" s="60"/>
      <c r="D651" s="46"/>
      <c r="F651" s="46"/>
      <c r="G651" s="46"/>
      <c r="H651" s="46"/>
      <c r="I651" s="46"/>
      <c r="O651" s="45"/>
    </row>
    <row r="652">
      <c r="A652" s="48"/>
      <c r="C652" s="60"/>
      <c r="D652" s="46"/>
      <c r="F652" s="46"/>
      <c r="G652" s="46"/>
      <c r="H652" s="46"/>
      <c r="I652" s="46"/>
      <c r="O652" s="45"/>
    </row>
    <row r="653">
      <c r="A653" s="48"/>
      <c r="C653" s="60"/>
      <c r="D653" s="46"/>
      <c r="F653" s="46"/>
      <c r="G653" s="46"/>
      <c r="H653" s="46"/>
      <c r="I653" s="46"/>
      <c r="O653" s="45"/>
    </row>
    <row r="654">
      <c r="A654" s="48"/>
      <c r="C654" s="60"/>
      <c r="D654" s="46"/>
      <c r="F654" s="46"/>
      <c r="G654" s="46"/>
      <c r="H654" s="46"/>
      <c r="I654" s="46"/>
      <c r="O654" s="45"/>
    </row>
    <row r="655">
      <c r="A655" s="48"/>
      <c r="C655" s="60"/>
      <c r="D655" s="46"/>
      <c r="F655" s="46"/>
      <c r="G655" s="46"/>
      <c r="H655" s="46"/>
      <c r="I655" s="46"/>
      <c r="O655" s="45"/>
    </row>
    <row r="656">
      <c r="A656" s="48"/>
      <c r="C656" s="60"/>
      <c r="D656" s="46"/>
      <c r="F656" s="46"/>
      <c r="G656" s="46"/>
      <c r="H656" s="46"/>
      <c r="I656" s="46"/>
      <c r="O656" s="45"/>
    </row>
    <row r="657">
      <c r="A657" s="48"/>
      <c r="C657" s="60"/>
      <c r="D657" s="46"/>
      <c r="F657" s="46"/>
      <c r="G657" s="46"/>
      <c r="H657" s="46"/>
      <c r="I657" s="46"/>
      <c r="O657" s="45"/>
    </row>
    <row r="658">
      <c r="A658" s="48"/>
      <c r="C658" s="60"/>
      <c r="D658" s="46"/>
      <c r="F658" s="46"/>
      <c r="G658" s="46"/>
      <c r="H658" s="46"/>
      <c r="I658" s="46"/>
      <c r="O658" s="45"/>
    </row>
    <row r="659">
      <c r="A659" s="48"/>
      <c r="C659" s="60"/>
      <c r="D659" s="46"/>
      <c r="F659" s="46"/>
      <c r="G659" s="46"/>
      <c r="H659" s="46"/>
      <c r="I659" s="46"/>
      <c r="O659" s="45"/>
    </row>
    <row r="660">
      <c r="A660" s="48"/>
      <c r="C660" s="60"/>
      <c r="D660" s="46"/>
      <c r="F660" s="46"/>
      <c r="G660" s="46"/>
      <c r="H660" s="46"/>
      <c r="I660" s="46"/>
      <c r="O660" s="45"/>
    </row>
    <row r="661">
      <c r="A661" s="48"/>
      <c r="C661" s="60"/>
      <c r="D661" s="46"/>
      <c r="F661" s="46"/>
      <c r="G661" s="46"/>
      <c r="H661" s="46"/>
      <c r="I661" s="46"/>
      <c r="O661" s="45"/>
    </row>
    <row r="662">
      <c r="A662" s="48"/>
      <c r="C662" s="60"/>
      <c r="D662" s="46"/>
      <c r="F662" s="46"/>
      <c r="G662" s="46"/>
      <c r="H662" s="46"/>
      <c r="I662" s="46"/>
      <c r="O662" s="45"/>
    </row>
    <row r="663">
      <c r="A663" s="48"/>
      <c r="C663" s="60"/>
      <c r="D663" s="46"/>
      <c r="F663" s="46"/>
      <c r="G663" s="46"/>
      <c r="H663" s="46"/>
      <c r="I663" s="46"/>
      <c r="O663" s="45"/>
    </row>
    <row r="664">
      <c r="A664" s="48"/>
      <c r="C664" s="60"/>
      <c r="D664" s="46"/>
      <c r="F664" s="46"/>
      <c r="G664" s="46"/>
      <c r="H664" s="46"/>
      <c r="I664" s="46"/>
      <c r="O664" s="45"/>
    </row>
    <row r="665">
      <c r="A665" s="48"/>
      <c r="C665" s="60"/>
      <c r="D665" s="46"/>
      <c r="F665" s="46"/>
      <c r="G665" s="46"/>
      <c r="H665" s="46"/>
      <c r="I665" s="46"/>
      <c r="O665" s="45"/>
    </row>
    <row r="666">
      <c r="A666" s="48"/>
      <c r="C666" s="60"/>
      <c r="D666" s="46"/>
      <c r="F666" s="46"/>
      <c r="G666" s="46"/>
      <c r="H666" s="46"/>
      <c r="I666" s="46"/>
      <c r="O666" s="45"/>
    </row>
    <row r="667">
      <c r="A667" s="48"/>
      <c r="C667" s="60"/>
      <c r="D667" s="46"/>
      <c r="F667" s="46"/>
      <c r="G667" s="46"/>
      <c r="H667" s="46"/>
      <c r="I667" s="46"/>
      <c r="O667" s="45"/>
    </row>
    <row r="668">
      <c r="A668" s="48"/>
      <c r="C668" s="60"/>
      <c r="D668" s="46"/>
      <c r="F668" s="46"/>
      <c r="G668" s="46"/>
      <c r="H668" s="46"/>
      <c r="I668" s="46"/>
      <c r="O668" s="45"/>
    </row>
    <row r="669">
      <c r="A669" s="48"/>
      <c r="C669" s="60"/>
      <c r="D669" s="46"/>
      <c r="F669" s="46"/>
      <c r="G669" s="46"/>
      <c r="H669" s="46"/>
      <c r="I669" s="46"/>
      <c r="O669" s="45"/>
    </row>
    <row r="670">
      <c r="A670" s="48"/>
      <c r="C670" s="60"/>
      <c r="D670" s="46"/>
      <c r="F670" s="46"/>
      <c r="G670" s="46"/>
      <c r="H670" s="46"/>
      <c r="I670" s="46"/>
      <c r="O670" s="45"/>
    </row>
    <row r="671">
      <c r="A671" s="48"/>
      <c r="C671" s="60"/>
      <c r="D671" s="46"/>
      <c r="F671" s="46"/>
      <c r="G671" s="46"/>
      <c r="H671" s="46"/>
      <c r="I671" s="46"/>
      <c r="O671" s="45"/>
    </row>
    <row r="672">
      <c r="A672" s="48"/>
      <c r="C672" s="60"/>
      <c r="D672" s="46"/>
      <c r="F672" s="46"/>
      <c r="G672" s="46"/>
      <c r="H672" s="46"/>
      <c r="I672" s="46"/>
      <c r="O672" s="45"/>
    </row>
    <row r="673">
      <c r="A673" s="48"/>
      <c r="C673" s="60"/>
      <c r="D673" s="46"/>
      <c r="F673" s="46"/>
      <c r="G673" s="46"/>
      <c r="H673" s="46"/>
      <c r="I673" s="46"/>
      <c r="O673" s="45"/>
    </row>
    <row r="674">
      <c r="A674" s="48"/>
      <c r="C674" s="60"/>
      <c r="D674" s="46"/>
      <c r="F674" s="46"/>
      <c r="G674" s="46"/>
      <c r="H674" s="46"/>
      <c r="I674" s="46"/>
      <c r="O674" s="45"/>
    </row>
    <row r="675">
      <c r="A675" s="48"/>
      <c r="C675" s="60"/>
      <c r="D675" s="46"/>
      <c r="F675" s="46"/>
      <c r="G675" s="46"/>
      <c r="H675" s="46"/>
      <c r="I675" s="46"/>
      <c r="O675" s="45"/>
    </row>
    <row r="676">
      <c r="A676" s="48"/>
      <c r="C676" s="60"/>
      <c r="D676" s="46"/>
      <c r="F676" s="46"/>
      <c r="G676" s="46"/>
      <c r="H676" s="46"/>
      <c r="I676" s="46"/>
      <c r="O676" s="45"/>
    </row>
    <row r="677">
      <c r="A677" s="48"/>
      <c r="C677" s="60"/>
      <c r="D677" s="46"/>
      <c r="F677" s="46"/>
      <c r="G677" s="46"/>
      <c r="H677" s="46"/>
      <c r="I677" s="46"/>
      <c r="O677" s="45"/>
    </row>
    <row r="678">
      <c r="A678" s="48"/>
      <c r="C678" s="60"/>
      <c r="D678" s="46"/>
      <c r="F678" s="46"/>
      <c r="G678" s="46"/>
      <c r="H678" s="46"/>
      <c r="I678" s="46"/>
      <c r="O678" s="45"/>
    </row>
    <row r="679">
      <c r="A679" s="48"/>
      <c r="C679" s="60"/>
      <c r="D679" s="46"/>
      <c r="F679" s="46"/>
      <c r="G679" s="46"/>
      <c r="H679" s="46"/>
      <c r="I679" s="46"/>
      <c r="O679" s="45"/>
    </row>
    <row r="680">
      <c r="A680" s="48"/>
      <c r="C680" s="60"/>
      <c r="D680" s="46"/>
      <c r="F680" s="46"/>
      <c r="G680" s="46"/>
      <c r="H680" s="46"/>
      <c r="I680" s="46"/>
      <c r="O680" s="45"/>
    </row>
    <row r="681">
      <c r="A681" s="48"/>
      <c r="C681" s="60"/>
      <c r="D681" s="46"/>
      <c r="F681" s="46"/>
      <c r="G681" s="46"/>
      <c r="H681" s="46"/>
      <c r="I681" s="46"/>
      <c r="O681" s="45"/>
    </row>
    <row r="682">
      <c r="A682" s="48"/>
      <c r="C682" s="60"/>
      <c r="D682" s="46"/>
      <c r="F682" s="46"/>
      <c r="G682" s="46"/>
      <c r="H682" s="46"/>
      <c r="I682" s="46"/>
      <c r="O682" s="45"/>
    </row>
    <row r="683">
      <c r="A683" s="48"/>
      <c r="C683" s="60"/>
      <c r="D683" s="46"/>
      <c r="F683" s="46"/>
      <c r="G683" s="46"/>
      <c r="H683" s="46"/>
      <c r="I683" s="46"/>
      <c r="O683" s="45"/>
    </row>
    <row r="684">
      <c r="A684" s="48"/>
      <c r="C684" s="60"/>
      <c r="D684" s="46"/>
      <c r="F684" s="46"/>
      <c r="G684" s="46"/>
      <c r="H684" s="46"/>
      <c r="I684" s="46"/>
      <c r="O684" s="45"/>
    </row>
    <row r="685">
      <c r="A685" s="48"/>
      <c r="C685" s="60"/>
      <c r="D685" s="46"/>
      <c r="F685" s="46"/>
      <c r="G685" s="46"/>
      <c r="H685" s="46"/>
      <c r="I685" s="46"/>
      <c r="O685" s="45"/>
    </row>
    <row r="686">
      <c r="A686" s="48"/>
      <c r="C686" s="60"/>
      <c r="D686" s="46"/>
      <c r="F686" s="46"/>
      <c r="G686" s="46"/>
      <c r="H686" s="46"/>
      <c r="I686" s="46"/>
      <c r="O686" s="45"/>
    </row>
    <row r="687">
      <c r="A687" s="48"/>
      <c r="C687" s="60"/>
      <c r="D687" s="46"/>
      <c r="F687" s="46"/>
      <c r="G687" s="46"/>
      <c r="H687" s="46"/>
      <c r="I687" s="46"/>
      <c r="O687" s="45"/>
    </row>
    <row r="688">
      <c r="A688" s="48"/>
      <c r="C688" s="60"/>
      <c r="D688" s="46"/>
      <c r="F688" s="46"/>
      <c r="G688" s="46"/>
      <c r="H688" s="46"/>
      <c r="I688" s="46"/>
      <c r="O688" s="45"/>
    </row>
    <row r="689">
      <c r="A689" s="48"/>
      <c r="C689" s="60"/>
      <c r="D689" s="46"/>
      <c r="F689" s="46"/>
      <c r="G689" s="46"/>
      <c r="H689" s="46"/>
      <c r="I689" s="46"/>
      <c r="O689" s="45"/>
    </row>
    <row r="690">
      <c r="A690" s="48"/>
      <c r="C690" s="60"/>
      <c r="D690" s="46"/>
      <c r="F690" s="46"/>
      <c r="G690" s="46"/>
      <c r="H690" s="46"/>
      <c r="I690" s="46"/>
      <c r="O690" s="45"/>
    </row>
    <row r="691">
      <c r="A691" s="48"/>
      <c r="C691" s="60"/>
      <c r="D691" s="46"/>
      <c r="F691" s="46"/>
      <c r="G691" s="46"/>
      <c r="H691" s="46"/>
      <c r="I691" s="46"/>
      <c r="O691" s="45"/>
    </row>
    <row r="692">
      <c r="A692" s="48"/>
      <c r="C692" s="60"/>
      <c r="D692" s="46"/>
      <c r="F692" s="46"/>
      <c r="G692" s="46"/>
      <c r="H692" s="46"/>
      <c r="I692" s="46"/>
      <c r="O692" s="45"/>
    </row>
    <row r="693">
      <c r="A693" s="48"/>
      <c r="C693" s="60"/>
      <c r="D693" s="46"/>
      <c r="F693" s="46"/>
      <c r="G693" s="46"/>
      <c r="H693" s="46"/>
      <c r="I693" s="46"/>
      <c r="O693" s="45"/>
    </row>
    <row r="694">
      <c r="A694" s="48"/>
      <c r="C694" s="60"/>
      <c r="D694" s="46"/>
      <c r="F694" s="46"/>
      <c r="G694" s="46"/>
      <c r="H694" s="46"/>
      <c r="I694" s="46"/>
      <c r="O694" s="45"/>
    </row>
    <row r="695">
      <c r="A695" s="48"/>
      <c r="C695" s="60"/>
      <c r="D695" s="46"/>
      <c r="F695" s="46"/>
      <c r="G695" s="46"/>
      <c r="H695" s="46"/>
      <c r="I695" s="46"/>
      <c r="O695" s="45"/>
    </row>
    <row r="696">
      <c r="A696" s="48"/>
      <c r="C696" s="60"/>
      <c r="D696" s="46"/>
      <c r="F696" s="46"/>
      <c r="G696" s="46"/>
      <c r="H696" s="46"/>
      <c r="I696" s="46"/>
      <c r="O696" s="45"/>
    </row>
    <row r="697">
      <c r="A697" s="48"/>
      <c r="C697" s="60"/>
      <c r="D697" s="46"/>
      <c r="F697" s="46"/>
      <c r="G697" s="46"/>
      <c r="H697" s="46"/>
      <c r="I697" s="46"/>
      <c r="O697" s="45"/>
    </row>
    <row r="698">
      <c r="A698" s="48"/>
      <c r="C698" s="60"/>
      <c r="D698" s="46"/>
      <c r="F698" s="46"/>
      <c r="G698" s="46"/>
      <c r="H698" s="46"/>
      <c r="I698" s="46"/>
      <c r="O698" s="45"/>
    </row>
    <row r="699">
      <c r="A699" s="48"/>
      <c r="C699" s="60"/>
      <c r="D699" s="46"/>
      <c r="F699" s="46"/>
      <c r="G699" s="46"/>
      <c r="H699" s="46"/>
      <c r="I699" s="46"/>
      <c r="O699" s="45"/>
    </row>
    <row r="700">
      <c r="A700" s="48"/>
      <c r="C700" s="60"/>
      <c r="D700" s="46"/>
      <c r="F700" s="46"/>
      <c r="G700" s="46"/>
      <c r="H700" s="46"/>
      <c r="I700" s="46"/>
      <c r="O700" s="45"/>
    </row>
    <row r="701">
      <c r="A701" s="48"/>
      <c r="C701" s="60"/>
      <c r="D701" s="46"/>
      <c r="F701" s="46"/>
      <c r="G701" s="46"/>
      <c r="H701" s="46"/>
      <c r="I701" s="46"/>
      <c r="O701" s="45"/>
    </row>
    <row r="702">
      <c r="A702" s="48"/>
      <c r="C702" s="60"/>
      <c r="D702" s="46"/>
      <c r="F702" s="46"/>
      <c r="G702" s="46"/>
      <c r="H702" s="46"/>
      <c r="I702" s="46"/>
      <c r="O702" s="45"/>
    </row>
    <row r="703">
      <c r="A703" s="48"/>
      <c r="C703" s="60"/>
      <c r="D703" s="46"/>
      <c r="F703" s="46"/>
      <c r="G703" s="46"/>
      <c r="H703" s="46"/>
      <c r="I703" s="46"/>
      <c r="O703" s="45"/>
    </row>
    <row r="704">
      <c r="A704" s="48"/>
      <c r="C704" s="60"/>
      <c r="D704" s="46"/>
      <c r="F704" s="46"/>
      <c r="G704" s="46"/>
      <c r="H704" s="46"/>
      <c r="I704" s="46"/>
      <c r="O704" s="45"/>
    </row>
    <row r="705">
      <c r="A705" s="48"/>
      <c r="C705" s="60"/>
      <c r="D705" s="46"/>
      <c r="F705" s="46"/>
      <c r="G705" s="46"/>
      <c r="H705" s="46"/>
      <c r="I705" s="46"/>
      <c r="O705" s="45"/>
    </row>
    <row r="706">
      <c r="A706" s="48"/>
      <c r="C706" s="60"/>
      <c r="D706" s="46"/>
      <c r="F706" s="46"/>
      <c r="G706" s="46"/>
      <c r="H706" s="46"/>
      <c r="I706" s="46"/>
      <c r="O706" s="45"/>
    </row>
    <row r="707">
      <c r="A707" s="48"/>
      <c r="C707" s="60"/>
      <c r="D707" s="46"/>
      <c r="F707" s="46"/>
      <c r="G707" s="46"/>
      <c r="H707" s="46"/>
      <c r="I707" s="46"/>
      <c r="O707" s="45"/>
    </row>
    <row r="708">
      <c r="A708" s="48"/>
      <c r="C708" s="60"/>
      <c r="D708" s="46"/>
      <c r="F708" s="46"/>
      <c r="G708" s="46"/>
      <c r="H708" s="46"/>
      <c r="I708" s="46"/>
      <c r="O708" s="45"/>
    </row>
    <row r="709">
      <c r="A709" s="48"/>
      <c r="C709" s="60"/>
      <c r="D709" s="46"/>
      <c r="F709" s="46"/>
      <c r="G709" s="46"/>
      <c r="H709" s="46"/>
      <c r="I709" s="46"/>
      <c r="O709" s="45"/>
    </row>
    <row r="710">
      <c r="A710" s="48"/>
      <c r="C710" s="60"/>
      <c r="D710" s="46"/>
      <c r="F710" s="46"/>
      <c r="G710" s="46"/>
      <c r="H710" s="46"/>
      <c r="I710" s="46"/>
      <c r="O710" s="45"/>
    </row>
    <row r="711">
      <c r="A711" s="48"/>
      <c r="C711" s="60"/>
      <c r="D711" s="46"/>
      <c r="F711" s="46"/>
      <c r="G711" s="46"/>
      <c r="H711" s="46"/>
      <c r="I711" s="46"/>
      <c r="O711" s="45"/>
    </row>
    <row r="712">
      <c r="A712" s="48"/>
      <c r="C712" s="60"/>
      <c r="D712" s="46"/>
      <c r="F712" s="46"/>
      <c r="G712" s="46"/>
      <c r="H712" s="46"/>
      <c r="I712" s="46"/>
      <c r="O712" s="45"/>
    </row>
    <row r="713">
      <c r="A713" s="48"/>
      <c r="C713" s="60"/>
      <c r="D713" s="46"/>
      <c r="F713" s="46"/>
      <c r="G713" s="46"/>
      <c r="H713" s="46"/>
      <c r="I713" s="46"/>
      <c r="O713" s="45"/>
    </row>
    <row r="714">
      <c r="A714" s="48"/>
      <c r="C714" s="60"/>
      <c r="D714" s="46"/>
      <c r="F714" s="46"/>
      <c r="G714" s="46"/>
      <c r="H714" s="46"/>
      <c r="I714" s="46"/>
      <c r="O714" s="45"/>
    </row>
    <row r="715">
      <c r="A715" s="48"/>
      <c r="C715" s="60"/>
      <c r="D715" s="46"/>
      <c r="F715" s="46"/>
      <c r="G715" s="46"/>
      <c r="H715" s="46"/>
      <c r="I715" s="46"/>
      <c r="O715" s="45"/>
    </row>
    <row r="716">
      <c r="A716" s="48"/>
      <c r="C716" s="60"/>
      <c r="D716" s="46"/>
      <c r="F716" s="46"/>
      <c r="G716" s="46"/>
      <c r="H716" s="46"/>
      <c r="I716" s="46"/>
      <c r="O716" s="45"/>
    </row>
    <row r="717">
      <c r="A717" s="48"/>
      <c r="C717" s="60"/>
      <c r="D717" s="46"/>
      <c r="F717" s="46"/>
      <c r="G717" s="46"/>
      <c r="H717" s="46"/>
      <c r="I717" s="46"/>
      <c r="O717" s="45"/>
    </row>
    <row r="718">
      <c r="A718" s="48"/>
      <c r="C718" s="60"/>
      <c r="D718" s="46"/>
      <c r="F718" s="46"/>
      <c r="G718" s="46"/>
      <c r="H718" s="46"/>
      <c r="I718" s="46"/>
      <c r="O718" s="45"/>
    </row>
    <row r="719">
      <c r="A719" s="48"/>
      <c r="C719" s="60"/>
      <c r="D719" s="46"/>
      <c r="F719" s="46"/>
      <c r="G719" s="46"/>
      <c r="H719" s="46"/>
      <c r="I719" s="46"/>
      <c r="O719" s="45"/>
    </row>
    <row r="720">
      <c r="A720" s="48"/>
      <c r="C720" s="60"/>
      <c r="D720" s="46"/>
      <c r="F720" s="46"/>
      <c r="G720" s="46"/>
      <c r="H720" s="46"/>
      <c r="I720" s="46"/>
      <c r="O720" s="45"/>
    </row>
    <row r="721">
      <c r="A721" s="48"/>
      <c r="C721" s="60"/>
      <c r="D721" s="46"/>
      <c r="F721" s="46"/>
      <c r="G721" s="46"/>
      <c r="H721" s="46"/>
      <c r="I721" s="46"/>
      <c r="O721" s="45"/>
    </row>
    <row r="722">
      <c r="A722" s="48"/>
      <c r="C722" s="60"/>
      <c r="D722" s="46"/>
      <c r="F722" s="46"/>
      <c r="G722" s="46"/>
      <c r="H722" s="46"/>
      <c r="I722" s="46"/>
      <c r="O722" s="45"/>
    </row>
    <row r="723">
      <c r="A723" s="48"/>
      <c r="C723" s="60"/>
      <c r="D723" s="46"/>
      <c r="F723" s="46"/>
      <c r="G723" s="46"/>
      <c r="H723" s="46"/>
      <c r="I723" s="46"/>
      <c r="O723" s="45"/>
    </row>
    <row r="724">
      <c r="A724" s="48"/>
      <c r="C724" s="60"/>
      <c r="D724" s="46"/>
      <c r="F724" s="46"/>
      <c r="G724" s="46"/>
      <c r="H724" s="46"/>
      <c r="I724" s="46"/>
      <c r="O724" s="45"/>
    </row>
    <row r="725">
      <c r="A725" s="48"/>
      <c r="C725" s="60"/>
      <c r="D725" s="46"/>
      <c r="F725" s="46"/>
      <c r="G725" s="46"/>
      <c r="H725" s="46"/>
      <c r="I725" s="46"/>
      <c r="O725" s="45"/>
    </row>
    <row r="726">
      <c r="A726" s="48"/>
      <c r="C726" s="60"/>
      <c r="D726" s="46"/>
      <c r="F726" s="46"/>
      <c r="G726" s="46"/>
      <c r="H726" s="46"/>
      <c r="I726" s="46"/>
      <c r="O726" s="45"/>
    </row>
    <row r="727">
      <c r="A727" s="48"/>
      <c r="C727" s="60"/>
      <c r="D727" s="46"/>
      <c r="F727" s="46"/>
      <c r="G727" s="46"/>
      <c r="H727" s="46"/>
      <c r="I727" s="46"/>
      <c r="O727" s="45"/>
    </row>
    <row r="728">
      <c r="A728" s="48"/>
      <c r="C728" s="60"/>
      <c r="D728" s="46"/>
      <c r="F728" s="46"/>
      <c r="G728" s="46"/>
      <c r="H728" s="46"/>
      <c r="I728" s="46"/>
      <c r="O728" s="45"/>
    </row>
    <row r="729">
      <c r="A729" s="48"/>
      <c r="C729" s="60"/>
      <c r="D729" s="46"/>
      <c r="F729" s="46"/>
      <c r="G729" s="46"/>
      <c r="H729" s="46"/>
      <c r="I729" s="46"/>
      <c r="O729" s="45"/>
    </row>
    <row r="730">
      <c r="A730" s="48"/>
      <c r="C730" s="60"/>
      <c r="D730" s="46"/>
      <c r="F730" s="46"/>
      <c r="G730" s="46"/>
      <c r="H730" s="46"/>
      <c r="I730" s="46"/>
      <c r="O730" s="45"/>
    </row>
    <row r="731">
      <c r="A731" s="48"/>
      <c r="C731" s="60"/>
      <c r="D731" s="46"/>
      <c r="F731" s="46"/>
      <c r="G731" s="46"/>
      <c r="H731" s="46"/>
      <c r="I731" s="46"/>
      <c r="O731" s="45"/>
    </row>
    <row r="732">
      <c r="A732" s="48"/>
      <c r="C732" s="60"/>
      <c r="D732" s="46"/>
      <c r="F732" s="46"/>
      <c r="G732" s="46"/>
      <c r="H732" s="46"/>
      <c r="I732" s="46"/>
      <c r="O732" s="45"/>
    </row>
    <row r="733">
      <c r="A733" s="48"/>
      <c r="C733" s="60"/>
      <c r="D733" s="46"/>
      <c r="F733" s="46"/>
      <c r="G733" s="46"/>
      <c r="H733" s="46"/>
      <c r="I733" s="46"/>
      <c r="O733" s="45"/>
    </row>
    <row r="734">
      <c r="A734" s="48"/>
      <c r="C734" s="60"/>
      <c r="D734" s="46"/>
      <c r="F734" s="46"/>
      <c r="G734" s="46"/>
      <c r="H734" s="46"/>
      <c r="I734" s="46"/>
      <c r="O734" s="45"/>
    </row>
    <row r="735">
      <c r="A735" s="48"/>
      <c r="C735" s="60"/>
      <c r="D735" s="46"/>
      <c r="F735" s="46"/>
      <c r="G735" s="46"/>
      <c r="H735" s="46"/>
      <c r="I735" s="46"/>
      <c r="O735" s="45"/>
    </row>
    <row r="736">
      <c r="A736" s="48"/>
      <c r="C736" s="60"/>
      <c r="D736" s="46"/>
      <c r="F736" s="46"/>
      <c r="G736" s="46"/>
      <c r="H736" s="46"/>
      <c r="I736" s="46"/>
      <c r="O736" s="45"/>
    </row>
    <row r="737">
      <c r="A737" s="48"/>
      <c r="C737" s="60"/>
      <c r="D737" s="46"/>
      <c r="F737" s="46"/>
      <c r="G737" s="46"/>
      <c r="H737" s="46"/>
      <c r="I737" s="46"/>
      <c r="O737" s="45"/>
    </row>
    <row r="738">
      <c r="A738" s="48"/>
      <c r="C738" s="60"/>
      <c r="D738" s="46"/>
      <c r="F738" s="46"/>
      <c r="G738" s="46"/>
      <c r="H738" s="46"/>
      <c r="I738" s="46"/>
      <c r="O738" s="45"/>
    </row>
    <row r="739">
      <c r="A739" s="48"/>
      <c r="C739" s="60"/>
      <c r="D739" s="46"/>
      <c r="F739" s="46"/>
      <c r="G739" s="46"/>
      <c r="H739" s="46"/>
      <c r="I739" s="46"/>
      <c r="O739" s="45"/>
    </row>
    <row r="740">
      <c r="A740" s="48"/>
      <c r="C740" s="60"/>
      <c r="D740" s="46"/>
      <c r="F740" s="46"/>
      <c r="G740" s="46"/>
      <c r="H740" s="46"/>
      <c r="I740" s="46"/>
      <c r="O740" s="45"/>
    </row>
    <row r="741">
      <c r="A741" s="48"/>
      <c r="C741" s="60"/>
      <c r="D741" s="46"/>
      <c r="F741" s="46"/>
      <c r="G741" s="46"/>
      <c r="H741" s="46"/>
      <c r="I741" s="46"/>
      <c r="O741" s="45"/>
    </row>
    <row r="742">
      <c r="A742" s="48"/>
      <c r="C742" s="60"/>
      <c r="D742" s="46"/>
      <c r="F742" s="46"/>
      <c r="G742" s="46"/>
      <c r="H742" s="46"/>
      <c r="I742" s="46"/>
      <c r="O742" s="45"/>
    </row>
    <row r="743">
      <c r="A743" s="48"/>
      <c r="C743" s="60"/>
      <c r="D743" s="46"/>
      <c r="F743" s="46"/>
      <c r="G743" s="46"/>
      <c r="H743" s="46"/>
      <c r="I743" s="46"/>
      <c r="O743" s="45"/>
    </row>
    <row r="744">
      <c r="A744" s="48"/>
      <c r="C744" s="60"/>
      <c r="D744" s="46"/>
      <c r="F744" s="46"/>
      <c r="G744" s="46"/>
      <c r="H744" s="46"/>
      <c r="I744" s="46"/>
      <c r="O744" s="45"/>
    </row>
    <row r="745">
      <c r="A745" s="48"/>
      <c r="C745" s="60"/>
      <c r="D745" s="46"/>
      <c r="F745" s="46"/>
      <c r="G745" s="46"/>
      <c r="H745" s="46"/>
      <c r="I745" s="46"/>
      <c r="O745" s="45"/>
    </row>
    <row r="746">
      <c r="A746" s="48"/>
      <c r="C746" s="60"/>
      <c r="D746" s="46"/>
      <c r="F746" s="46"/>
      <c r="G746" s="46"/>
      <c r="H746" s="46"/>
      <c r="I746" s="46"/>
      <c r="O746" s="45"/>
    </row>
    <row r="747">
      <c r="A747" s="48"/>
      <c r="C747" s="60"/>
      <c r="D747" s="46"/>
      <c r="F747" s="46"/>
      <c r="G747" s="46"/>
      <c r="H747" s="46"/>
      <c r="I747" s="46"/>
      <c r="O747" s="45"/>
    </row>
    <row r="748">
      <c r="A748" s="48"/>
      <c r="C748" s="60"/>
      <c r="D748" s="46"/>
      <c r="F748" s="46"/>
      <c r="G748" s="46"/>
      <c r="H748" s="46"/>
      <c r="I748" s="46"/>
      <c r="O748" s="45"/>
    </row>
    <row r="749">
      <c r="A749" s="48"/>
      <c r="C749" s="60"/>
      <c r="D749" s="46"/>
      <c r="F749" s="46"/>
      <c r="G749" s="46"/>
      <c r="H749" s="46"/>
      <c r="I749" s="46"/>
      <c r="O749" s="45"/>
    </row>
    <row r="750">
      <c r="A750" s="48"/>
      <c r="C750" s="60"/>
      <c r="D750" s="46"/>
      <c r="F750" s="46"/>
      <c r="G750" s="46"/>
      <c r="H750" s="46"/>
      <c r="I750" s="46"/>
      <c r="O750" s="45"/>
    </row>
    <row r="751">
      <c r="A751" s="48"/>
      <c r="C751" s="60"/>
      <c r="D751" s="46"/>
      <c r="F751" s="46"/>
      <c r="G751" s="46"/>
      <c r="H751" s="46"/>
      <c r="I751" s="46"/>
      <c r="O751" s="45"/>
    </row>
    <row r="752">
      <c r="A752" s="48"/>
      <c r="C752" s="60"/>
      <c r="D752" s="46"/>
      <c r="F752" s="46"/>
      <c r="G752" s="46"/>
      <c r="H752" s="46"/>
      <c r="I752" s="46"/>
      <c r="O752" s="45"/>
    </row>
    <row r="753">
      <c r="A753" s="48"/>
      <c r="C753" s="60"/>
      <c r="D753" s="46"/>
      <c r="F753" s="46"/>
      <c r="G753" s="46"/>
      <c r="H753" s="46"/>
      <c r="I753" s="46"/>
      <c r="O753" s="45"/>
    </row>
    <row r="754">
      <c r="A754" s="48"/>
      <c r="C754" s="60"/>
      <c r="D754" s="46"/>
      <c r="F754" s="46"/>
      <c r="G754" s="46"/>
      <c r="H754" s="46"/>
      <c r="I754" s="46"/>
      <c r="O754" s="45"/>
    </row>
    <row r="755">
      <c r="A755" s="48"/>
      <c r="C755" s="60"/>
      <c r="D755" s="46"/>
      <c r="F755" s="46"/>
      <c r="G755" s="46"/>
      <c r="H755" s="46"/>
      <c r="I755" s="46"/>
      <c r="O755" s="45"/>
    </row>
    <row r="756">
      <c r="A756" s="48"/>
      <c r="C756" s="60"/>
      <c r="D756" s="46"/>
      <c r="F756" s="46"/>
      <c r="G756" s="46"/>
      <c r="H756" s="46"/>
      <c r="I756" s="46"/>
      <c r="O756" s="45"/>
    </row>
    <row r="757">
      <c r="A757" s="48"/>
      <c r="C757" s="60"/>
      <c r="D757" s="46"/>
      <c r="F757" s="46"/>
      <c r="G757" s="46"/>
      <c r="H757" s="46"/>
      <c r="I757" s="46"/>
      <c r="O757" s="45"/>
    </row>
    <row r="758">
      <c r="A758" s="48"/>
      <c r="C758" s="60"/>
      <c r="D758" s="46"/>
      <c r="F758" s="46"/>
      <c r="G758" s="46"/>
      <c r="H758" s="46"/>
      <c r="I758" s="46"/>
      <c r="O758" s="45"/>
    </row>
    <row r="759">
      <c r="A759" s="48"/>
      <c r="C759" s="60"/>
      <c r="D759" s="46"/>
      <c r="F759" s="46"/>
      <c r="G759" s="46"/>
      <c r="H759" s="46"/>
      <c r="I759" s="46"/>
      <c r="O759" s="45"/>
    </row>
    <row r="760">
      <c r="A760" s="48"/>
      <c r="C760" s="60"/>
      <c r="D760" s="46"/>
      <c r="F760" s="46"/>
      <c r="G760" s="46"/>
      <c r="H760" s="46"/>
      <c r="I760" s="46"/>
      <c r="O760" s="45"/>
    </row>
    <row r="761">
      <c r="A761" s="48"/>
      <c r="C761" s="60"/>
      <c r="D761" s="46"/>
      <c r="F761" s="46"/>
      <c r="G761" s="46"/>
      <c r="H761" s="46"/>
      <c r="I761" s="46"/>
      <c r="O761" s="45"/>
    </row>
    <row r="762">
      <c r="A762" s="48"/>
      <c r="C762" s="60"/>
      <c r="D762" s="46"/>
      <c r="F762" s="46"/>
      <c r="G762" s="46"/>
      <c r="H762" s="46"/>
      <c r="I762" s="46"/>
      <c r="O762" s="45"/>
    </row>
    <row r="763">
      <c r="A763" s="48"/>
      <c r="C763" s="60"/>
      <c r="D763" s="46"/>
      <c r="F763" s="46"/>
      <c r="G763" s="46"/>
      <c r="H763" s="46"/>
      <c r="I763" s="46"/>
      <c r="O763" s="45"/>
    </row>
    <row r="764">
      <c r="A764" s="48"/>
      <c r="C764" s="60"/>
      <c r="D764" s="46"/>
      <c r="F764" s="46"/>
      <c r="G764" s="46"/>
      <c r="H764" s="46"/>
      <c r="I764" s="46"/>
      <c r="O764" s="45"/>
    </row>
    <row r="765">
      <c r="A765" s="48"/>
      <c r="C765" s="60"/>
      <c r="D765" s="46"/>
      <c r="F765" s="46"/>
      <c r="G765" s="46"/>
      <c r="H765" s="46"/>
      <c r="I765" s="46"/>
      <c r="O765" s="45"/>
    </row>
    <row r="766">
      <c r="A766" s="48"/>
      <c r="C766" s="60"/>
      <c r="D766" s="46"/>
      <c r="F766" s="46"/>
      <c r="G766" s="46"/>
      <c r="H766" s="46"/>
      <c r="I766" s="46"/>
      <c r="O766" s="45"/>
    </row>
    <row r="767">
      <c r="A767" s="48"/>
      <c r="C767" s="60"/>
      <c r="D767" s="46"/>
      <c r="F767" s="46"/>
      <c r="G767" s="46"/>
      <c r="H767" s="46"/>
      <c r="I767" s="46"/>
      <c r="O767" s="45"/>
    </row>
    <row r="768">
      <c r="A768" s="48"/>
      <c r="C768" s="60"/>
      <c r="D768" s="46"/>
      <c r="F768" s="46"/>
      <c r="G768" s="46"/>
      <c r="H768" s="46"/>
      <c r="I768" s="46"/>
      <c r="O768" s="45"/>
    </row>
    <row r="769">
      <c r="A769" s="48"/>
      <c r="C769" s="60"/>
      <c r="D769" s="46"/>
      <c r="F769" s="46"/>
      <c r="G769" s="46"/>
      <c r="H769" s="46"/>
      <c r="I769" s="46"/>
      <c r="O769" s="45"/>
    </row>
    <row r="770">
      <c r="A770" s="48"/>
      <c r="C770" s="60"/>
      <c r="D770" s="46"/>
      <c r="F770" s="46"/>
      <c r="G770" s="46"/>
      <c r="H770" s="46"/>
      <c r="I770" s="46"/>
      <c r="O770" s="45"/>
    </row>
    <row r="771">
      <c r="A771" s="48"/>
      <c r="C771" s="60"/>
      <c r="D771" s="46"/>
      <c r="F771" s="46"/>
      <c r="G771" s="46"/>
      <c r="H771" s="46"/>
      <c r="I771" s="46"/>
      <c r="O771" s="45"/>
    </row>
    <row r="772">
      <c r="A772" s="48"/>
      <c r="C772" s="60"/>
      <c r="D772" s="46"/>
      <c r="F772" s="46"/>
      <c r="G772" s="46"/>
      <c r="H772" s="46"/>
      <c r="I772" s="46"/>
      <c r="O772" s="45"/>
    </row>
    <row r="773">
      <c r="A773" s="48"/>
      <c r="C773" s="60"/>
      <c r="D773" s="46"/>
      <c r="F773" s="46"/>
      <c r="G773" s="46"/>
      <c r="H773" s="46"/>
      <c r="I773" s="46"/>
      <c r="O773" s="45"/>
    </row>
    <row r="774">
      <c r="A774" s="48"/>
      <c r="C774" s="60"/>
      <c r="D774" s="46"/>
      <c r="F774" s="46"/>
      <c r="G774" s="46"/>
      <c r="H774" s="46"/>
      <c r="I774" s="46"/>
      <c r="O774" s="45"/>
    </row>
    <row r="775">
      <c r="A775" s="48"/>
      <c r="C775" s="60"/>
      <c r="D775" s="46"/>
      <c r="F775" s="46"/>
      <c r="G775" s="46"/>
      <c r="H775" s="46"/>
      <c r="I775" s="46"/>
      <c r="O775" s="45"/>
    </row>
    <row r="776">
      <c r="A776" s="48"/>
      <c r="C776" s="60"/>
      <c r="D776" s="46"/>
      <c r="F776" s="46"/>
      <c r="G776" s="46"/>
      <c r="H776" s="46"/>
      <c r="I776" s="46"/>
      <c r="O776" s="45"/>
    </row>
    <row r="777">
      <c r="A777" s="48"/>
      <c r="C777" s="60"/>
      <c r="D777" s="46"/>
      <c r="F777" s="46"/>
      <c r="G777" s="46"/>
      <c r="H777" s="46"/>
      <c r="I777" s="46"/>
      <c r="O777" s="45"/>
    </row>
    <row r="778">
      <c r="A778" s="48"/>
      <c r="C778" s="60"/>
      <c r="D778" s="46"/>
      <c r="F778" s="46"/>
      <c r="G778" s="46"/>
      <c r="H778" s="46"/>
      <c r="I778" s="46"/>
      <c r="O778" s="45"/>
    </row>
    <row r="779">
      <c r="A779" s="48"/>
      <c r="C779" s="60"/>
      <c r="D779" s="46"/>
      <c r="F779" s="46"/>
      <c r="G779" s="46"/>
      <c r="H779" s="46"/>
      <c r="I779" s="46"/>
      <c r="O779" s="45"/>
    </row>
    <row r="780">
      <c r="A780" s="48"/>
      <c r="C780" s="60"/>
      <c r="D780" s="46"/>
      <c r="F780" s="46"/>
      <c r="G780" s="46"/>
      <c r="H780" s="46"/>
      <c r="I780" s="46"/>
      <c r="O780" s="45"/>
    </row>
    <row r="781">
      <c r="A781" s="48"/>
      <c r="C781" s="60"/>
      <c r="D781" s="46"/>
      <c r="F781" s="46"/>
      <c r="G781" s="46"/>
      <c r="H781" s="46"/>
      <c r="I781" s="46"/>
      <c r="O781" s="45"/>
    </row>
    <row r="782">
      <c r="A782" s="48"/>
      <c r="C782" s="60"/>
      <c r="D782" s="46"/>
      <c r="F782" s="46"/>
      <c r="G782" s="46"/>
      <c r="H782" s="46"/>
      <c r="I782" s="46"/>
      <c r="O782" s="45"/>
    </row>
    <row r="783">
      <c r="A783" s="48"/>
      <c r="C783" s="60"/>
      <c r="D783" s="46"/>
      <c r="F783" s="46"/>
      <c r="G783" s="46"/>
      <c r="H783" s="46"/>
      <c r="I783" s="46"/>
      <c r="O783" s="45"/>
    </row>
    <row r="784">
      <c r="A784" s="48"/>
      <c r="C784" s="60"/>
      <c r="D784" s="46"/>
      <c r="F784" s="46"/>
      <c r="G784" s="46"/>
      <c r="H784" s="46"/>
      <c r="I784" s="46"/>
      <c r="O784" s="45"/>
    </row>
    <row r="785">
      <c r="A785" s="48"/>
      <c r="C785" s="60"/>
      <c r="D785" s="46"/>
      <c r="F785" s="46"/>
      <c r="G785" s="46"/>
      <c r="H785" s="46"/>
      <c r="I785" s="46"/>
      <c r="O785" s="45"/>
    </row>
    <row r="786">
      <c r="A786" s="48"/>
      <c r="C786" s="60"/>
      <c r="D786" s="46"/>
      <c r="F786" s="46"/>
      <c r="G786" s="46"/>
      <c r="H786" s="46"/>
      <c r="I786" s="46"/>
      <c r="O786" s="45"/>
    </row>
    <row r="787">
      <c r="A787" s="48"/>
      <c r="C787" s="60"/>
      <c r="D787" s="46"/>
      <c r="F787" s="46"/>
      <c r="G787" s="46"/>
      <c r="H787" s="46"/>
      <c r="I787" s="46"/>
      <c r="O787" s="45"/>
    </row>
    <row r="788">
      <c r="A788" s="48"/>
      <c r="C788" s="60"/>
      <c r="D788" s="46"/>
      <c r="F788" s="46"/>
      <c r="G788" s="46"/>
      <c r="H788" s="46"/>
      <c r="I788" s="46"/>
      <c r="O788" s="45"/>
    </row>
    <row r="789">
      <c r="A789" s="48"/>
      <c r="C789" s="60"/>
      <c r="D789" s="46"/>
      <c r="F789" s="46"/>
      <c r="G789" s="46"/>
      <c r="H789" s="46"/>
      <c r="I789" s="46"/>
      <c r="O789" s="45"/>
    </row>
    <row r="790">
      <c r="A790" s="48"/>
      <c r="C790" s="60"/>
      <c r="D790" s="46"/>
      <c r="F790" s="46"/>
      <c r="G790" s="46"/>
      <c r="H790" s="46"/>
      <c r="I790" s="46"/>
      <c r="O790" s="45"/>
    </row>
    <row r="791">
      <c r="A791" s="48"/>
      <c r="C791" s="60"/>
      <c r="D791" s="46"/>
      <c r="F791" s="46"/>
      <c r="G791" s="46"/>
      <c r="H791" s="46"/>
      <c r="I791" s="46"/>
      <c r="O791" s="45"/>
    </row>
    <row r="792">
      <c r="A792" s="48"/>
      <c r="C792" s="60"/>
      <c r="D792" s="46"/>
      <c r="F792" s="46"/>
      <c r="G792" s="46"/>
      <c r="H792" s="46"/>
      <c r="I792" s="46"/>
      <c r="O792" s="45"/>
    </row>
    <row r="793">
      <c r="A793" s="48"/>
      <c r="C793" s="60"/>
      <c r="D793" s="46"/>
      <c r="F793" s="46"/>
      <c r="G793" s="46"/>
      <c r="H793" s="46"/>
      <c r="I793" s="46"/>
      <c r="O793" s="45"/>
    </row>
    <row r="794">
      <c r="A794" s="48"/>
      <c r="C794" s="60"/>
      <c r="D794" s="46"/>
      <c r="F794" s="46"/>
      <c r="G794" s="46"/>
      <c r="H794" s="46"/>
      <c r="I794" s="46"/>
      <c r="O794" s="45"/>
    </row>
    <row r="795">
      <c r="A795" s="48"/>
      <c r="C795" s="60"/>
      <c r="D795" s="46"/>
      <c r="F795" s="46"/>
      <c r="G795" s="46"/>
      <c r="H795" s="46"/>
      <c r="I795" s="46"/>
      <c r="O795" s="45"/>
    </row>
    <row r="796">
      <c r="A796" s="48"/>
      <c r="C796" s="60"/>
      <c r="D796" s="46"/>
      <c r="F796" s="46"/>
      <c r="G796" s="46"/>
      <c r="H796" s="46"/>
      <c r="I796" s="46"/>
      <c r="O796" s="45"/>
    </row>
    <row r="797">
      <c r="A797" s="48"/>
      <c r="C797" s="60"/>
      <c r="D797" s="46"/>
      <c r="F797" s="46"/>
      <c r="G797" s="46"/>
      <c r="H797" s="46"/>
      <c r="I797" s="46"/>
      <c r="O797" s="45"/>
    </row>
    <row r="798">
      <c r="A798" s="48"/>
      <c r="C798" s="60"/>
      <c r="D798" s="46"/>
      <c r="F798" s="46"/>
      <c r="G798" s="46"/>
      <c r="H798" s="46"/>
      <c r="I798" s="46"/>
      <c r="O798" s="45"/>
    </row>
    <row r="799">
      <c r="A799" s="48"/>
      <c r="C799" s="60"/>
      <c r="D799" s="46"/>
      <c r="F799" s="46"/>
      <c r="G799" s="46"/>
      <c r="H799" s="46"/>
      <c r="I799" s="46"/>
      <c r="O799" s="45"/>
    </row>
    <row r="800">
      <c r="A800" s="48"/>
      <c r="C800" s="60"/>
      <c r="D800" s="46"/>
      <c r="F800" s="46"/>
      <c r="G800" s="46"/>
      <c r="H800" s="46"/>
      <c r="I800" s="46"/>
      <c r="O800" s="45"/>
    </row>
    <row r="801">
      <c r="A801" s="48"/>
      <c r="C801" s="60"/>
      <c r="D801" s="46"/>
      <c r="F801" s="46"/>
      <c r="G801" s="46"/>
      <c r="H801" s="46"/>
      <c r="I801" s="46"/>
      <c r="O801" s="45"/>
    </row>
    <row r="802">
      <c r="A802" s="48"/>
      <c r="C802" s="60"/>
      <c r="D802" s="46"/>
      <c r="F802" s="46"/>
      <c r="G802" s="46"/>
      <c r="H802" s="46"/>
      <c r="I802" s="46"/>
      <c r="O802" s="45"/>
    </row>
    <row r="803">
      <c r="A803" s="48"/>
      <c r="C803" s="60"/>
      <c r="D803" s="46"/>
      <c r="F803" s="46"/>
      <c r="G803" s="46"/>
      <c r="H803" s="46"/>
      <c r="I803" s="46"/>
      <c r="O803" s="45"/>
    </row>
    <row r="804">
      <c r="A804" s="48"/>
      <c r="C804" s="60"/>
      <c r="D804" s="46"/>
      <c r="F804" s="46"/>
      <c r="G804" s="46"/>
      <c r="H804" s="46"/>
      <c r="I804" s="46"/>
      <c r="O804" s="45"/>
    </row>
    <row r="805">
      <c r="A805" s="48"/>
      <c r="C805" s="60"/>
      <c r="D805" s="46"/>
      <c r="F805" s="46"/>
      <c r="G805" s="46"/>
      <c r="H805" s="46"/>
      <c r="I805" s="46"/>
      <c r="O805" s="45"/>
    </row>
    <row r="806">
      <c r="A806" s="48"/>
      <c r="C806" s="60"/>
      <c r="D806" s="46"/>
      <c r="F806" s="46"/>
      <c r="G806" s="46"/>
      <c r="H806" s="46"/>
      <c r="I806" s="46"/>
      <c r="O806" s="45"/>
    </row>
    <row r="807">
      <c r="A807" s="48"/>
      <c r="C807" s="60"/>
      <c r="D807" s="46"/>
      <c r="F807" s="46"/>
      <c r="G807" s="46"/>
      <c r="H807" s="46"/>
      <c r="I807" s="46"/>
      <c r="O807" s="45"/>
    </row>
    <row r="808">
      <c r="A808" s="48"/>
      <c r="C808" s="60"/>
      <c r="D808" s="46"/>
      <c r="F808" s="46"/>
      <c r="G808" s="46"/>
      <c r="H808" s="46"/>
      <c r="I808" s="46"/>
      <c r="O808" s="45"/>
    </row>
    <row r="809">
      <c r="A809" s="48"/>
      <c r="C809" s="60"/>
      <c r="D809" s="46"/>
      <c r="F809" s="46"/>
      <c r="G809" s="46"/>
      <c r="H809" s="46"/>
      <c r="I809" s="46"/>
      <c r="O809" s="45"/>
    </row>
    <row r="810">
      <c r="A810" s="48"/>
      <c r="C810" s="60"/>
      <c r="D810" s="46"/>
      <c r="F810" s="46"/>
      <c r="G810" s="46"/>
      <c r="H810" s="46"/>
      <c r="I810" s="46"/>
      <c r="O810" s="45"/>
    </row>
    <row r="811">
      <c r="A811" s="48"/>
      <c r="C811" s="60"/>
      <c r="D811" s="46"/>
      <c r="F811" s="46"/>
      <c r="G811" s="46"/>
      <c r="H811" s="46"/>
      <c r="I811" s="46"/>
      <c r="O811" s="45"/>
    </row>
    <row r="812">
      <c r="A812" s="48"/>
      <c r="C812" s="60"/>
      <c r="D812" s="46"/>
      <c r="F812" s="46"/>
      <c r="G812" s="46"/>
      <c r="H812" s="46"/>
      <c r="I812" s="46"/>
      <c r="O812" s="45"/>
    </row>
    <row r="813">
      <c r="A813" s="48"/>
      <c r="C813" s="60"/>
      <c r="D813" s="46"/>
      <c r="F813" s="46"/>
      <c r="G813" s="46"/>
      <c r="H813" s="46"/>
      <c r="I813" s="46"/>
      <c r="O813" s="45"/>
    </row>
    <row r="814">
      <c r="A814" s="48"/>
      <c r="C814" s="60"/>
      <c r="D814" s="46"/>
      <c r="F814" s="46"/>
      <c r="G814" s="46"/>
      <c r="H814" s="46"/>
      <c r="I814" s="46"/>
      <c r="O814" s="45"/>
    </row>
    <row r="815">
      <c r="A815" s="48"/>
      <c r="C815" s="60"/>
      <c r="D815" s="46"/>
      <c r="F815" s="46"/>
      <c r="G815" s="46"/>
      <c r="H815" s="46"/>
      <c r="I815" s="46"/>
      <c r="O815" s="45"/>
    </row>
    <row r="816">
      <c r="A816" s="48"/>
      <c r="C816" s="60"/>
      <c r="D816" s="46"/>
      <c r="F816" s="46"/>
      <c r="G816" s="46"/>
      <c r="H816" s="46"/>
      <c r="I816" s="46"/>
      <c r="O816" s="45"/>
    </row>
    <row r="817">
      <c r="A817" s="48"/>
      <c r="C817" s="60"/>
      <c r="D817" s="46"/>
      <c r="F817" s="46"/>
      <c r="G817" s="46"/>
      <c r="H817" s="46"/>
      <c r="I817" s="46"/>
      <c r="O817" s="45"/>
    </row>
    <row r="818">
      <c r="A818" s="48"/>
      <c r="C818" s="60"/>
      <c r="D818" s="46"/>
      <c r="F818" s="46"/>
      <c r="G818" s="46"/>
      <c r="H818" s="46"/>
      <c r="I818" s="46"/>
      <c r="O818" s="45"/>
    </row>
    <row r="819">
      <c r="A819" s="48"/>
      <c r="C819" s="60"/>
      <c r="D819" s="46"/>
      <c r="F819" s="46"/>
      <c r="G819" s="46"/>
      <c r="H819" s="46"/>
      <c r="I819" s="46"/>
      <c r="O819" s="45"/>
    </row>
    <row r="820">
      <c r="A820" s="48"/>
      <c r="C820" s="60"/>
      <c r="D820" s="46"/>
      <c r="F820" s="46"/>
      <c r="G820" s="46"/>
      <c r="H820" s="46"/>
      <c r="I820" s="46"/>
      <c r="O820" s="45"/>
    </row>
    <row r="821">
      <c r="A821" s="48"/>
      <c r="C821" s="60"/>
      <c r="D821" s="46"/>
      <c r="F821" s="46"/>
      <c r="G821" s="46"/>
      <c r="H821" s="46"/>
      <c r="I821" s="46"/>
      <c r="O821" s="45"/>
    </row>
    <row r="822">
      <c r="A822" s="48"/>
      <c r="C822" s="60"/>
      <c r="D822" s="46"/>
      <c r="F822" s="46"/>
      <c r="G822" s="46"/>
      <c r="H822" s="46"/>
      <c r="I822" s="46"/>
      <c r="O822" s="45"/>
    </row>
    <row r="823">
      <c r="A823" s="48"/>
      <c r="C823" s="60"/>
      <c r="D823" s="46"/>
      <c r="F823" s="46"/>
      <c r="G823" s="46"/>
      <c r="H823" s="46"/>
      <c r="I823" s="46"/>
      <c r="O823" s="45"/>
    </row>
    <row r="824">
      <c r="A824" s="48"/>
      <c r="C824" s="60"/>
      <c r="D824" s="46"/>
      <c r="F824" s="46"/>
      <c r="G824" s="46"/>
      <c r="H824" s="46"/>
      <c r="I824" s="46"/>
      <c r="O824" s="45"/>
    </row>
    <row r="825">
      <c r="A825" s="48"/>
      <c r="C825" s="60"/>
      <c r="D825" s="46"/>
      <c r="F825" s="46"/>
      <c r="G825" s="46"/>
      <c r="H825" s="46"/>
      <c r="I825" s="46"/>
      <c r="O825" s="45"/>
    </row>
    <row r="826">
      <c r="A826" s="48"/>
      <c r="C826" s="60"/>
      <c r="D826" s="46"/>
      <c r="F826" s="46"/>
      <c r="G826" s="46"/>
      <c r="H826" s="46"/>
      <c r="I826" s="46"/>
      <c r="O826" s="45"/>
    </row>
    <row r="827">
      <c r="A827" s="48"/>
      <c r="C827" s="60"/>
      <c r="D827" s="46"/>
      <c r="F827" s="46"/>
      <c r="G827" s="46"/>
      <c r="H827" s="46"/>
      <c r="I827" s="46"/>
      <c r="O827" s="45"/>
    </row>
    <row r="828">
      <c r="A828" s="48"/>
      <c r="C828" s="60"/>
      <c r="D828" s="46"/>
      <c r="F828" s="46"/>
      <c r="G828" s="46"/>
      <c r="H828" s="46"/>
      <c r="I828" s="46"/>
      <c r="O828" s="45"/>
    </row>
    <row r="829">
      <c r="A829" s="48"/>
      <c r="C829" s="60"/>
      <c r="D829" s="46"/>
      <c r="F829" s="46"/>
      <c r="G829" s="46"/>
      <c r="H829" s="46"/>
      <c r="I829" s="46"/>
      <c r="O829" s="45"/>
    </row>
    <row r="830">
      <c r="A830" s="48"/>
      <c r="C830" s="60"/>
      <c r="D830" s="46"/>
      <c r="F830" s="46"/>
      <c r="G830" s="46"/>
      <c r="H830" s="46"/>
      <c r="I830" s="46"/>
      <c r="O830" s="45"/>
    </row>
    <row r="831">
      <c r="A831" s="48"/>
      <c r="C831" s="60"/>
      <c r="D831" s="46"/>
      <c r="F831" s="46"/>
      <c r="G831" s="46"/>
      <c r="H831" s="46"/>
      <c r="I831" s="46"/>
      <c r="O831" s="45"/>
    </row>
    <row r="832">
      <c r="A832" s="48"/>
      <c r="C832" s="60"/>
      <c r="D832" s="46"/>
      <c r="F832" s="46"/>
      <c r="G832" s="46"/>
      <c r="H832" s="46"/>
      <c r="I832" s="46"/>
      <c r="O832" s="45"/>
    </row>
    <row r="833">
      <c r="A833" s="48"/>
      <c r="C833" s="60"/>
      <c r="D833" s="46"/>
      <c r="F833" s="46"/>
      <c r="G833" s="46"/>
      <c r="H833" s="46"/>
      <c r="I833" s="46"/>
      <c r="O833" s="45"/>
    </row>
    <row r="834">
      <c r="A834" s="48"/>
      <c r="C834" s="60"/>
      <c r="D834" s="46"/>
      <c r="F834" s="46"/>
      <c r="G834" s="46"/>
      <c r="H834" s="46"/>
      <c r="I834" s="46"/>
      <c r="O834" s="45"/>
    </row>
    <row r="835">
      <c r="A835" s="48"/>
      <c r="C835" s="60"/>
      <c r="D835" s="46"/>
      <c r="F835" s="46"/>
      <c r="G835" s="46"/>
      <c r="H835" s="46"/>
      <c r="I835" s="46"/>
      <c r="O835" s="45"/>
    </row>
    <row r="836">
      <c r="A836" s="48"/>
      <c r="C836" s="60"/>
      <c r="D836" s="46"/>
      <c r="F836" s="46"/>
      <c r="G836" s="46"/>
      <c r="H836" s="46"/>
      <c r="I836" s="46"/>
      <c r="O836" s="45"/>
    </row>
    <row r="837">
      <c r="A837" s="48"/>
      <c r="C837" s="60"/>
      <c r="D837" s="46"/>
      <c r="F837" s="46"/>
      <c r="G837" s="46"/>
      <c r="H837" s="46"/>
      <c r="I837" s="46"/>
      <c r="O837" s="45"/>
    </row>
    <row r="838">
      <c r="A838" s="48"/>
      <c r="C838" s="60"/>
      <c r="D838" s="46"/>
      <c r="F838" s="46"/>
      <c r="G838" s="46"/>
      <c r="H838" s="46"/>
      <c r="I838" s="46"/>
      <c r="O838" s="45"/>
    </row>
    <row r="839">
      <c r="A839" s="48"/>
      <c r="C839" s="60"/>
      <c r="D839" s="46"/>
      <c r="F839" s="46"/>
      <c r="G839" s="46"/>
      <c r="H839" s="46"/>
      <c r="I839" s="46"/>
      <c r="O839" s="45"/>
    </row>
    <row r="840">
      <c r="A840" s="48"/>
      <c r="C840" s="60"/>
      <c r="D840" s="46"/>
      <c r="F840" s="46"/>
      <c r="G840" s="46"/>
      <c r="H840" s="46"/>
      <c r="I840" s="46"/>
      <c r="O840" s="45"/>
    </row>
    <row r="841">
      <c r="A841" s="48"/>
      <c r="C841" s="60"/>
      <c r="D841" s="46"/>
      <c r="F841" s="46"/>
      <c r="G841" s="46"/>
      <c r="H841" s="46"/>
      <c r="I841" s="46"/>
      <c r="O841" s="45"/>
    </row>
    <row r="842">
      <c r="A842" s="48"/>
      <c r="C842" s="60"/>
      <c r="D842" s="46"/>
      <c r="F842" s="46"/>
      <c r="G842" s="46"/>
      <c r="H842" s="46"/>
      <c r="I842" s="46"/>
      <c r="O842" s="45"/>
    </row>
    <row r="843">
      <c r="A843" s="48"/>
      <c r="C843" s="60"/>
      <c r="D843" s="46"/>
      <c r="F843" s="46"/>
      <c r="G843" s="46"/>
      <c r="H843" s="46"/>
      <c r="I843" s="46"/>
      <c r="O843" s="45"/>
    </row>
    <row r="844">
      <c r="A844" s="48"/>
      <c r="C844" s="60"/>
      <c r="D844" s="46"/>
      <c r="F844" s="46"/>
      <c r="G844" s="46"/>
      <c r="H844" s="46"/>
      <c r="I844" s="46"/>
      <c r="O844" s="45"/>
    </row>
    <row r="845">
      <c r="A845" s="48"/>
      <c r="C845" s="60"/>
      <c r="D845" s="46"/>
      <c r="F845" s="46"/>
      <c r="G845" s="46"/>
      <c r="H845" s="46"/>
      <c r="I845" s="46"/>
      <c r="O845" s="45"/>
    </row>
    <row r="846">
      <c r="A846" s="48"/>
      <c r="C846" s="60"/>
      <c r="D846" s="46"/>
      <c r="F846" s="46"/>
      <c r="G846" s="46"/>
      <c r="H846" s="46"/>
      <c r="I846" s="46"/>
      <c r="O846" s="45"/>
    </row>
    <row r="847">
      <c r="A847" s="48"/>
      <c r="C847" s="60"/>
      <c r="D847" s="46"/>
      <c r="F847" s="46"/>
      <c r="G847" s="46"/>
      <c r="H847" s="46"/>
      <c r="I847" s="46"/>
      <c r="O847" s="45"/>
    </row>
    <row r="848">
      <c r="A848" s="48"/>
      <c r="C848" s="60"/>
      <c r="D848" s="46"/>
      <c r="F848" s="46"/>
      <c r="G848" s="46"/>
      <c r="H848" s="46"/>
      <c r="I848" s="46"/>
      <c r="O848" s="45"/>
    </row>
    <row r="849">
      <c r="A849" s="48"/>
      <c r="C849" s="60"/>
      <c r="D849" s="46"/>
      <c r="F849" s="46"/>
      <c r="G849" s="46"/>
      <c r="H849" s="46"/>
      <c r="I849" s="46"/>
      <c r="O849" s="45"/>
    </row>
    <row r="850">
      <c r="A850" s="48"/>
      <c r="C850" s="60"/>
      <c r="D850" s="46"/>
      <c r="F850" s="46"/>
      <c r="G850" s="46"/>
      <c r="H850" s="46"/>
      <c r="I850" s="46"/>
      <c r="O850" s="45"/>
    </row>
    <row r="851">
      <c r="A851" s="48"/>
      <c r="C851" s="60"/>
      <c r="D851" s="46"/>
      <c r="F851" s="46"/>
      <c r="G851" s="46"/>
      <c r="H851" s="46"/>
      <c r="I851" s="46"/>
      <c r="O851" s="45"/>
    </row>
    <row r="852">
      <c r="A852" s="48"/>
      <c r="C852" s="60"/>
      <c r="D852" s="46"/>
      <c r="F852" s="46"/>
      <c r="G852" s="46"/>
      <c r="H852" s="46"/>
      <c r="I852" s="46"/>
      <c r="O852" s="45"/>
    </row>
    <row r="853">
      <c r="A853" s="48"/>
      <c r="C853" s="60"/>
      <c r="D853" s="46"/>
      <c r="F853" s="46"/>
      <c r="G853" s="46"/>
      <c r="H853" s="46"/>
      <c r="I853" s="46"/>
      <c r="O853" s="45"/>
    </row>
    <row r="854">
      <c r="A854" s="48"/>
      <c r="C854" s="60"/>
      <c r="D854" s="46"/>
      <c r="F854" s="46"/>
      <c r="G854" s="46"/>
      <c r="H854" s="46"/>
      <c r="I854" s="46"/>
      <c r="O854" s="45"/>
    </row>
    <row r="855">
      <c r="A855" s="48"/>
      <c r="C855" s="60"/>
      <c r="D855" s="46"/>
      <c r="F855" s="46"/>
      <c r="G855" s="46"/>
      <c r="H855" s="46"/>
      <c r="I855" s="46"/>
      <c r="O855" s="45"/>
    </row>
    <row r="856">
      <c r="A856" s="48"/>
      <c r="C856" s="60"/>
      <c r="D856" s="46"/>
      <c r="F856" s="46"/>
      <c r="G856" s="46"/>
      <c r="H856" s="46"/>
      <c r="I856" s="46"/>
      <c r="O856" s="45"/>
    </row>
    <row r="857">
      <c r="A857" s="48"/>
      <c r="C857" s="60"/>
      <c r="D857" s="46"/>
      <c r="F857" s="46"/>
      <c r="G857" s="46"/>
      <c r="H857" s="46"/>
      <c r="I857" s="46"/>
      <c r="O857" s="45"/>
    </row>
    <row r="858">
      <c r="A858" s="48"/>
      <c r="C858" s="60"/>
      <c r="D858" s="46"/>
      <c r="F858" s="46"/>
      <c r="G858" s="46"/>
      <c r="H858" s="46"/>
      <c r="I858" s="46"/>
      <c r="O858" s="45"/>
    </row>
    <row r="859">
      <c r="A859" s="48"/>
      <c r="C859" s="60"/>
      <c r="D859" s="46"/>
      <c r="F859" s="46"/>
      <c r="G859" s="46"/>
      <c r="H859" s="46"/>
      <c r="I859" s="46"/>
      <c r="O859" s="45"/>
    </row>
    <row r="860">
      <c r="A860" s="48"/>
      <c r="C860" s="60"/>
      <c r="D860" s="46"/>
      <c r="F860" s="46"/>
      <c r="G860" s="46"/>
      <c r="H860" s="46"/>
      <c r="I860" s="46"/>
      <c r="O860" s="45"/>
    </row>
    <row r="861">
      <c r="A861" s="48"/>
      <c r="C861" s="60"/>
      <c r="D861" s="46"/>
      <c r="F861" s="46"/>
      <c r="G861" s="46"/>
      <c r="H861" s="46"/>
      <c r="I861" s="46"/>
      <c r="O861" s="45"/>
    </row>
    <row r="862">
      <c r="A862" s="48"/>
      <c r="C862" s="60"/>
      <c r="D862" s="46"/>
      <c r="F862" s="46"/>
      <c r="G862" s="46"/>
      <c r="H862" s="46"/>
      <c r="I862" s="46"/>
      <c r="O862" s="45"/>
    </row>
    <row r="863">
      <c r="A863" s="48"/>
      <c r="C863" s="60"/>
      <c r="D863" s="46"/>
      <c r="F863" s="46"/>
      <c r="G863" s="46"/>
      <c r="H863" s="46"/>
      <c r="I863" s="46"/>
      <c r="O863" s="45"/>
    </row>
    <row r="864">
      <c r="A864" s="48"/>
      <c r="C864" s="60"/>
      <c r="D864" s="46"/>
      <c r="F864" s="46"/>
      <c r="G864" s="46"/>
      <c r="H864" s="46"/>
      <c r="I864" s="46"/>
      <c r="O864" s="45"/>
    </row>
    <row r="865">
      <c r="A865" s="48"/>
      <c r="C865" s="60"/>
      <c r="D865" s="46"/>
      <c r="F865" s="46"/>
      <c r="G865" s="46"/>
      <c r="H865" s="46"/>
      <c r="I865" s="46"/>
      <c r="O865" s="45"/>
    </row>
    <row r="866">
      <c r="A866" s="48"/>
      <c r="C866" s="60"/>
      <c r="D866" s="46"/>
      <c r="F866" s="46"/>
      <c r="G866" s="46"/>
      <c r="H866" s="46"/>
      <c r="I866" s="46"/>
      <c r="O866" s="45"/>
    </row>
    <row r="867">
      <c r="A867" s="48"/>
      <c r="C867" s="60"/>
      <c r="D867" s="46"/>
      <c r="F867" s="46"/>
      <c r="G867" s="46"/>
      <c r="H867" s="46"/>
      <c r="I867" s="46"/>
      <c r="O867" s="45"/>
    </row>
    <row r="868">
      <c r="A868" s="48"/>
      <c r="C868" s="60"/>
      <c r="D868" s="46"/>
      <c r="F868" s="46"/>
      <c r="G868" s="46"/>
      <c r="H868" s="46"/>
      <c r="I868" s="46"/>
      <c r="O868" s="45"/>
    </row>
    <row r="869">
      <c r="A869" s="48"/>
      <c r="C869" s="60"/>
      <c r="D869" s="46"/>
      <c r="F869" s="46"/>
      <c r="G869" s="46"/>
      <c r="H869" s="46"/>
      <c r="I869" s="46"/>
      <c r="O869" s="45"/>
    </row>
    <row r="870">
      <c r="A870" s="48"/>
      <c r="C870" s="60"/>
      <c r="D870" s="46"/>
      <c r="F870" s="46"/>
      <c r="G870" s="46"/>
      <c r="H870" s="46"/>
      <c r="I870" s="46"/>
      <c r="O870" s="45"/>
    </row>
    <row r="871">
      <c r="A871" s="48"/>
      <c r="C871" s="60"/>
      <c r="D871" s="46"/>
      <c r="F871" s="46"/>
      <c r="G871" s="46"/>
      <c r="H871" s="46"/>
      <c r="I871" s="46"/>
      <c r="O871" s="45"/>
    </row>
    <row r="872">
      <c r="A872" s="48"/>
      <c r="C872" s="60"/>
      <c r="D872" s="46"/>
      <c r="F872" s="46"/>
      <c r="G872" s="46"/>
      <c r="H872" s="46"/>
      <c r="I872" s="46"/>
      <c r="O872" s="45"/>
    </row>
    <row r="873">
      <c r="A873" s="48"/>
      <c r="C873" s="60"/>
      <c r="D873" s="46"/>
      <c r="F873" s="46"/>
      <c r="G873" s="46"/>
      <c r="H873" s="46"/>
      <c r="I873" s="46"/>
      <c r="O873" s="45"/>
    </row>
    <row r="874">
      <c r="A874" s="48"/>
      <c r="C874" s="60"/>
      <c r="D874" s="46"/>
      <c r="F874" s="46"/>
      <c r="G874" s="46"/>
      <c r="H874" s="46"/>
      <c r="I874" s="46"/>
      <c r="O874" s="45"/>
    </row>
    <row r="875">
      <c r="A875" s="48"/>
      <c r="C875" s="60"/>
      <c r="D875" s="46"/>
      <c r="F875" s="46"/>
      <c r="G875" s="46"/>
      <c r="H875" s="46"/>
      <c r="I875" s="46"/>
      <c r="O875" s="45"/>
    </row>
    <row r="876">
      <c r="A876" s="48"/>
      <c r="C876" s="60"/>
      <c r="D876" s="46"/>
      <c r="F876" s="46"/>
      <c r="G876" s="46"/>
      <c r="H876" s="46"/>
      <c r="I876" s="46"/>
      <c r="O876" s="45"/>
    </row>
    <row r="877">
      <c r="A877" s="48"/>
      <c r="C877" s="60"/>
      <c r="D877" s="46"/>
      <c r="F877" s="46"/>
      <c r="G877" s="46"/>
      <c r="H877" s="46"/>
      <c r="I877" s="46"/>
      <c r="O877" s="45"/>
    </row>
    <row r="878">
      <c r="A878" s="48"/>
      <c r="C878" s="60"/>
      <c r="D878" s="46"/>
      <c r="F878" s="46"/>
      <c r="G878" s="46"/>
      <c r="H878" s="46"/>
      <c r="I878" s="46"/>
      <c r="O878" s="45"/>
    </row>
    <row r="879">
      <c r="A879" s="48"/>
      <c r="C879" s="60"/>
      <c r="D879" s="46"/>
      <c r="F879" s="46"/>
      <c r="G879" s="46"/>
      <c r="H879" s="46"/>
      <c r="I879" s="46"/>
      <c r="O879" s="45"/>
    </row>
    <row r="880">
      <c r="A880" s="48"/>
      <c r="C880" s="60"/>
      <c r="D880" s="46"/>
      <c r="F880" s="46"/>
      <c r="G880" s="46"/>
      <c r="H880" s="46"/>
      <c r="I880" s="46"/>
      <c r="O880" s="45"/>
    </row>
    <row r="881">
      <c r="A881" s="48"/>
      <c r="C881" s="60"/>
      <c r="D881" s="46"/>
      <c r="F881" s="46"/>
      <c r="G881" s="46"/>
      <c r="H881" s="46"/>
      <c r="I881" s="46"/>
      <c r="O881" s="45"/>
    </row>
    <row r="882">
      <c r="A882" s="48"/>
      <c r="C882" s="60"/>
      <c r="D882" s="46"/>
      <c r="F882" s="46"/>
      <c r="G882" s="46"/>
      <c r="H882" s="46"/>
      <c r="I882" s="46"/>
      <c r="O882" s="45"/>
    </row>
    <row r="883">
      <c r="A883" s="48"/>
      <c r="C883" s="60"/>
      <c r="D883" s="46"/>
      <c r="F883" s="46"/>
      <c r="G883" s="46"/>
      <c r="H883" s="46"/>
      <c r="I883" s="46"/>
      <c r="O883" s="45"/>
    </row>
    <row r="884">
      <c r="A884" s="48"/>
      <c r="C884" s="60"/>
      <c r="D884" s="46"/>
      <c r="F884" s="46"/>
      <c r="G884" s="46"/>
      <c r="H884" s="46"/>
      <c r="I884" s="46"/>
      <c r="O884" s="45"/>
    </row>
    <row r="885">
      <c r="A885" s="48"/>
      <c r="C885" s="60"/>
      <c r="D885" s="46"/>
      <c r="F885" s="46"/>
      <c r="G885" s="46"/>
      <c r="H885" s="46"/>
      <c r="I885" s="46"/>
      <c r="O885" s="45"/>
    </row>
    <row r="886">
      <c r="A886" s="48"/>
      <c r="C886" s="60"/>
      <c r="D886" s="46"/>
      <c r="F886" s="46"/>
      <c r="G886" s="46"/>
      <c r="H886" s="46"/>
      <c r="I886" s="46"/>
      <c r="O886" s="45"/>
    </row>
    <row r="887">
      <c r="A887" s="48"/>
      <c r="C887" s="60"/>
      <c r="D887" s="46"/>
      <c r="F887" s="46"/>
      <c r="G887" s="46"/>
      <c r="H887" s="46"/>
      <c r="I887" s="46"/>
      <c r="O887" s="45"/>
    </row>
    <row r="888">
      <c r="A888" s="48"/>
      <c r="C888" s="60"/>
      <c r="D888" s="46"/>
      <c r="F888" s="46"/>
      <c r="G888" s="46"/>
      <c r="H888" s="46"/>
      <c r="I888" s="46"/>
      <c r="O888" s="45"/>
    </row>
    <row r="889">
      <c r="A889" s="48"/>
      <c r="C889" s="60"/>
      <c r="D889" s="46"/>
      <c r="F889" s="46"/>
      <c r="G889" s="46"/>
      <c r="H889" s="46"/>
      <c r="I889" s="46"/>
      <c r="O889" s="45"/>
    </row>
    <row r="890">
      <c r="A890" s="48"/>
      <c r="C890" s="60"/>
      <c r="D890" s="46"/>
      <c r="F890" s="46"/>
      <c r="G890" s="46"/>
      <c r="H890" s="46"/>
      <c r="I890" s="46"/>
      <c r="O890" s="45"/>
    </row>
    <row r="891">
      <c r="A891" s="48"/>
      <c r="C891" s="60"/>
      <c r="D891" s="46"/>
      <c r="F891" s="46"/>
      <c r="G891" s="46"/>
      <c r="H891" s="46"/>
      <c r="I891" s="46"/>
      <c r="O891" s="45"/>
    </row>
    <row r="892">
      <c r="A892" s="48"/>
      <c r="C892" s="60"/>
      <c r="D892" s="46"/>
      <c r="F892" s="46"/>
      <c r="G892" s="46"/>
      <c r="H892" s="46"/>
      <c r="I892" s="46"/>
      <c r="O892" s="45"/>
    </row>
    <row r="893">
      <c r="A893" s="48"/>
      <c r="C893" s="60"/>
      <c r="D893" s="46"/>
      <c r="F893" s="46"/>
      <c r="G893" s="46"/>
      <c r="H893" s="46"/>
      <c r="I893" s="46"/>
      <c r="O893" s="45"/>
    </row>
    <row r="894">
      <c r="A894" s="48"/>
      <c r="C894" s="60"/>
      <c r="D894" s="46"/>
      <c r="F894" s="46"/>
      <c r="G894" s="46"/>
      <c r="H894" s="46"/>
      <c r="I894" s="46"/>
      <c r="O894" s="45"/>
    </row>
    <row r="895">
      <c r="A895" s="48"/>
      <c r="C895" s="60"/>
      <c r="D895" s="46"/>
      <c r="F895" s="46"/>
      <c r="G895" s="46"/>
      <c r="H895" s="46"/>
      <c r="I895" s="46"/>
      <c r="O895" s="45"/>
    </row>
    <row r="896">
      <c r="A896" s="48"/>
      <c r="C896" s="60"/>
      <c r="D896" s="46"/>
      <c r="F896" s="46"/>
      <c r="G896" s="46"/>
      <c r="H896" s="46"/>
      <c r="I896" s="46"/>
      <c r="O896" s="45"/>
    </row>
    <row r="897">
      <c r="A897" s="48"/>
      <c r="C897" s="60"/>
      <c r="D897" s="46"/>
      <c r="F897" s="46"/>
      <c r="G897" s="46"/>
      <c r="H897" s="46"/>
      <c r="I897" s="46"/>
      <c r="O897" s="45"/>
    </row>
    <row r="898">
      <c r="A898" s="48"/>
      <c r="C898" s="60"/>
      <c r="D898" s="46"/>
      <c r="F898" s="46"/>
      <c r="G898" s="46"/>
      <c r="H898" s="46"/>
      <c r="I898" s="46"/>
      <c r="O898" s="45"/>
    </row>
    <row r="899">
      <c r="A899" s="48"/>
      <c r="C899" s="60"/>
      <c r="D899" s="46"/>
      <c r="F899" s="46"/>
      <c r="G899" s="46"/>
      <c r="H899" s="46"/>
      <c r="I899" s="46"/>
      <c r="O899" s="45"/>
    </row>
    <row r="900">
      <c r="A900" s="48"/>
      <c r="C900" s="60"/>
      <c r="D900" s="46"/>
      <c r="F900" s="46"/>
      <c r="G900" s="46"/>
      <c r="H900" s="46"/>
      <c r="I900" s="46"/>
      <c r="O900" s="45"/>
    </row>
    <row r="901">
      <c r="A901" s="48"/>
      <c r="C901" s="60"/>
      <c r="D901" s="46"/>
      <c r="F901" s="46"/>
      <c r="G901" s="46"/>
      <c r="H901" s="46"/>
      <c r="I901" s="46"/>
      <c r="O901" s="45"/>
    </row>
    <row r="902">
      <c r="A902" s="48"/>
      <c r="C902" s="60"/>
      <c r="D902" s="46"/>
      <c r="F902" s="46"/>
      <c r="G902" s="46"/>
      <c r="H902" s="46"/>
      <c r="I902" s="46"/>
      <c r="O902" s="45"/>
    </row>
    <row r="903">
      <c r="A903" s="48"/>
      <c r="C903" s="60"/>
      <c r="D903" s="46"/>
      <c r="F903" s="46"/>
      <c r="G903" s="46"/>
      <c r="H903" s="46"/>
      <c r="I903" s="46"/>
      <c r="O903" s="45"/>
    </row>
    <row r="904">
      <c r="A904" s="48"/>
      <c r="C904" s="60"/>
      <c r="D904" s="46"/>
      <c r="F904" s="46"/>
      <c r="G904" s="46"/>
      <c r="H904" s="46"/>
      <c r="I904" s="46"/>
      <c r="O904" s="45"/>
    </row>
    <row r="905">
      <c r="A905" s="48"/>
      <c r="C905" s="60"/>
      <c r="D905" s="46"/>
      <c r="F905" s="46"/>
      <c r="G905" s="46"/>
      <c r="H905" s="46"/>
      <c r="I905" s="46"/>
      <c r="O905" s="45"/>
    </row>
    <row r="906">
      <c r="A906" s="48"/>
      <c r="C906" s="60"/>
      <c r="D906" s="46"/>
      <c r="F906" s="46"/>
      <c r="G906" s="46"/>
      <c r="H906" s="46"/>
      <c r="I906" s="46"/>
      <c r="O906" s="45"/>
    </row>
    <row r="907">
      <c r="A907" s="48"/>
      <c r="C907" s="60"/>
      <c r="D907" s="46"/>
      <c r="F907" s="46"/>
      <c r="G907" s="46"/>
      <c r="H907" s="46"/>
      <c r="I907" s="46"/>
      <c r="O907" s="45"/>
    </row>
    <row r="908">
      <c r="A908" s="48"/>
      <c r="C908" s="60"/>
      <c r="D908" s="46"/>
      <c r="F908" s="46"/>
      <c r="G908" s="46"/>
      <c r="H908" s="46"/>
      <c r="I908" s="46"/>
      <c r="O908" s="45"/>
    </row>
    <row r="909">
      <c r="A909" s="48"/>
      <c r="C909" s="60"/>
      <c r="D909" s="46"/>
      <c r="F909" s="46"/>
      <c r="G909" s="46"/>
      <c r="H909" s="46"/>
      <c r="I909" s="46"/>
      <c r="O909" s="45"/>
    </row>
    <row r="910">
      <c r="A910" s="48"/>
      <c r="C910" s="60"/>
      <c r="D910" s="46"/>
      <c r="F910" s="46"/>
      <c r="G910" s="46"/>
      <c r="H910" s="46"/>
      <c r="I910" s="46"/>
      <c r="O910" s="45"/>
    </row>
    <row r="911">
      <c r="A911" s="48"/>
      <c r="C911" s="60"/>
      <c r="D911" s="46"/>
      <c r="F911" s="46"/>
      <c r="G911" s="46"/>
      <c r="H911" s="46"/>
      <c r="I911" s="46"/>
      <c r="O911" s="45"/>
    </row>
    <row r="912">
      <c r="A912" s="48"/>
      <c r="C912" s="60"/>
      <c r="D912" s="46"/>
      <c r="F912" s="46"/>
      <c r="G912" s="46"/>
      <c r="H912" s="46"/>
      <c r="I912" s="46"/>
      <c r="O912" s="45"/>
    </row>
    <row r="913">
      <c r="A913" s="48"/>
      <c r="C913" s="60"/>
      <c r="D913" s="46"/>
      <c r="F913" s="46"/>
      <c r="G913" s="46"/>
      <c r="H913" s="46"/>
      <c r="I913" s="46"/>
      <c r="O913" s="45"/>
    </row>
    <row r="914">
      <c r="A914" s="48"/>
      <c r="C914" s="60"/>
      <c r="D914" s="46"/>
      <c r="F914" s="46"/>
      <c r="G914" s="46"/>
      <c r="H914" s="46"/>
      <c r="I914" s="46"/>
      <c r="O914" s="45"/>
    </row>
    <row r="915">
      <c r="A915" s="48"/>
      <c r="C915" s="60"/>
      <c r="D915" s="46"/>
      <c r="F915" s="46"/>
      <c r="G915" s="46"/>
      <c r="H915" s="46"/>
      <c r="I915" s="46"/>
      <c r="O915" s="45"/>
    </row>
    <row r="916">
      <c r="A916" s="48"/>
      <c r="C916" s="60"/>
      <c r="D916" s="46"/>
      <c r="F916" s="46"/>
      <c r="G916" s="46"/>
      <c r="H916" s="46"/>
      <c r="I916" s="46"/>
      <c r="O916" s="45"/>
    </row>
    <row r="917">
      <c r="A917" s="48"/>
      <c r="C917" s="60"/>
      <c r="D917" s="46"/>
      <c r="F917" s="46"/>
      <c r="G917" s="46"/>
      <c r="H917" s="46"/>
      <c r="I917" s="46"/>
      <c r="O917" s="45"/>
    </row>
    <row r="918">
      <c r="A918" s="48"/>
      <c r="C918" s="60"/>
      <c r="D918" s="46"/>
      <c r="F918" s="46"/>
      <c r="G918" s="46"/>
      <c r="H918" s="46"/>
      <c r="I918" s="46"/>
      <c r="O918" s="45"/>
    </row>
    <row r="919">
      <c r="A919" s="48"/>
      <c r="C919" s="60"/>
      <c r="D919" s="46"/>
      <c r="F919" s="46"/>
      <c r="G919" s="46"/>
      <c r="H919" s="46"/>
      <c r="I919" s="46"/>
      <c r="O919" s="45"/>
    </row>
    <row r="920">
      <c r="A920" s="48"/>
      <c r="C920" s="60"/>
      <c r="D920" s="46"/>
      <c r="F920" s="46"/>
      <c r="G920" s="46"/>
      <c r="H920" s="46"/>
      <c r="I920" s="46"/>
      <c r="O920" s="45"/>
    </row>
    <row r="921">
      <c r="A921" s="48"/>
      <c r="C921" s="60"/>
      <c r="D921" s="46"/>
      <c r="F921" s="46"/>
      <c r="G921" s="46"/>
      <c r="H921" s="46"/>
      <c r="I921" s="46"/>
      <c r="O921" s="45"/>
    </row>
    <row r="922">
      <c r="A922" s="48"/>
      <c r="C922" s="60"/>
      <c r="D922" s="46"/>
      <c r="F922" s="46"/>
      <c r="G922" s="46"/>
      <c r="H922" s="46"/>
      <c r="I922" s="46"/>
      <c r="O922" s="45"/>
    </row>
    <row r="923">
      <c r="A923" s="48"/>
      <c r="C923" s="60"/>
      <c r="D923" s="46"/>
      <c r="F923" s="46"/>
      <c r="G923" s="46"/>
      <c r="H923" s="46"/>
      <c r="I923" s="46"/>
      <c r="O923" s="45"/>
    </row>
    <row r="924">
      <c r="A924" s="48"/>
      <c r="C924" s="60"/>
      <c r="D924" s="46"/>
      <c r="F924" s="46"/>
      <c r="G924" s="46"/>
      <c r="H924" s="46"/>
      <c r="I924" s="46"/>
      <c r="O924" s="45"/>
    </row>
    <row r="925">
      <c r="A925" s="48"/>
      <c r="C925" s="60"/>
      <c r="D925" s="46"/>
      <c r="F925" s="46"/>
      <c r="G925" s="46"/>
      <c r="H925" s="46"/>
      <c r="I925" s="46"/>
      <c r="O925" s="45"/>
    </row>
    <row r="926">
      <c r="A926" s="48"/>
      <c r="C926" s="60"/>
      <c r="D926" s="46"/>
      <c r="F926" s="46"/>
      <c r="G926" s="46"/>
      <c r="H926" s="46"/>
      <c r="I926" s="46"/>
      <c r="O926" s="45"/>
    </row>
    <row r="927">
      <c r="A927" s="48"/>
      <c r="C927" s="60"/>
      <c r="D927" s="46"/>
      <c r="F927" s="46"/>
      <c r="G927" s="46"/>
      <c r="H927" s="46"/>
      <c r="I927" s="46"/>
      <c r="O927" s="45"/>
    </row>
    <row r="928">
      <c r="A928" s="48"/>
      <c r="C928" s="60"/>
      <c r="D928" s="46"/>
      <c r="F928" s="46"/>
      <c r="G928" s="46"/>
      <c r="H928" s="46"/>
      <c r="I928" s="46"/>
      <c r="O928" s="45"/>
    </row>
    <row r="929">
      <c r="A929" s="48"/>
      <c r="C929" s="60"/>
      <c r="D929" s="46"/>
      <c r="F929" s="46"/>
      <c r="G929" s="46"/>
      <c r="H929" s="46"/>
      <c r="I929" s="46"/>
      <c r="O929" s="45"/>
    </row>
    <row r="930">
      <c r="A930" s="48"/>
      <c r="C930" s="60"/>
      <c r="D930" s="46"/>
      <c r="F930" s="46"/>
      <c r="G930" s="46"/>
      <c r="H930" s="46"/>
      <c r="I930" s="46"/>
      <c r="O930" s="45"/>
    </row>
    <row r="931">
      <c r="A931" s="48"/>
      <c r="C931" s="60"/>
      <c r="D931" s="46"/>
      <c r="F931" s="46"/>
      <c r="G931" s="46"/>
      <c r="H931" s="46"/>
      <c r="I931" s="46"/>
      <c r="O931" s="45"/>
    </row>
    <row r="932">
      <c r="A932" s="48"/>
      <c r="C932" s="60"/>
      <c r="D932" s="46"/>
      <c r="F932" s="46"/>
      <c r="G932" s="46"/>
      <c r="H932" s="46"/>
      <c r="I932" s="46"/>
      <c r="O932" s="45"/>
    </row>
    <row r="933">
      <c r="A933" s="48"/>
      <c r="C933" s="60"/>
      <c r="D933" s="46"/>
      <c r="F933" s="46"/>
      <c r="G933" s="46"/>
      <c r="H933" s="46"/>
      <c r="I933" s="46"/>
      <c r="O933" s="45"/>
    </row>
    <row r="934">
      <c r="A934" s="48"/>
      <c r="C934" s="60"/>
      <c r="D934" s="46"/>
      <c r="F934" s="46"/>
      <c r="G934" s="46"/>
      <c r="H934" s="46"/>
      <c r="I934" s="46"/>
      <c r="O934" s="45"/>
    </row>
    <row r="935">
      <c r="A935" s="48"/>
      <c r="C935" s="60"/>
      <c r="D935" s="46"/>
      <c r="F935" s="46"/>
      <c r="G935" s="46"/>
      <c r="H935" s="46"/>
      <c r="I935" s="46"/>
      <c r="O935" s="45"/>
    </row>
    <row r="936">
      <c r="A936" s="48"/>
      <c r="C936" s="60"/>
      <c r="D936" s="46"/>
      <c r="F936" s="46"/>
      <c r="G936" s="46"/>
      <c r="H936" s="46"/>
      <c r="I936" s="46"/>
      <c r="O936" s="45"/>
    </row>
    <row r="937">
      <c r="A937" s="48"/>
      <c r="C937" s="60"/>
      <c r="D937" s="46"/>
      <c r="F937" s="46"/>
      <c r="G937" s="46"/>
      <c r="H937" s="46"/>
      <c r="I937" s="46"/>
      <c r="O937" s="45"/>
    </row>
    <row r="938">
      <c r="A938" s="48"/>
      <c r="C938" s="60"/>
      <c r="D938" s="46"/>
      <c r="F938" s="46"/>
      <c r="G938" s="46"/>
      <c r="H938" s="46"/>
      <c r="I938" s="46"/>
      <c r="O938" s="45"/>
    </row>
    <row r="939">
      <c r="A939" s="48"/>
      <c r="C939" s="60"/>
      <c r="D939" s="46"/>
      <c r="F939" s="46"/>
      <c r="G939" s="46"/>
      <c r="H939" s="46"/>
      <c r="I939" s="46"/>
      <c r="O939" s="45"/>
    </row>
    <row r="940">
      <c r="A940" s="48"/>
      <c r="C940" s="60"/>
      <c r="D940" s="46"/>
      <c r="F940" s="46"/>
      <c r="G940" s="46"/>
      <c r="H940" s="46"/>
      <c r="I940" s="46"/>
      <c r="O940" s="45"/>
    </row>
    <row r="941">
      <c r="A941" s="48"/>
      <c r="C941" s="60"/>
      <c r="D941" s="46"/>
      <c r="F941" s="46"/>
      <c r="G941" s="46"/>
      <c r="H941" s="46"/>
      <c r="I941" s="46"/>
      <c r="O941" s="45"/>
    </row>
    <row r="942">
      <c r="A942" s="48"/>
      <c r="C942" s="60"/>
      <c r="D942" s="46"/>
      <c r="F942" s="46"/>
      <c r="G942" s="46"/>
      <c r="H942" s="46"/>
      <c r="I942" s="46"/>
      <c r="O942" s="45"/>
    </row>
    <row r="943">
      <c r="A943" s="48"/>
      <c r="C943" s="60"/>
      <c r="D943" s="46"/>
      <c r="F943" s="46"/>
      <c r="G943" s="46"/>
      <c r="H943" s="46"/>
      <c r="I943" s="46"/>
      <c r="O943" s="45"/>
    </row>
    <row r="944">
      <c r="A944" s="48"/>
      <c r="C944" s="60"/>
      <c r="D944" s="46"/>
      <c r="F944" s="46"/>
      <c r="G944" s="46"/>
      <c r="H944" s="46"/>
      <c r="I944" s="46"/>
      <c r="O944" s="45"/>
    </row>
    <row r="945">
      <c r="A945" s="48"/>
      <c r="C945" s="60"/>
      <c r="D945" s="46"/>
      <c r="F945" s="46"/>
      <c r="G945" s="46"/>
      <c r="H945" s="46"/>
      <c r="I945" s="46"/>
      <c r="O945" s="45"/>
    </row>
    <row r="946">
      <c r="A946" s="48"/>
      <c r="C946" s="60"/>
      <c r="D946" s="46"/>
      <c r="F946" s="46"/>
      <c r="G946" s="46"/>
      <c r="H946" s="46"/>
      <c r="I946" s="46"/>
      <c r="O946" s="45"/>
    </row>
    <row r="947">
      <c r="A947" s="48"/>
      <c r="C947" s="60"/>
      <c r="D947" s="46"/>
      <c r="F947" s="46"/>
      <c r="G947" s="46"/>
      <c r="H947" s="46"/>
      <c r="I947" s="46"/>
      <c r="O947" s="45"/>
    </row>
    <row r="948">
      <c r="A948" s="48"/>
      <c r="C948" s="60"/>
      <c r="D948" s="46"/>
      <c r="F948" s="46"/>
      <c r="G948" s="46"/>
      <c r="H948" s="46"/>
      <c r="I948" s="46"/>
      <c r="O948" s="45"/>
    </row>
    <row r="949">
      <c r="A949" s="48"/>
      <c r="C949" s="60"/>
      <c r="D949" s="46"/>
      <c r="F949" s="46"/>
      <c r="G949" s="46"/>
      <c r="H949" s="46"/>
      <c r="I949" s="46"/>
      <c r="O949" s="45"/>
    </row>
    <row r="950">
      <c r="A950" s="48"/>
      <c r="C950" s="60"/>
      <c r="D950" s="46"/>
      <c r="F950" s="46"/>
      <c r="G950" s="46"/>
      <c r="H950" s="46"/>
      <c r="I950" s="46"/>
      <c r="O950" s="45"/>
    </row>
    <row r="951">
      <c r="A951" s="48"/>
      <c r="C951" s="60"/>
      <c r="D951" s="46"/>
      <c r="F951" s="46"/>
      <c r="G951" s="46"/>
      <c r="H951" s="46"/>
      <c r="I951" s="46"/>
      <c r="O951" s="45"/>
    </row>
    <row r="952">
      <c r="A952" s="48"/>
      <c r="C952" s="60"/>
      <c r="D952" s="46"/>
      <c r="F952" s="46"/>
      <c r="G952" s="46"/>
      <c r="H952" s="46"/>
      <c r="I952" s="46"/>
      <c r="O952" s="45"/>
    </row>
    <row r="953">
      <c r="A953" s="48"/>
      <c r="C953" s="60"/>
      <c r="D953" s="46"/>
      <c r="F953" s="46"/>
      <c r="G953" s="46"/>
      <c r="H953" s="46"/>
      <c r="I953" s="46"/>
      <c r="O953" s="45"/>
    </row>
    <row r="954">
      <c r="A954" s="48"/>
      <c r="C954" s="60"/>
      <c r="D954" s="46"/>
      <c r="F954" s="46"/>
      <c r="G954" s="46"/>
      <c r="H954" s="46"/>
      <c r="I954" s="46"/>
      <c r="O954" s="45"/>
    </row>
    <row r="955">
      <c r="A955" s="48"/>
      <c r="C955" s="60"/>
      <c r="D955" s="46"/>
      <c r="F955" s="46"/>
      <c r="G955" s="46"/>
      <c r="H955" s="46"/>
      <c r="I955" s="46"/>
      <c r="O955" s="45"/>
    </row>
    <row r="956">
      <c r="A956" s="48"/>
      <c r="C956" s="60"/>
      <c r="D956" s="46"/>
      <c r="F956" s="46"/>
      <c r="G956" s="46"/>
      <c r="H956" s="46"/>
      <c r="I956" s="46"/>
      <c r="O956" s="45"/>
    </row>
    <row r="957">
      <c r="A957" s="48"/>
      <c r="C957" s="60"/>
      <c r="D957" s="46"/>
      <c r="F957" s="46"/>
      <c r="G957" s="46"/>
      <c r="H957" s="46"/>
      <c r="I957" s="46"/>
      <c r="O957" s="45"/>
    </row>
    <row r="958">
      <c r="A958" s="48"/>
      <c r="C958" s="60"/>
      <c r="D958" s="46"/>
      <c r="F958" s="46"/>
      <c r="G958" s="46"/>
      <c r="H958" s="46"/>
      <c r="I958" s="46"/>
      <c r="O958" s="45"/>
    </row>
    <row r="959">
      <c r="A959" s="48"/>
      <c r="C959" s="60"/>
      <c r="D959" s="46"/>
      <c r="F959" s="46"/>
      <c r="G959" s="46"/>
      <c r="H959" s="46"/>
      <c r="I959" s="46"/>
      <c r="O959" s="45"/>
    </row>
    <row r="960">
      <c r="A960" s="48"/>
      <c r="C960" s="60"/>
      <c r="D960" s="46"/>
      <c r="F960" s="46"/>
      <c r="G960" s="46"/>
      <c r="H960" s="46"/>
      <c r="I960" s="46"/>
      <c r="O960" s="45"/>
    </row>
    <row r="961">
      <c r="A961" s="48"/>
      <c r="C961" s="60"/>
      <c r="D961" s="46"/>
      <c r="F961" s="46"/>
      <c r="G961" s="46"/>
      <c r="H961" s="46"/>
      <c r="I961" s="46"/>
      <c r="O961" s="45"/>
    </row>
    <row r="962">
      <c r="A962" s="48"/>
      <c r="C962" s="60"/>
      <c r="D962" s="46"/>
      <c r="F962" s="46"/>
      <c r="G962" s="46"/>
      <c r="H962" s="46"/>
      <c r="I962" s="46"/>
      <c r="O962" s="45"/>
    </row>
    <row r="963">
      <c r="A963" s="48"/>
      <c r="C963" s="60"/>
      <c r="D963" s="46"/>
      <c r="F963" s="46"/>
      <c r="G963" s="46"/>
      <c r="H963" s="46"/>
      <c r="I963" s="46"/>
      <c r="O963" s="45"/>
    </row>
    <row r="964">
      <c r="A964" s="48"/>
      <c r="C964" s="60"/>
      <c r="D964" s="46"/>
      <c r="F964" s="46"/>
      <c r="G964" s="46"/>
      <c r="H964" s="46"/>
      <c r="I964" s="46"/>
      <c r="O964" s="45"/>
    </row>
    <row r="965">
      <c r="A965" s="48"/>
      <c r="C965" s="60"/>
      <c r="D965" s="46"/>
      <c r="F965" s="46"/>
      <c r="G965" s="46"/>
      <c r="H965" s="46"/>
      <c r="I965" s="46"/>
      <c r="O965" s="45"/>
    </row>
    <row r="966">
      <c r="A966" s="48"/>
      <c r="C966" s="60"/>
      <c r="D966" s="46"/>
      <c r="F966" s="46"/>
      <c r="G966" s="46"/>
      <c r="H966" s="46"/>
      <c r="I966" s="46"/>
      <c r="O966" s="45"/>
    </row>
    <row r="967">
      <c r="A967" s="48"/>
      <c r="C967" s="60"/>
      <c r="D967" s="46"/>
      <c r="F967" s="46"/>
      <c r="G967" s="46"/>
      <c r="H967" s="46"/>
      <c r="I967" s="46"/>
      <c r="O967" s="45"/>
    </row>
    <row r="968">
      <c r="A968" s="48"/>
      <c r="C968" s="60"/>
      <c r="D968" s="46"/>
      <c r="F968" s="46"/>
      <c r="G968" s="46"/>
      <c r="H968" s="46"/>
      <c r="I968" s="46"/>
      <c r="O968" s="45"/>
    </row>
    <row r="969">
      <c r="A969" s="48"/>
      <c r="C969" s="60"/>
      <c r="D969" s="46"/>
      <c r="F969" s="46"/>
      <c r="G969" s="46"/>
      <c r="H969" s="46"/>
      <c r="I969" s="46"/>
      <c r="O969" s="45"/>
    </row>
    <row r="970">
      <c r="A970" s="48"/>
      <c r="C970" s="60"/>
      <c r="D970" s="46"/>
      <c r="F970" s="46"/>
      <c r="G970" s="46"/>
      <c r="H970" s="46"/>
      <c r="I970" s="46"/>
      <c r="O970" s="45"/>
    </row>
    <row r="971">
      <c r="A971" s="48"/>
      <c r="C971" s="60"/>
      <c r="D971" s="46"/>
      <c r="F971" s="46"/>
      <c r="G971" s="46"/>
      <c r="H971" s="46"/>
      <c r="I971" s="46"/>
      <c r="O971" s="45"/>
    </row>
    <row r="972">
      <c r="A972" s="48"/>
      <c r="C972" s="60"/>
      <c r="D972" s="46"/>
      <c r="F972" s="46"/>
      <c r="G972" s="46"/>
      <c r="H972" s="46"/>
      <c r="I972" s="46"/>
      <c r="O972" s="45"/>
    </row>
    <row r="973">
      <c r="A973" s="48"/>
      <c r="C973" s="60"/>
      <c r="D973" s="46"/>
      <c r="F973" s="46"/>
      <c r="G973" s="46"/>
      <c r="H973" s="46"/>
      <c r="I973" s="46"/>
      <c r="O973" s="45"/>
    </row>
    <row r="974">
      <c r="A974" s="48"/>
      <c r="C974" s="60"/>
      <c r="D974" s="46"/>
      <c r="F974" s="46"/>
      <c r="G974" s="46"/>
      <c r="H974" s="46"/>
      <c r="I974" s="46"/>
      <c r="O974" s="45"/>
    </row>
    <row r="975">
      <c r="A975" s="48"/>
      <c r="C975" s="60"/>
      <c r="D975" s="46"/>
      <c r="F975" s="46"/>
      <c r="G975" s="46"/>
      <c r="H975" s="46"/>
      <c r="I975" s="46"/>
      <c r="O975" s="45"/>
    </row>
    <row r="976">
      <c r="A976" s="48"/>
      <c r="C976" s="60"/>
      <c r="D976" s="46"/>
      <c r="F976" s="46"/>
      <c r="G976" s="46"/>
      <c r="H976" s="46"/>
      <c r="I976" s="46"/>
      <c r="O976" s="45"/>
    </row>
    <row r="977">
      <c r="A977" s="48"/>
      <c r="C977" s="60"/>
      <c r="D977" s="46"/>
      <c r="F977" s="46"/>
      <c r="G977" s="46"/>
      <c r="H977" s="46"/>
      <c r="I977" s="46"/>
      <c r="O977" s="45"/>
    </row>
    <row r="978">
      <c r="A978" s="48"/>
      <c r="C978" s="60"/>
      <c r="D978" s="46"/>
      <c r="F978" s="46"/>
      <c r="G978" s="46"/>
      <c r="H978" s="46"/>
      <c r="I978" s="46"/>
      <c r="O978" s="45"/>
    </row>
    <row r="979">
      <c r="A979" s="48"/>
      <c r="C979" s="60"/>
      <c r="D979" s="46"/>
      <c r="F979" s="46"/>
      <c r="G979" s="46"/>
      <c r="H979" s="46"/>
      <c r="I979" s="46"/>
      <c r="O979" s="45"/>
    </row>
    <row r="980">
      <c r="A980" s="48"/>
      <c r="C980" s="60"/>
      <c r="D980" s="46"/>
      <c r="F980" s="46"/>
      <c r="G980" s="46"/>
      <c r="H980" s="46"/>
      <c r="I980" s="46"/>
      <c r="O980" s="45"/>
    </row>
    <row r="981">
      <c r="A981" s="48"/>
      <c r="C981" s="60"/>
      <c r="D981" s="46"/>
      <c r="F981" s="46"/>
      <c r="G981" s="46"/>
      <c r="H981" s="46"/>
      <c r="I981" s="46"/>
      <c r="O981" s="45"/>
    </row>
    <row r="982">
      <c r="A982" s="48"/>
      <c r="C982" s="60"/>
      <c r="D982" s="46"/>
      <c r="F982" s="46"/>
      <c r="G982" s="46"/>
      <c r="H982" s="46"/>
      <c r="I982" s="46"/>
      <c r="O982" s="45"/>
    </row>
    <row r="983">
      <c r="A983" s="48"/>
      <c r="C983" s="60"/>
      <c r="D983" s="46"/>
      <c r="F983" s="46"/>
      <c r="G983" s="46"/>
      <c r="H983" s="46"/>
      <c r="I983" s="46"/>
      <c r="O983" s="45"/>
    </row>
    <row r="984">
      <c r="A984" s="48"/>
      <c r="C984" s="60"/>
      <c r="D984" s="46"/>
      <c r="F984" s="46"/>
      <c r="G984" s="46"/>
      <c r="H984" s="46"/>
      <c r="I984" s="46"/>
      <c r="O984" s="45"/>
    </row>
    <row r="985">
      <c r="A985" s="48"/>
      <c r="C985" s="60"/>
      <c r="D985" s="46"/>
      <c r="F985" s="46"/>
      <c r="G985" s="46"/>
      <c r="H985" s="46"/>
      <c r="I985" s="46"/>
      <c r="O985" s="45"/>
    </row>
    <row r="986">
      <c r="A986" s="48"/>
      <c r="C986" s="60"/>
      <c r="D986" s="46"/>
      <c r="F986" s="46"/>
      <c r="G986" s="46"/>
      <c r="H986" s="46"/>
      <c r="I986" s="46"/>
      <c r="O986" s="45"/>
    </row>
    <row r="987">
      <c r="A987" s="48"/>
      <c r="C987" s="60"/>
      <c r="D987" s="46"/>
      <c r="F987" s="46"/>
      <c r="G987" s="46"/>
      <c r="H987" s="46"/>
      <c r="I987" s="46"/>
      <c r="O987" s="45"/>
    </row>
    <row r="988">
      <c r="A988" s="48"/>
      <c r="C988" s="60"/>
      <c r="D988" s="46"/>
      <c r="F988" s="46"/>
      <c r="G988" s="46"/>
      <c r="H988" s="46"/>
      <c r="I988" s="46"/>
      <c r="O988" s="45"/>
    </row>
    <row r="989">
      <c r="A989" s="48"/>
      <c r="C989" s="60"/>
      <c r="D989" s="46"/>
      <c r="F989" s="46"/>
      <c r="G989" s="46"/>
      <c r="H989" s="46"/>
      <c r="I989" s="46"/>
      <c r="O989" s="45"/>
    </row>
    <row r="990">
      <c r="A990" s="48"/>
      <c r="C990" s="60"/>
      <c r="D990" s="46"/>
      <c r="F990" s="46"/>
      <c r="G990" s="46"/>
      <c r="H990" s="46"/>
      <c r="I990" s="46"/>
      <c r="O990" s="45"/>
    </row>
    <row r="991">
      <c r="A991" s="48"/>
      <c r="C991" s="60"/>
      <c r="D991" s="46"/>
      <c r="F991" s="46"/>
      <c r="G991" s="46"/>
      <c r="H991" s="46"/>
      <c r="I991" s="46"/>
      <c r="O991" s="45"/>
    </row>
    <row r="992">
      <c r="A992" s="48"/>
      <c r="C992" s="60"/>
      <c r="D992" s="46"/>
      <c r="F992" s="46"/>
      <c r="G992" s="46"/>
      <c r="H992" s="46"/>
      <c r="I992" s="46"/>
      <c r="O992" s="45"/>
    </row>
    <row r="993">
      <c r="A993" s="48"/>
      <c r="C993" s="60"/>
      <c r="D993" s="46"/>
      <c r="F993" s="46"/>
      <c r="G993" s="46"/>
      <c r="H993" s="46"/>
      <c r="I993" s="46"/>
      <c r="O993" s="45"/>
    </row>
    <row r="994">
      <c r="A994" s="48"/>
      <c r="C994" s="60"/>
      <c r="D994" s="46"/>
      <c r="F994" s="46"/>
      <c r="G994" s="46"/>
      <c r="H994" s="46"/>
      <c r="I994" s="46"/>
      <c r="O994" s="45"/>
    </row>
    <row r="995">
      <c r="A995" s="48"/>
      <c r="C995" s="60"/>
      <c r="D995" s="46"/>
      <c r="F995" s="46"/>
      <c r="G995" s="46"/>
      <c r="H995" s="46"/>
      <c r="I995" s="46"/>
      <c r="O995" s="45"/>
    </row>
    <row r="996">
      <c r="A996" s="48"/>
      <c r="C996" s="60"/>
      <c r="D996" s="46"/>
      <c r="F996" s="46"/>
      <c r="G996" s="46"/>
      <c r="H996" s="46"/>
      <c r="I996" s="46"/>
      <c r="O996" s="45"/>
    </row>
    <row r="997">
      <c r="A997" s="48"/>
      <c r="C997" s="60"/>
      <c r="D997" s="46"/>
      <c r="F997" s="46"/>
      <c r="G997" s="46"/>
      <c r="H997" s="46"/>
      <c r="I997" s="46"/>
      <c r="O997" s="45"/>
    </row>
    <row r="998">
      <c r="A998" s="48"/>
      <c r="C998" s="60"/>
      <c r="D998" s="46"/>
      <c r="F998" s="46"/>
      <c r="G998" s="46"/>
      <c r="H998" s="46"/>
      <c r="I998" s="46"/>
      <c r="O998" s="45"/>
    </row>
    <row r="999">
      <c r="A999" s="48"/>
      <c r="C999" s="60"/>
      <c r="D999" s="46"/>
      <c r="F999" s="46"/>
      <c r="G999" s="46"/>
      <c r="H999" s="46"/>
      <c r="I999" s="46"/>
      <c r="O999" s="45"/>
    </row>
    <row r="1000">
      <c r="A1000" s="48"/>
      <c r="C1000" s="60"/>
      <c r="D1000" s="46"/>
      <c r="F1000" s="46"/>
      <c r="G1000" s="46"/>
      <c r="H1000" s="46"/>
      <c r="I1000" s="46"/>
      <c r="O1000" s="45"/>
    </row>
    <row r="1001">
      <c r="A1001" s="48"/>
      <c r="C1001" s="60"/>
      <c r="D1001" s="46"/>
      <c r="F1001" s="46"/>
      <c r="G1001" s="46"/>
      <c r="H1001" s="46"/>
      <c r="I1001" s="46"/>
      <c r="O1001" s="45"/>
    </row>
    <row r="1002">
      <c r="A1002" s="48"/>
      <c r="C1002" s="60"/>
      <c r="D1002" s="46"/>
      <c r="F1002" s="46"/>
      <c r="G1002" s="46"/>
      <c r="H1002" s="46"/>
      <c r="I1002" s="46"/>
      <c r="O1002" s="45"/>
    </row>
    <row r="1003">
      <c r="A1003" s="48"/>
      <c r="C1003" s="60"/>
      <c r="D1003" s="46"/>
      <c r="F1003" s="46"/>
      <c r="G1003" s="46"/>
      <c r="H1003" s="46"/>
      <c r="I1003" s="46"/>
      <c r="O1003" s="45"/>
    </row>
    <row r="1004">
      <c r="A1004" s="48"/>
      <c r="C1004" s="60"/>
      <c r="D1004" s="46"/>
      <c r="F1004" s="46"/>
      <c r="G1004" s="46"/>
      <c r="H1004" s="46"/>
      <c r="I1004" s="46"/>
      <c r="O1004" s="45"/>
    </row>
    <row r="1005">
      <c r="A1005" s="48"/>
      <c r="C1005" s="60"/>
      <c r="D1005" s="46"/>
      <c r="F1005" s="46"/>
      <c r="G1005" s="46"/>
      <c r="H1005" s="46"/>
      <c r="I1005" s="46"/>
      <c r="O1005" s="45"/>
    </row>
    <row r="1006">
      <c r="A1006" s="48"/>
      <c r="C1006" s="60"/>
      <c r="D1006" s="46"/>
      <c r="F1006" s="46"/>
      <c r="G1006" s="46"/>
      <c r="H1006" s="46"/>
      <c r="I1006" s="46"/>
      <c r="O1006" s="45"/>
    </row>
    <row r="1007">
      <c r="A1007" s="48"/>
      <c r="C1007" s="60"/>
      <c r="D1007" s="46"/>
      <c r="F1007" s="46"/>
      <c r="G1007" s="46"/>
      <c r="H1007" s="46"/>
      <c r="I1007" s="46"/>
      <c r="O1007" s="45"/>
    </row>
    <row r="1008">
      <c r="A1008" s="48"/>
      <c r="C1008" s="60"/>
      <c r="D1008" s="46"/>
      <c r="F1008" s="46"/>
      <c r="G1008" s="46"/>
      <c r="H1008" s="46"/>
      <c r="I1008" s="46"/>
      <c r="O1008" s="45"/>
    </row>
    <row r="1009">
      <c r="A1009" s="48"/>
      <c r="C1009" s="60"/>
      <c r="D1009" s="46"/>
      <c r="F1009" s="46"/>
      <c r="G1009" s="46"/>
      <c r="H1009" s="46"/>
      <c r="I1009" s="46"/>
      <c r="O1009" s="45"/>
    </row>
    <row r="1010">
      <c r="A1010" s="48"/>
      <c r="C1010" s="60"/>
      <c r="D1010" s="46"/>
      <c r="F1010" s="46"/>
      <c r="G1010" s="46"/>
      <c r="H1010" s="46"/>
      <c r="I1010" s="46"/>
      <c r="O1010" s="45"/>
    </row>
    <row r="1011">
      <c r="A1011" s="48"/>
      <c r="C1011" s="60"/>
      <c r="D1011" s="46"/>
      <c r="F1011" s="46"/>
      <c r="G1011" s="46"/>
      <c r="H1011" s="46"/>
      <c r="I1011" s="46"/>
      <c r="O1011" s="45"/>
    </row>
    <row r="1012">
      <c r="C1012" s="60"/>
      <c r="D1012" s="46"/>
      <c r="F1012" s="46"/>
      <c r="G1012" s="46"/>
      <c r="H1012" s="46"/>
      <c r="I1012" s="46"/>
      <c r="O1012" s="45"/>
    </row>
    <row r="1013">
      <c r="C1013" s="60"/>
      <c r="D1013" s="46"/>
      <c r="F1013" s="46"/>
      <c r="G1013" s="46"/>
      <c r="H1013" s="46"/>
      <c r="I1013" s="46"/>
      <c r="O1013" s="45"/>
    </row>
    <row r="1014">
      <c r="C1014" s="60"/>
      <c r="D1014" s="46"/>
      <c r="F1014" s="46"/>
      <c r="G1014" s="46"/>
      <c r="H1014" s="46"/>
      <c r="I1014" s="46"/>
      <c r="O1014" s="45"/>
    </row>
    <row r="1015">
      <c r="C1015" s="60"/>
      <c r="D1015" s="46"/>
      <c r="F1015" s="46"/>
      <c r="G1015" s="46"/>
      <c r="H1015" s="46"/>
      <c r="I1015" s="46"/>
      <c r="O1015" s="45"/>
    </row>
    <row r="1016">
      <c r="C1016" s="60"/>
      <c r="D1016" s="46"/>
      <c r="F1016" s="46"/>
      <c r="G1016" s="46"/>
      <c r="H1016" s="46"/>
      <c r="I1016" s="46"/>
      <c r="O1016" s="45"/>
    </row>
    <row r="1017">
      <c r="C1017" s="60"/>
      <c r="D1017" s="46"/>
      <c r="F1017" s="46"/>
      <c r="G1017" s="46"/>
      <c r="H1017" s="46"/>
      <c r="I1017" s="46"/>
      <c r="O1017" s="45"/>
    </row>
    <row r="1018">
      <c r="C1018" s="60"/>
      <c r="D1018" s="46"/>
      <c r="F1018" s="46"/>
      <c r="G1018" s="46"/>
      <c r="H1018" s="46"/>
      <c r="I1018" s="46"/>
      <c r="O1018" s="45"/>
    </row>
    <row r="1019">
      <c r="C1019" s="60"/>
      <c r="D1019" s="46"/>
      <c r="F1019" s="46"/>
      <c r="G1019" s="46"/>
      <c r="H1019" s="46"/>
      <c r="I1019" s="46"/>
      <c r="O1019" s="45"/>
    </row>
    <row r="1020">
      <c r="C1020" s="60"/>
      <c r="D1020" s="46"/>
      <c r="F1020" s="46"/>
      <c r="G1020" s="46"/>
      <c r="H1020" s="46"/>
      <c r="I1020" s="46"/>
      <c r="O1020" s="45"/>
    </row>
    <row r="1021">
      <c r="C1021" s="60"/>
      <c r="D1021" s="46"/>
      <c r="F1021" s="46"/>
      <c r="G1021" s="46"/>
      <c r="H1021" s="46"/>
      <c r="I1021" s="46"/>
      <c r="O1021" s="45"/>
    </row>
    <row r="1022">
      <c r="C1022" s="60"/>
      <c r="D1022" s="46"/>
      <c r="F1022" s="46"/>
      <c r="G1022" s="46"/>
      <c r="H1022" s="46"/>
      <c r="I1022" s="46"/>
      <c r="O1022" s="45"/>
    </row>
    <row r="1023">
      <c r="C1023" s="60"/>
      <c r="D1023" s="46"/>
      <c r="F1023" s="46"/>
      <c r="G1023" s="46"/>
      <c r="H1023" s="46"/>
      <c r="I1023" s="46"/>
      <c r="O1023" s="45"/>
    </row>
    <row r="1024">
      <c r="C1024" s="60"/>
      <c r="D1024" s="46"/>
      <c r="F1024" s="46"/>
      <c r="G1024" s="46"/>
      <c r="H1024" s="46"/>
      <c r="I1024" s="46"/>
      <c r="O1024" s="45"/>
    </row>
    <row r="1025">
      <c r="C1025" s="60"/>
      <c r="D1025" s="46"/>
      <c r="F1025" s="46"/>
      <c r="G1025" s="46"/>
      <c r="H1025" s="46"/>
      <c r="I1025" s="46"/>
      <c r="O1025" s="45"/>
    </row>
    <row r="1026">
      <c r="C1026" s="60"/>
      <c r="D1026" s="46"/>
      <c r="F1026" s="46"/>
      <c r="G1026" s="46"/>
      <c r="H1026" s="46"/>
      <c r="I1026" s="46"/>
      <c r="O1026" s="45"/>
    </row>
    <row r="1027">
      <c r="C1027" s="60"/>
      <c r="D1027" s="46"/>
      <c r="F1027" s="46"/>
      <c r="G1027" s="46"/>
      <c r="H1027" s="46"/>
      <c r="I1027" s="46"/>
      <c r="O1027" s="45"/>
    </row>
    <row r="1028">
      <c r="C1028" s="60"/>
      <c r="D1028" s="46"/>
      <c r="F1028" s="46"/>
      <c r="G1028" s="46"/>
      <c r="H1028" s="46"/>
      <c r="I1028" s="46"/>
      <c r="O1028" s="45"/>
    </row>
    <row r="1029">
      <c r="C1029" s="60"/>
      <c r="D1029" s="46"/>
      <c r="F1029" s="46"/>
      <c r="G1029" s="46"/>
      <c r="H1029" s="46"/>
      <c r="I1029" s="46"/>
      <c r="O1029" s="45"/>
    </row>
    <row r="1030">
      <c r="C1030" s="60"/>
      <c r="D1030" s="46"/>
      <c r="F1030" s="46"/>
      <c r="G1030" s="46"/>
      <c r="H1030" s="46"/>
      <c r="I1030" s="46"/>
      <c r="O1030" s="45"/>
    </row>
  </sheetData>
  <conditionalFormatting sqref="G170:H170">
    <cfRule type="expression" dxfId="0" priority="1">
      <formula>"D122 = E122"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23.13"/>
    <col customWidth="1" min="4" max="4" width="16.25"/>
    <col customWidth="1" min="5" max="5" width="17.75"/>
    <col customWidth="1" min="6" max="6" width="14.75"/>
    <col customWidth="1" min="7" max="7" width="14.0"/>
    <col customWidth="1" min="8" max="8" width="22.88"/>
    <col customWidth="1" min="9" max="9" width="26.0"/>
    <col customWidth="1" min="10" max="10" width="23.88"/>
  </cols>
  <sheetData>
    <row r="1" ht="32.25" customHeight="1">
      <c r="A1" s="64" t="s">
        <v>132</v>
      </c>
      <c r="B1" s="64" t="s">
        <v>1493</v>
      </c>
      <c r="C1" s="64" t="s">
        <v>1477</v>
      </c>
      <c r="D1" s="65" t="s">
        <v>1494</v>
      </c>
      <c r="E1" s="65" t="s">
        <v>1495</v>
      </c>
      <c r="F1" s="66" t="s">
        <v>1496</v>
      </c>
      <c r="G1" s="66" t="s">
        <v>1497</v>
      </c>
    </row>
    <row r="2">
      <c r="A2" s="53" t="str">
        <f>IFERROR(__xludf.DUMMYFUNCTION("FILTER(Refined_Data!A2:A129, Refined_Data!E2:E129=""Day"")"),"Abouda, Mohammed")</f>
        <v>Abouda, Mohammed</v>
      </c>
      <c r="B2" s="48" t="str">
        <f>IFERROR(__xludf.DUMMYFUNCTION("FILTER(Refined_Data!O2:O129, Refined_Data!E2:E129=""Day"")"),"Abouda, Mohammed")</f>
        <v>Abouda, Mohammed</v>
      </c>
      <c r="C2" s="48" t="str">
        <f>VLOOKUP(A2, Refined_Data!A:BZ, 5, FALSE)</f>
        <v>Day</v>
      </c>
      <c r="D2" s="46">
        <f>IFERROR( VLOOKUP(B2, Current_Stats!A:Z, 5, FALSE), 1)</f>
        <v>17.1</v>
      </c>
      <c r="E2" s="46">
        <f>IFERROR( VLOOKUP(B2, Previous_Stats!A:Z, 5, FALSE), 1)</f>
        <v>15</v>
      </c>
      <c r="F2" s="67" t="str">
        <f t="shared" ref="F2:F78" si="1">IFS(
  IFERROR(D2 = 1, FALSE), "0",
  IFERROR(D2 &gt;= $H$3, FALSE), "1",
  IFERROR(D2 &gt; $H$7, FALSE), "2",
  IFERROR(D2 &lt;= $H$7, FALSE), "3",
  TRUE, 2
)</f>
        <v>1</v>
      </c>
      <c r="G2" s="67" t="str">
        <f t="shared" ref="G2:G78" si="2">IFS(
  IFERROR(E2 = 1, FALSE), "0",
  IFERROR(E2 &gt;= $H$5, FALSE), "1",
  IFERROR(E2 &gt; $H$9, FALSE), "2",
  IFERROR(E2 &lt;= $H$9, FALSE), "3",
  TRUE, 2
)</f>
        <v>1</v>
      </c>
      <c r="H2" s="68" t="s">
        <v>1498</v>
      </c>
      <c r="I2" s="69" t="s">
        <v>1499</v>
      </c>
      <c r="J2" s="70" t="s">
        <v>1500</v>
      </c>
    </row>
    <row r="3">
      <c r="A3" s="53" t="str">
        <f>IFERROR(__xludf.DUMMYFUNCTION("""COMPUTED_VALUE"""),"Adrien, Goddard")</f>
        <v>Adrien, Goddard</v>
      </c>
      <c r="B3" s="45" t="str">
        <f>IFERROR(__xludf.DUMMYFUNCTION("""COMPUTED_VALUE"""),"Goddard, Adrien")</f>
        <v>Goddard, Adrien</v>
      </c>
      <c r="C3" s="48" t="str">
        <f>VLOOKUP(A3, Refined_Data!A:BZ, 5, FALSE)</f>
        <v>Day</v>
      </c>
      <c r="D3" s="46">
        <f>IFERROR( VLOOKUP(B3, Current_Stats!A:Z, 5, FALSE), 1)</f>
        <v>14.2</v>
      </c>
      <c r="E3" s="46">
        <f>IFERROR( VLOOKUP(B3, Previous_Stats!A:Z, 5, FALSE), 1)</f>
        <v>15</v>
      </c>
      <c r="F3" s="67" t="str">
        <f t="shared" si="1"/>
        <v>2</v>
      </c>
      <c r="G3" s="67" t="str">
        <f t="shared" si="2"/>
        <v>1</v>
      </c>
      <c r="H3" s="71">
        <f>AVERAGEIFS(D2:D79, D2:D79, "&lt;&gt;0", D2:D79, "&lt;&gt;1", D2:D79, "&lt;&gt;")</f>
        <v>14.70263158</v>
      </c>
      <c r="I3" s="71">
        <f>AVERAGEIFS(D80:D139, D80:D139, "&lt;&gt;0", D80:D139, "&lt;&gt;1", D80:D139, "&lt;&gt;")</f>
        <v>12.96538462</v>
      </c>
      <c r="J3" s="71">
        <f>AVERAGEIFS(D140:D187, D140:D187, "&lt;&gt;0", D140:D187, "&lt;&gt;1", D140:D187, "&lt;&gt;")</f>
        <v>8.995</v>
      </c>
    </row>
    <row r="4">
      <c r="A4" s="53" t="str">
        <f>IFERROR(__xludf.DUMMYFUNCTION("""COMPUTED_VALUE"""),"Aidoud, Nabil")</f>
        <v>Aidoud, Nabil</v>
      </c>
      <c r="B4" s="45" t="str">
        <f>IFERROR(__xludf.DUMMYFUNCTION("""COMPUTED_VALUE"""),"Aidoud, Nabil")</f>
        <v>Aidoud, Nabil</v>
      </c>
      <c r="C4" s="48" t="str">
        <f>VLOOKUP(A4, Refined_Data!A:BZ, 5, FALSE)</f>
        <v>Day</v>
      </c>
      <c r="D4" s="46">
        <f>IFERROR( VLOOKUP(B4, Current_Stats!A:Z, 5, FALSE), 1)</f>
        <v>7.5</v>
      </c>
      <c r="E4" s="46">
        <f>IFERROR( VLOOKUP(B4, Previous_Stats!A:Z, 5, FALSE), 1)</f>
        <v>10.2</v>
      </c>
      <c r="F4" s="67" t="str">
        <f t="shared" si="1"/>
        <v>2</v>
      </c>
      <c r="G4" s="67" t="str">
        <f t="shared" si="2"/>
        <v>2</v>
      </c>
      <c r="H4" s="72" t="s">
        <v>1501</v>
      </c>
      <c r="I4" s="73" t="s">
        <v>1502</v>
      </c>
      <c r="J4" s="74" t="s">
        <v>1503</v>
      </c>
    </row>
    <row r="5">
      <c r="A5" s="53" t="str">
        <f>IFERROR(__xludf.DUMMYFUNCTION("""COMPUTED_VALUE"""),"Aquilario, Lester")</f>
        <v>Aquilario, Lester</v>
      </c>
      <c r="B5" s="45" t="str">
        <f>IFERROR(__xludf.DUMMYFUNCTION("""COMPUTED_VALUE"""),"Aquilario, Lester")</f>
        <v>Aquilario, Lester</v>
      </c>
      <c r="C5" s="48" t="str">
        <f>VLOOKUP(A5, Refined_Data!A:BZ, 5, FALSE)</f>
        <v>Day</v>
      </c>
      <c r="D5" s="46">
        <f>IFERROR( VLOOKUP(B5, Current_Stats!A:Z, 5, FALSE), 1)</f>
        <v>12.9</v>
      </c>
      <c r="E5" s="46">
        <f>IFERROR( VLOOKUP(B5, Previous_Stats!A:Z, 5, FALSE), 1)</f>
        <v>14.5</v>
      </c>
      <c r="F5" s="67" t="str">
        <f t="shared" si="1"/>
        <v>2</v>
      </c>
      <c r="G5" s="67" t="str">
        <f t="shared" si="2"/>
        <v>1</v>
      </c>
      <c r="H5" s="71">
        <f>AVERAGEIFS(E2:E79, E2:E79, "&lt;&gt;0", E2:E79, "&lt;&gt;1", E2:E79, "&lt;&gt;")</f>
        <v>14.43157895</v>
      </c>
      <c r="I5" s="71">
        <f>AVERAGEIFS(E80:E139, E80:E139, "&lt;&gt;0", E80:E139, "&lt;&gt;1", E80:E139, "&lt;&gt;")</f>
        <v>12.78846154</v>
      </c>
      <c r="J5" s="71">
        <f>AVERAGEIFS(E140:E187, E140:E187, "&lt;&gt;0", E140:E187, "&lt;&gt;1", E140:E187, "&lt;&gt;")</f>
        <v>8.536842105</v>
      </c>
    </row>
    <row r="6">
      <c r="A6" s="53" t="str">
        <f>IFERROR(__xludf.DUMMYFUNCTION("""COMPUTED_VALUE"""),"Baisi , Jean-Gabriel")</f>
        <v>Baisi , Jean-Gabriel</v>
      </c>
      <c r="B6" s="45" t="str">
        <f>IFERROR(__xludf.DUMMYFUNCTION("""COMPUTED_VALUE"""),"Baisi, Jean-Gabriel")</f>
        <v>Baisi, Jean-Gabriel</v>
      </c>
      <c r="C6" s="48" t="str">
        <f>VLOOKUP(A6, Refined_Data!A:BZ, 5, FALSE)</f>
        <v>Day</v>
      </c>
      <c r="D6" s="46">
        <f>IFERROR( VLOOKUP(B6, Current_Stats!A:Z, 5, FALSE), 1)</f>
        <v>15.1</v>
      </c>
      <c r="E6" s="46">
        <f>IFERROR( VLOOKUP(B6, Previous_Stats!A:Z, 5, FALSE), 1)</f>
        <v>17.2</v>
      </c>
      <c r="F6" s="67" t="str">
        <f t="shared" si="1"/>
        <v>1</v>
      </c>
      <c r="G6" s="67" t="str">
        <f t="shared" si="2"/>
        <v>1</v>
      </c>
      <c r="H6" s="72" t="s">
        <v>1504</v>
      </c>
      <c r="I6" s="73" t="s">
        <v>1505</v>
      </c>
      <c r="J6" s="74" t="s">
        <v>1506</v>
      </c>
    </row>
    <row r="7">
      <c r="A7" s="53" t="str">
        <f>IFERROR(__xludf.DUMMYFUNCTION("""COMPUTED_VALUE"""),"Bercier, France")</f>
        <v>Bercier, France</v>
      </c>
      <c r="B7" s="45" t="str">
        <f>IFERROR(__xludf.DUMMYFUNCTION("""COMPUTED_VALUE"""),"Bercier, France")</f>
        <v>Bercier, France</v>
      </c>
      <c r="C7" s="48" t="str">
        <f>VLOOKUP(A7, Refined_Data!A:BZ, 5, FALSE)</f>
        <v>Day</v>
      </c>
      <c r="D7" s="46">
        <f>IFERROR( VLOOKUP(B7, Current_Stats!A:Z, 5, FALSE), 1)</f>
        <v>18.9</v>
      </c>
      <c r="E7" s="46">
        <f>IFERROR( VLOOKUP(B7, Previous_Stats!A:Z, 5, FALSE), 1)</f>
        <v>19.7</v>
      </c>
      <c r="F7" s="67" t="str">
        <f t="shared" si="1"/>
        <v>1</v>
      </c>
      <c r="G7" s="67" t="str">
        <f t="shared" si="2"/>
        <v>1</v>
      </c>
      <c r="H7" s="71">
        <f t="shared" ref="H7:J7" si="3">H3/2</f>
        <v>7.351315789</v>
      </c>
      <c r="I7" s="71">
        <f t="shared" si="3"/>
        <v>6.482692308</v>
      </c>
      <c r="J7" s="71">
        <f t="shared" si="3"/>
        <v>4.4975</v>
      </c>
    </row>
    <row r="8">
      <c r="A8" s="53" t="str">
        <f>IFERROR(__xludf.DUMMYFUNCTION("""COMPUTED_VALUE"""),"Calanza, Stevenson")</f>
        <v>Calanza, Stevenson</v>
      </c>
      <c r="B8" s="45" t="str">
        <f>IFERROR(__xludf.DUMMYFUNCTION("""COMPUTED_VALUE"""),"Calanza, Stevenson")</f>
        <v>Calanza, Stevenson</v>
      </c>
      <c r="C8" s="48" t="str">
        <f>VLOOKUP(A8, Refined_Data!A:BZ, 5, FALSE)</f>
        <v>Day</v>
      </c>
      <c r="D8" s="46">
        <f>IFERROR( VLOOKUP(B8, Current_Stats!A:Z, 5, FALSE), 1)</f>
        <v>20.6</v>
      </c>
      <c r="E8" s="46">
        <f>IFERROR( VLOOKUP(B8, Previous_Stats!A:Z, 5, FALSE), 1)</f>
        <v>20.9</v>
      </c>
      <c r="F8" s="67" t="str">
        <f t="shared" si="1"/>
        <v>1</v>
      </c>
      <c r="G8" s="67" t="str">
        <f t="shared" si="2"/>
        <v>1</v>
      </c>
      <c r="H8" s="68" t="s">
        <v>1507</v>
      </c>
      <c r="I8" s="69" t="s">
        <v>1508</v>
      </c>
      <c r="J8" s="70" t="s">
        <v>1509</v>
      </c>
    </row>
    <row r="9">
      <c r="A9" s="53" t="str">
        <f>IFERROR(__xludf.DUMMYFUNCTION("""COMPUTED_VALUE"""),"Carvajal-Yiptong, Diego Armando")</f>
        <v>Carvajal-Yiptong, Diego Armando</v>
      </c>
      <c r="B9" s="45" t="str">
        <f>IFERROR(__xludf.DUMMYFUNCTION("""COMPUTED_VALUE"""),"Carvajal Yiptong, Diego Armando")</f>
        <v>Carvajal Yiptong, Diego Armando</v>
      </c>
      <c r="C9" s="48" t="str">
        <f>VLOOKUP(A9, Refined_Data!A:BZ, 5, FALSE)</f>
        <v>Day</v>
      </c>
      <c r="D9" s="46">
        <f>IFERROR( VLOOKUP(B9, Current_Stats!A:Z, 5, FALSE), 1)</f>
        <v>11.7</v>
      </c>
      <c r="E9" s="46">
        <f>IFERROR( VLOOKUP(B9, Previous_Stats!A:Z, 5, FALSE), 1)</f>
        <v>10.7</v>
      </c>
      <c r="F9" s="67" t="str">
        <f t="shared" si="1"/>
        <v>2</v>
      </c>
      <c r="G9" s="67" t="str">
        <f t="shared" si="2"/>
        <v>2</v>
      </c>
      <c r="H9" s="71">
        <f t="shared" ref="H9:J9" si="4">H5/2</f>
        <v>7.215789474</v>
      </c>
      <c r="I9" s="71">
        <f t="shared" si="4"/>
        <v>6.394230769</v>
      </c>
      <c r="J9" s="71">
        <f t="shared" si="4"/>
        <v>4.268421053</v>
      </c>
    </row>
    <row r="10">
      <c r="A10" s="53" t="str">
        <f>IFERROR(__xludf.DUMMYFUNCTION("""COMPUTED_VALUE"""),"Chénard, William")</f>
        <v>Chénard, William</v>
      </c>
      <c r="B10" s="45" t="str">
        <f>IFERROR(__xludf.DUMMYFUNCTION("""COMPUTED_VALUE"""),"Chenard, William")</f>
        <v>Chenard, William</v>
      </c>
      <c r="C10" s="48" t="str">
        <f>VLOOKUP(A10, Refined_Data!A:BZ, 5, FALSE)</f>
        <v>Day</v>
      </c>
      <c r="D10" s="46">
        <f>IFERROR( VLOOKUP(B10, Current_Stats!A:Z, 5, FALSE), 1)</f>
        <v>15.3</v>
      </c>
      <c r="E10" s="46">
        <f>IFERROR( VLOOKUP(B10, Previous_Stats!A:Z, 5, FALSE), 1)</f>
        <v>16</v>
      </c>
      <c r="F10" s="67" t="str">
        <f t="shared" si="1"/>
        <v>1</v>
      </c>
      <c r="G10" s="67" t="str">
        <f t="shared" si="2"/>
        <v>1</v>
      </c>
    </row>
    <row r="11">
      <c r="A11" s="53" t="str">
        <f>IFERROR(__xludf.DUMMYFUNCTION("""COMPUTED_VALUE"""),"Constant, Francesca")</f>
        <v>Constant, Francesca</v>
      </c>
      <c r="B11" s="45" t="str">
        <f>IFERROR(__xludf.DUMMYFUNCTION("""COMPUTED_VALUE"""),"Constant, Francesca")</f>
        <v>Constant, Francesca</v>
      </c>
      <c r="C11" s="48" t="str">
        <f>VLOOKUP(A11, Refined_Data!A:BZ, 5, FALSE)</f>
        <v>Day</v>
      </c>
      <c r="D11" s="46">
        <f>IFERROR( VLOOKUP(B11, Current_Stats!A:Z, 5, FALSE), 1)</f>
        <v>15.1</v>
      </c>
      <c r="E11" s="46">
        <f>IFERROR( VLOOKUP(B11, Previous_Stats!A:Z, 5, FALSE), 1)</f>
        <v>16.3</v>
      </c>
      <c r="F11" s="67" t="str">
        <f t="shared" si="1"/>
        <v>1</v>
      </c>
      <c r="G11" s="67" t="str">
        <f t="shared" si="2"/>
        <v>1</v>
      </c>
    </row>
    <row r="12">
      <c r="A12" s="53" t="str">
        <f>IFERROR(__xludf.DUMMYFUNCTION("""COMPUTED_VALUE"""),"Deschineau, Shelsey Ann")</f>
        <v>Deschineau, Shelsey Ann</v>
      </c>
      <c r="B12" s="45" t="str">
        <f>IFERROR(__xludf.DUMMYFUNCTION("""COMPUTED_VALUE"""),"Deschineau, Shelsey Ann")</f>
        <v>Deschineau, Shelsey Ann</v>
      </c>
      <c r="C12" s="48" t="str">
        <f>VLOOKUP(A12, Refined_Data!A:BZ, 5, FALSE)</f>
        <v>Day</v>
      </c>
      <c r="D12" s="46">
        <f>IFERROR( VLOOKUP(B12, Current_Stats!A:Z, 5, FALSE), 1)</f>
        <v>15.4</v>
      </c>
      <c r="E12" s="46">
        <f>IFERROR( VLOOKUP(B12, Previous_Stats!A:Z, 5, FALSE), 1)</f>
        <v>15.9</v>
      </c>
      <c r="F12" s="67" t="str">
        <f t="shared" si="1"/>
        <v>1</v>
      </c>
      <c r="G12" s="67" t="str">
        <f t="shared" si="2"/>
        <v>1</v>
      </c>
    </row>
    <row r="13">
      <c r="A13" s="53" t="str">
        <f>IFERROR(__xludf.DUMMYFUNCTION("""COMPUTED_VALUE"""),"Desjardins, Lucie")</f>
        <v>Desjardins, Lucie</v>
      </c>
      <c r="B13" s="45" t="str">
        <f>IFERROR(__xludf.DUMMYFUNCTION("""COMPUTED_VALUE"""),"Desjardins, Lucie")</f>
        <v>Desjardins, Lucie</v>
      </c>
      <c r="C13" s="48" t="str">
        <f>VLOOKUP(A13, Refined_Data!A:BZ, 5, FALSE)</f>
        <v>Day</v>
      </c>
      <c r="D13" s="46">
        <f>IFERROR( VLOOKUP(B13, Current_Stats!A:Z, 5, FALSE), 1)</f>
        <v>21.1</v>
      </c>
      <c r="E13" s="46">
        <f>IFERROR( VLOOKUP(B13, Previous_Stats!A:Z, 5, FALSE), 1)</f>
        <v>20.9</v>
      </c>
      <c r="F13" s="67" t="str">
        <f t="shared" si="1"/>
        <v>1</v>
      </c>
      <c r="G13" s="67" t="str">
        <f t="shared" si="2"/>
        <v>1</v>
      </c>
    </row>
    <row r="14">
      <c r="A14" s="53" t="str">
        <f>IFERROR(__xludf.DUMMYFUNCTION("""COMPUTED_VALUE"""),"Dupuis, Joanie")</f>
        <v>Dupuis, Joanie</v>
      </c>
      <c r="B14" s="45" t="str">
        <f>IFERROR(__xludf.DUMMYFUNCTION("""COMPUTED_VALUE"""),"Dupuis, Joanie")</f>
        <v>Dupuis, Joanie</v>
      </c>
      <c r="C14" s="48" t="str">
        <f>VLOOKUP(A14, Refined_Data!A:BZ, 5, FALSE)</f>
        <v>Day</v>
      </c>
      <c r="D14" s="46">
        <f>IFERROR( VLOOKUP(B14, Current_Stats!A:Z, 5, FALSE), 1)</f>
        <v>12.8</v>
      </c>
      <c r="E14" s="46">
        <f>IFERROR( VLOOKUP(B14, Previous_Stats!A:Z, 5, FALSE), 1)</f>
        <v>10.9</v>
      </c>
      <c r="F14" s="67" t="str">
        <f t="shared" si="1"/>
        <v>2</v>
      </c>
      <c r="G14" s="67" t="str">
        <f t="shared" si="2"/>
        <v>2</v>
      </c>
    </row>
    <row r="15">
      <c r="A15" s="53" t="str">
        <f>IFERROR(__xludf.DUMMYFUNCTION("""COMPUTED_VALUE"""),"Gil Cervino, Henrique Alexandre")</f>
        <v>Gil Cervino, Henrique Alexandre</v>
      </c>
      <c r="B15" s="45" t="str">
        <f>IFERROR(__xludf.DUMMYFUNCTION("""COMPUTED_VALUE"""),"Gil Cervino, Henrique Alexandre")</f>
        <v>Gil Cervino, Henrique Alexandre</v>
      </c>
      <c r="C15" s="48" t="str">
        <f>VLOOKUP(A15, Refined_Data!A:BZ, 5, FALSE)</f>
        <v>Day</v>
      </c>
      <c r="D15" s="46">
        <f>IFERROR( VLOOKUP(B15, Current_Stats!A:Z, 5, FALSE), 1)</f>
        <v>3.1</v>
      </c>
      <c r="E15" s="46">
        <f>IFERROR( VLOOKUP(B15, Previous_Stats!A:Z, 5, FALSE), 1)</f>
        <v>2.9</v>
      </c>
      <c r="F15" s="67" t="str">
        <f t="shared" si="1"/>
        <v>3</v>
      </c>
      <c r="G15" s="67" t="str">
        <f t="shared" si="2"/>
        <v>3</v>
      </c>
    </row>
    <row r="16">
      <c r="A16" s="53" t="str">
        <f>IFERROR(__xludf.DUMMYFUNCTION("""COMPUTED_VALUE"""),"Herbst, Emily")</f>
        <v>Herbst, Emily</v>
      </c>
      <c r="B16" s="45" t="str">
        <f>IFERROR(__xludf.DUMMYFUNCTION("""COMPUTED_VALUE"""),"Herbst, Emily Blythe")</f>
        <v>Herbst, Emily Blythe</v>
      </c>
      <c r="C16" s="48" t="str">
        <f>VLOOKUP(A16, Refined_Data!A:BZ, 5, FALSE)</f>
        <v>Day</v>
      </c>
      <c r="D16" s="46">
        <f>IFERROR( VLOOKUP(B16, Current_Stats!A:Z, 5, FALSE), 10)</f>
        <v>12</v>
      </c>
      <c r="E16" s="46">
        <f>IFERROR( VLOOKUP(B16, Previous_Stats!A:Z, 5, FALSE), 1)</f>
        <v>12.1</v>
      </c>
      <c r="F16" s="67" t="str">
        <f t="shared" si="1"/>
        <v>2</v>
      </c>
      <c r="G16" s="67" t="str">
        <f t="shared" si="2"/>
        <v>2</v>
      </c>
    </row>
    <row r="17">
      <c r="A17" s="53" t="str">
        <f>IFERROR(__xludf.DUMMYFUNCTION("""COMPUTED_VALUE"""),"Hirst-Smith, Courtnay")</f>
        <v>Hirst-Smith, Courtnay</v>
      </c>
      <c r="B17" s="45" t="str">
        <f>IFERROR(__xludf.DUMMYFUNCTION("""COMPUTED_VALUE"""),"Hirst-Smith, Courtnay")</f>
        <v>Hirst-Smith, Courtnay</v>
      </c>
      <c r="C17" s="48" t="str">
        <f>VLOOKUP(A17, Refined_Data!A:BZ, 5, FALSE)</f>
        <v>Day</v>
      </c>
      <c r="D17" s="46">
        <f>IFERROR( VLOOKUP(B17, Current_Stats!A:Z, 5, FALSE), 1)</f>
        <v>13.4</v>
      </c>
      <c r="E17" s="46">
        <f>IFERROR( VLOOKUP(B17, Previous_Stats!A:Z, 5, FALSE), 1)</f>
        <v>10.9</v>
      </c>
      <c r="F17" s="67" t="str">
        <f t="shared" si="1"/>
        <v>2</v>
      </c>
      <c r="G17" s="67" t="str">
        <f t="shared" si="2"/>
        <v>2</v>
      </c>
    </row>
    <row r="18">
      <c r="A18" s="53" t="str">
        <f>IFERROR(__xludf.DUMMYFUNCTION("""COMPUTED_VALUE"""),"Hirwa, Jules Adam")</f>
        <v>Hirwa, Jules Adam</v>
      </c>
      <c r="B18" s="45" t="str">
        <f>IFERROR(__xludf.DUMMYFUNCTION("""COMPUTED_VALUE"""),"Hirwa, Jules Adam")</f>
        <v>Hirwa, Jules Adam</v>
      </c>
      <c r="C18" s="48" t="str">
        <f>VLOOKUP(A18, Refined_Data!A:BZ, 5, FALSE)</f>
        <v>Day</v>
      </c>
      <c r="D18" s="46">
        <f>IFERROR( VLOOKUP(B18, Current_Stats!A:Z, 5, FALSE), 1)</f>
        <v>11.5</v>
      </c>
      <c r="E18" s="46">
        <f>IFERROR( VLOOKUP(B18, Previous_Stats!A:Z, 5, FALSE), 1)</f>
        <v>10.5</v>
      </c>
      <c r="F18" s="67" t="str">
        <f t="shared" si="1"/>
        <v>2</v>
      </c>
      <c r="G18" s="67" t="str">
        <f t="shared" si="2"/>
        <v>2</v>
      </c>
    </row>
    <row r="19">
      <c r="A19" s="53" t="str">
        <f>IFERROR(__xludf.DUMMYFUNCTION("""COMPUTED_VALUE"""),"Ho, Hong (Destiny)")</f>
        <v>Ho, Hong (Destiny)</v>
      </c>
      <c r="B19" s="45" t="str">
        <f>IFERROR(__xludf.DUMMYFUNCTION("""COMPUTED_VALUE"""),"Ho, Destiny")</f>
        <v>Ho, Destiny</v>
      </c>
      <c r="C19" s="48" t="str">
        <f>VLOOKUP(A19, Refined_Data!A:BZ, 5, FALSE)</f>
        <v>Day</v>
      </c>
      <c r="D19" s="46">
        <f>IFERROR( VLOOKUP(B19, Current_Stats!A:Z, 5, FALSE), 1)</f>
        <v>10.7</v>
      </c>
      <c r="E19" s="46">
        <f>IFERROR( VLOOKUP(B19, Previous_Stats!A:Z, 5, FALSE), 1)</f>
        <v>9</v>
      </c>
      <c r="F19" s="67" t="str">
        <f t="shared" si="1"/>
        <v>2</v>
      </c>
      <c r="G19" s="67" t="str">
        <f t="shared" si="2"/>
        <v>2</v>
      </c>
    </row>
    <row r="20">
      <c r="A20" s="53" t="str">
        <f>IFERROR(__xludf.DUMMYFUNCTION("""COMPUTED_VALUE"""),"Ininahazwe, Sabrina Amanda")</f>
        <v>Ininahazwe, Sabrina Amanda</v>
      </c>
      <c r="B20" s="45" t="str">
        <f>IFERROR(__xludf.DUMMYFUNCTION("""COMPUTED_VALUE"""),"Ininahazwe, Sabrina Amanda")</f>
        <v>Ininahazwe, Sabrina Amanda</v>
      </c>
      <c r="C20" s="48" t="str">
        <f>VLOOKUP(A20, Refined_Data!A:BZ, 5, FALSE)</f>
        <v>Day</v>
      </c>
      <c r="D20" s="46">
        <f>IFERROR( VLOOKUP(B20, Current_Stats!A:Z, 5, FALSE), 1)</f>
        <v>7.4</v>
      </c>
      <c r="E20" s="46">
        <f>IFERROR( VLOOKUP(B20, Previous_Stats!A:Z, 5, FALSE), 1)</f>
        <v>6.5</v>
      </c>
      <c r="F20" s="67" t="str">
        <f t="shared" si="1"/>
        <v>2</v>
      </c>
      <c r="G20" s="67" t="str">
        <f t="shared" si="2"/>
        <v>3</v>
      </c>
    </row>
    <row r="21">
      <c r="A21" s="53" t="str">
        <f>IFERROR(__xludf.DUMMYFUNCTION("""COMPUTED_VALUE"""),"Joseph, Whilston")</f>
        <v>Joseph, Whilston</v>
      </c>
      <c r="B21" s="45" t="str">
        <f>IFERROR(__xludf.DUMMYFUNCTION("""COMPUTED_VALUE"""),"Joseph, Whilston")</f>
        <v>Joseph, Whilston</v>
      </c>
      <c r="C21" s="48" t="str">
        <f>VLOOKUP(A21, Refined_Data!A:BZ, 5, FALSE)</f>
        <v>Day</v>
      </c>
      <c r="D21" s="46">
        <f>IFERROR( VLOOKUP(B21, Current_Stats!A:Z, 5, FALSE), 1)</f>
        <v>11.1</v>
      </c>
      <c r="E21" s="46">
        <f>IFERROR( VLOOKUP(B21, Previous_Stats!A:Z, 5, FALSE), 1)</f>
        <v>10.2</v>
      </c>
      <c r="F21" s="67" t="str">
        <f t="shared" si="1"/>
        <v>2</v>
      </c>
      <c r="G21" s="67" t="str">
        <f t="shared" si="2"/>
        <v>2</v>
      </c>
    </row>
    <row r="22">
      <c r="A22" s="53" t="str">
        <f>IFERROR(__xludf.DUMMYFUNCTION("""COMPUTED_VALUE"""),"Kaur Mann, Talwinder")</f>
        <v>Kaur Mann, Talwinder</v>
      </c>
      <c r="B22" s="45" t="str">
        <f>IFERROR(__xludf.DUMMYFUNCTION("""COMPUTED_VALUE"""),"Mann, Talwinder")</f>
        <v>Mann, Talwinder</v>
      </c>
      <c r="C22" s="48" t="str">
        <f>VLOOKUP(A22, Refined_Data!A:BZ, 5, FALSE)</f>
        <v>Day</v>
      </c>
      <c r="D22" s="46">
        <f>IFERROR( VLOOKUP(B22, Current_Stats!A:Z, 5, FALSE), 1)</f>
        <v>12.2</v>
      </c>
      <c r="E22" s="46">
        <f>IFERROR( VLOOKUP(B22, Previous_Stats!A:Z, 5, FALSE), 1)</f>
        <v>11.3</v>
      </c>
      <c r="F22" s="67" t="str">
        <f t="shared" si="1"/>
        <v>2</v>
      </c>
      <c r="G22" s="67" t="str">
        <f t="shared" si="2"/>
        <v>2</v>
      </c>
    </row>
    <row r="23">
      <c r="A23" s="53" t="str">
        <f>IFERROR(__xludf.DUMMYFUNCTION("""COMPUTED_VALUE"""),"Labbé-Géolier , Simon Olivier")</f>
        <v>Labbé-Géolier , Simon Olivier</v>
      </c>
      <c r="B23" s="45" t="str">
        <f>IFERROR(__xludf.DUMMYFUNCTION("""COMPUTED_VALUE"""),"Labbe-Geolier, Simon Oliver")</f>
        <v>Labbe-Geolier, Simon Oliver</v>
      </c>
      <c r="C23" s="48" t="str">
        <f>VLOOKUP(A23, Refined_Data!A:BZ, 5, FALSE)</f>
        <v>Day</v>
      </c>
      <c r="D23" s="46">
        <f>IFERROR( VLOOKUP(B23, Current_Stats!A:Z, 5, FALSE), 1)</f>
        <v>9</v>
      </c>
      <c r="E23" s="46">
        <f>IFERROR( VLOOKUP(B23, Previous_Stats!A:Z, 5, FALSE), 1)</f>
        <v>10.3</v>
      </c>
      <c r="F23" s="67" t="str">
        <f t="shared" si="1"/>
        <v>2</v>
      </c>
      <c r="G23" s="67" t="str">
        <f t="shared" si="2"/>
        <v>2</v>
      </c>
    </row>
    <row r="24">
      <c r="A24" s="53" t="str">
        <f>IFERROR(__xludf.DUMMYFUNCTION("""COMPUTED_VALUE"""),"Landry, Josianne")</f>
        <v>Landry, Josianne</v>
      </c>
      <c r="B24" s="45" t="str">
        <f>IFERROR(__xludf.DUMMYFUNCTION("""COMPUTED_VALUE"""),"Landry, Josianne")</f>
        <v>Landry, Josianne</v>
      </c>
      <c r="C24" s="48" t="str">
        <f>VLOOKUP(A24, Refined_Data!A:BZ, 5, FALSE)</f>
        <v>Day</v>
      </c>
      <c r="D24" s="46">
        <f>IFERROR( VLOOKUP(B24, Current_Stats!A:Z, 5, FALSE), 1)</f>
        <v>59.2</v>
      </c>
      <c r="E24" s="46">
        <f>IFERROR( VLOOKUP(B24, Previous_Stats!A:Z, 5, FALSE), 1)</f>
        <v>49.1</v>
      </c>
      <c r="F24" s="67" t="str">
        <f t="shared" si="1"/>
        <v>1</v>
      </c>
      <c r="G24" s="67" t="str">
        <f t="shared" si="2"/>
        <v>1</v>
      </c>
    </row>
    <row r="25">
      <c r="A25" s="53" t="str">
        <f>IFERROR(__xludf.DUMMYFUNCTION("""COMPUTED_VALUE"""),"Marcil, Carol")</f>
        <v>Marcil, Carol</v>
      </c>
      <c r="B25" s="45" t="str">
        <f>IFERROR(__xludf.DUMMYFUNCTION("""COMPUTED_VALUE"""),"Marcil, Carol")</f>
        <v>Marcil, Carol</v>
      </c>
      <c r="C25" s="48" t="str">
        <f>VLOOKUP(A25, Refined_Data!A:BZ, 5, FALSE)</f>
        <v>Day</v>
      </c>
      <c r="D25" s="46">
        <f>IFERROR( VLOOKUP(B25, Current_Stats!A:Z, 5, FALSE), 1)</f>
        <v>33.6</v>
      </c>
      <c r="E25" s="46">
        <f>IFERROR( VLOOKUP(B25, Previous_Stats!A:Z, 5, FALSE), 1)</f>
        <v>36.3</v>
      </c>
      <c r="F25" s="67" t="str">
        <f t="shared" si="1"/>
        <v>1</v>
      </c>
      <c r="G25" s="67" t="str">
        <f t="shared" si="2"/>
        <v>1</v>
      </c>
    </row>
    <row r="26">
      <c r="A26" s="53" t="str">
        <f>IFERROR(__xludf.DUMMYFUNCTION("""COMPUTED_VALUE"""),"Melgar, Rafael")</f>
        <v>Melgar, Rafael</v>
      </c>
      <c r="B26" s="45" t="str">
        <f>IFERROR(__xludf.DUMMYFUNCTION("""COMPUTED_VALUE"""),"Melgar, Rafael")</f>
        <v>Melgar, Rafael</v>
      </c>
      <c r="C26" s="48" t="str">
        <f>VLOOKUP(A26, Refined_Data!A:BZ, 5, FALSE)</f>
        <v>Day</v>
      </c>
      <c r="D26" s="46">
        <f>IFERROR( VLOOKUP(B26, Current_Stats!A:Z, 5, FALSE), 1)</f>
        <v>18.3</v>
      </c>
      <c r="E26" s="46">
        <f>IFERROR( VLOOKUP(B26, Previous_Stats!A:Z, 5, FALSE), 1)</f>
        <v>17.9</v>
      </c>
      <c r="F26" s="67" t="str">
        <f t="shared" si="1"/>
        <v>1</v>
      </c>
      <c r="G26" s="67" t="str">
        <f t="shared" si="2"/>
        <v>1</v>
      </c>
    </row>
    <row r="27">
      <c r="A27" s="53" t="str">
        <f>IFERROR(__xludf.DUMMYFUNCTION("""COMPUTED_VALUE"""),"Mertens, Antonia")</f>
        <v>Mertens, Antonia</v>
      </c>
      <c r="B27" s="45" t="str">
        <f>IFERROR(__xludf.DUMMYFUNCTION("""COMPUTED_VALUE"""),"Mertens, Antonia")</f>
        <v>Mertens, Antonia</v>
      </c>
      <c r="C27" s="48" t="str">
        <f>VLOOKUP(A27, Refined_Data!A:BZ, 5, FALSE)</f>
        <v>Day</v>
      </c>
      <c r="D27" s="46">
        <f>IFERROR( VLOOKUP(B27, Current_Stats!A:Z, 5, FALSE), 1)</f>
        <v>17.3</v>
      </c>
      <c r="E27" s="46">
        <f>IFERROR( VLOOKUP(B27, Previous_Stats!A:Z, 5, FALSE), 1)</f>
        <v>16.9</v>
      </c>
      <c r="F27" s="67" t="str">
        <f t="shared" si="1"/>
        <v>1</v>
      </c>
      <c r="G27" s="67" t="str">
        <f t="shared" si="2"/>
        <v>1</v>
      </c>
    </row>
    <row r="28">
      <c r="A28" s="53" t="str">
        <f>IFERROR(__xludf.DUMMYFUNCTION("""COMPUTED_VALUE"""),"Mondrzejewski, Dave")</f>
        <v>Mondrzejewski, Dave</v>
      </c>
      <c r="B28" s="45" t="str">
        <f>IFERROR(__xludf.DUMMYFUNCTION("""COMPUTED_VALUE"""),"Mondrzejewski, Dave")</f>
        <v>Mondrzejewski, Dave</v>
      </c>
      <c r="C28" s="48" t="str">
        <f>VLOOKUP(A28, Refined_Data!A:BZ, 5, FALSE)</f>
        <v>Day</v>
      </c>
      <c r="D28" s="46">
        <f>IFERROR( VLOOKUP(B28, Current_Stats!A:Z, 5, FALSE), 1)</f>
        <v>10.4</v>
      </c>
      <c r="E28" s="46">
        <f>IFERROR( VLOOKUP(B28, Previous_Stats!A:Z, 5, FALSE), 1)</f>
        <v>10.4</v>
      </c>
      <c r="F28" s="67" t="str">
        <f t="shared" si="1"/>
        <v>2</v>
      </c>
      <c r="G28" s="67" t="str">
        <f t="shared" si="2"/>
        <v>2</v>
      </c>
    </row>
    <row r="29">
      <c r="A29" s="53" t="str">
        <f>IFERROR(__xludf.DUMMYFUNCTION("""COMPUTED_VALUE"""),"Narayanaparambath, Ekta")</f>
        <v>Narayanaparambath, Ekta</v>
      </c>
      <c r="B29" s="45" t="str">
        <f>IFERROR(__xludf.DUMMYFUNCTION("""COMPUTED_VALUE"""),"Narayanaparambath, Ekta")</f>
        <v>Narayanaparambath, Ekta</v>
      </c>
      <c r="C29" s="48" t="str">
        <f>VLOOKUP(A29, Refined_Data!A:BZ, 5, FALSE)</f>
        <v>Day</v>
      </c>
      <c r="D29" s="46">
        <f>IFERROR( VLOOKUP(B29, Current_Stats!A:Z, 5, FALSE), 1)</f>
        <v>16</v>
      </c>
      <c r="E29" s="46">
        <f>IFERROR( VLOOKUP(B29, Previous_Stats!A:Z, 5, FALSE), 1)</f>
        <v>17.2</v>
      </c>
      <c r="F29" s="67" t="str">
        <f t="shared" si="1"/>
        <v>1</v>
      </c>
      <c r="G29" s="67" t="str">
        <f t="shared" si="2"/>
        <v>1</v>
      </c>
    </row>
    <row r="30">
      <c r="A30" s="53" t="str">
        <f>IFERROR(__xludf.DUMMYFUNCTION("""COMPUTED_VALUE"""),"Pandey, Mridula")</f>
        <v>Pandey, Mridula</v>
      </c>
      <c r="B30" s="48" t="str">
        <f>IFERROR(__xludf.DUMMYFUNCTION("""COMPUTED_VALUE"""),"Pandey, Mridula")</f>
        <v>Pandey, Mridula</v>
      </c>
      <c r="C30" s="48" t="str">
        <f>VLOOKUP(A30, Refined_Data!A:BZ, 5, FALSE)</f>
        <v>Day</v>
      </c>
      <c r="D30" s="46">
        <f>IFERROR( VLOOKUP(B30, Current_Stats!A:Z, 5, FALSE), 1)</f>
        <v>11.8</v>
      </c>
      <c r="E30" s="46">
        <f>IFERROR( VLOOKUP(B30, Previous_Stats!A:Z, 5, FALSE), 1)</f>
        <v>10.6</v>
      </c>
      <c r="F30" s="67" t="str">
        <f t="shared" si="1"/>
        <v>2</v>
      </c>
      <c r="G30" s="67" t="str">
        <f t="shared" si="2"/>
        <v>2</v>
      </c>
    </row>
    <row r="31">
      <c r="A31" s="53" t="str">
        <f>IFERROR(__xludf.DUMMYFUNCTION("""COMPUTED_VALUE"""),"Petruska, Jennifer")</f>
        <v>Petruska, Jennifer</v>
      </c>
      <c r="B31" s="45" t="str">
        <f>IFERROR(__xludf.DUMMYFUNCTION("""COMPUTED_VALUE"""),"Petruska, Jennifer")</f>
        <v>Petruska, Jennifer</v>
      </c>
      <c r="C31" s="48" t="str">
        <f>VLOOKUP(A31, Refined_Data!A:BZ, 5, FALSE)</f>
        <v>Day</v>
      </c>
      <c r="D31" s="46">
        <f>IFERROR( VLOOKUP(B31, Current_Stats!A:Z, 5, FALSE), 1)</f>
        <v>15.4</v>
      </c>
      <c r="E31" s="46">
        <f>IFERROR( VLOOKUP(B31, Previous_Stats!A:Z, 5, FALSE), 1)</f>
        <v>14.9</v>
      </c>
      <c r="F31" s="67" t="str">
        <f t="shared" si="1"/>
        <v>1</v>
      </c>
      <c r="G31" s="67" t="str">
        <f t="shared" si="2"/>
        <v>1</v>
      </c>
    </row>
    <row r="32">
      <c r="A32" s="53" t="str">
        <f>IFERROR(__xludf.DUMMYFUNCTION("""COMPUTED_VALUE"""),"Sanon, Shana")</f>
        <v>Sanon, Shana</v>
      </c>
      <c r="B32" s="45" t="str">
        <f>IFERROR(__xludf.DUMMYFUNCTION("""COMPUTED_VALUE"""),"Sanon, Shana Geralda")</f>
        <v>Sanon, Shana Geralda</v>
      </c>
      <c r="C32" s="48" t="str">
        <f>VLOOKUP(A32, Refined_Data!A:BZ, 5, FALSE)</f>
        <v>Day</v>
      </c>
      <c r="D32" s="46">
        <f>IFERROR( VLOOKUP(B32, Current_Stats!A:Z, 5, FALSE), 1)</f>
        <v>12</v>
      </c>
      <c r="E32" s="46">
        <f>IFERROR( VLOOKUP(B32, Previous_Stats!A:Z, 5, FALSE), 1)</f>
        <v>11.7</v>
      </c>
      <c r="F32" s="67" t="str">
        <f t="shared" si="1"/>
        <v>2</v>
      </c>
      <c r="G32" s="67" t="str">
        <f t="shared" si="2"/>
        <v>2</v>
      </c>
    </row>
    <row r="33">
      <c r="A33" s="53" t="str">
        <f>IFERROR(__xludf.DUMMYFUNCTION("""COMPUTED_VALUE"""),"Senechal, Manon")</f>
        <v>Senechal, Manon</v>
      </c>
      <c r="B33" s="45" t="str">
        <f>IFERROR(__xludf.DUMMYFUNCTION("""COMPUTED_VALUE"""),"Senechal, Manon")</f>
        <v>Senechal, Manon</v>
      </c>
      <c r="C33" s="48" t="str">
        <f>VLOOKUP(A33, Refined_Data!A:BZ, 5, FALSE)</f>
        <v>Day</v>
      </c>
      <c r="D33" s="46">
        <f>IFERROR( VLOOKUP(B33, Current_Stats!A:Z, 5, FALSE), 1)</f>
        <v>7.6</v>
      </c>
      <c r="E33" s="46">
        <f>IFERROR( VLOOKUP(B33, Previous_Stats!A:Z, 5, FALSE), 1)</f>
        <v>6.2</v>
      </c>
      <c r="F33" s="67" t="str">
        <f t="shared" si="1"/>
        <v>2</v>
      </c>
      <c r="G33" s="67" t="str">
        <f t="shared" si="2"/>
        <v>3</v>
      </c>
    </row>
    <row r="34">
      <c r="A34" s="53" t="str">
        <f>IFERROR(__xludf.DUMMYFUNCTION("""COMPUTED_VALUE"""),"Snelgrove, Sylvia")</f>
        <v>Snelgrove, Sylvia</v>
      </c>
      <c r="B34" s="45" t="str">
        <f>IFERROR(__xludf.DUMMYFUNCTION("""COMPUTED_VALUE"""),"Snelgrove, Sylvia")</f>
        <v>Snelgrove, Sylvia</v>
      </c>
      <c r="C34" s="48" t="str">
        <f>VLOOKUP(A34, Refined_Data!A:BZ, 5, FALSE)</f>
        <v>Day</v>
      </c>
      <c r="D34" s="46">
        <f>IFERROR( VLOOKUP(B34, Current_Stats!A:Z, 5, FALSE), 1)</f>
        <v>10.4</v>
      </c>
      <c r="E34" s="46">
        <f>IFERROR( VLOOKUP(B34, Previous_Stats!A:Z, 5, FALSE), 1)</f>
        <v>11.2</v>
      </c>
      <c r="F34" s="67" t="str">
        <f t="shared" si="1"/>
        <v>2</v>
      </c>
      <c r="G34" s="67" t="str">
        <f t="shared" si="2"/>
        <v>2</v>
      </c>
    </row>
    <row r="35">
      <c r="A35" s="53" t="str">
        <f>IFERROR(__xludf.DUMMYFUNCTION("""COMPUTED_VALUE"""),"Tanguay-Roy, Marcel")</f>
        <v>Tanguay-Roy, Marcel</v>
      </c>
      <c r="B35" s="45" t="str">
        <f>IFERROR(__xludf.DUMMYFUNCTION("""COMPUTED_VALUE"""),"Tanguay-Roy, Marcel")</f>
        <v>Tanguay-Roy, Marcel</v>
      </c>
      <c r="C35" s="48" t="str">
        <f>VLOOKUP(A35, Refined_Data!A:BZ, 5, FALSE)</f>
        <v>Day</v>
      </c>
      <c r="D35" s="46">
        <f>IFERROR( VLOOKUP(B35, Current_Stats!A:Z, 5, FALSE), 1)</f>
        <v>16.4</v>
      </c>
      <c r="E35" s="46">
        <f>IFERROR( VLOOKUP(B35, Previous_Stats!A:Z, 5, FALSE), 1)</f>
        <v>16.3</v>
      </c>
      <c r="F35" s="67" t="str">
        <f t="shared" si="1"/>
        <v>1</v>
      </c>
      <c r="G35" s="67" t="str">
        <f t="shared" si="2"/>
        <v>1</v>
      </c>
    </row>
    <row r="36">
      <c r="A36" s="53" t="str">
        <f>IFERROR(__xludf.DUMMYFUNCTION("""COMPUTED_VALUE"""),"Tredwell, Chris")</f>
        <v>Tredwell, Chris</v>
      </c>
      <c r="B36" s="45" t="str">
        <f>IFERROR(__xludf.DUMMYFUNCTION("""COMPUTED_VALUE"""),"Tredwell, Chris")</f>
        <v>Tredwell, Chris</v>
      </c>
      <c r="C36" s="48" t="str">
        <f>VLOOKUP(A36, Refined_Data!A:BZ, 5, FALSE)</f>
        <v>Day</v>
      </c>
      <c r="D36" s="46">
        <f>IFERROR( VLOOKUP(B36, Current_Stats!A:Z, 5, FALSE), 1)</f>
        <v>6.8</v>
      </c>
      <c r="E36" s="46">
        <f>IFERROR( VLOOKUP(B36, Previous_Stats!A:Z, 5, FALSE), 1)</f>
        <v>8.2</v>
      </c>
      <c r="F36" s="67" t="str">
        <f t="shared" si="1"/>
        <v>3</v>
      </c>
      <c r="G36" s="67" t="str">
        <f t="shared" si="2"/>
        <v>2</v>
      </c>
    </row>
    <row r="37">
      <c r="A37" s="53" t="str">
        <f>IFERROR(__xludf.DUMMYFUNCTION("""COMPUTED_VALUE"""),"Vachon, Genevieve")</f>
        <v>Vachon, Genevieve</v>
      </c>
      <c r="B37" s="45" t="str">
        <f>IFERROR(__xludf.DUMMYFUNCTION("""COMPUTED_VALUE"""),"Vachon, Genevieve")</f>
        <v>Vachon, Genevieve</v>
      </c>
      <c r="C37" s="48" t="str">
        <f>VLOOKUP(A37, Refined_Data!A:BZ, 5, FALSE)</f>
        <v>Day</v>
      </c>
      <c r="D37" s="46">
        <f>IFERROR( VLOOKUP(B37, Current_Stats!A:Z, 5, FALSE), 1)</f>
        <v>9</v>
      </c>
      <c r="E37" s="46">
        <f>IFERROR( VLOOKUP(B37, Previous_Stats!A:Z, 5, FALSE), 1)</f>
        <v>9.3</v>
      </c>
      <c r="F37" s="67" t="str">
        <f t="shared" si="1"/>
        <v>2</v>
      </c>
      <c r="G37" s="67" t="str">
        <f t="shared" si="2"/>
        <v>2</v>
      </c>
    </row>
    <row r="38">
      <c r="A38" s="53" t="str">
        <f>IFERROR(__xludf.DUMMYFUNCTION("""COMPUTED_VALUE"""),"Wong, Jordan")</f>
        <v>Wong, Jordan</v>
      </c>
      <c r="B38" s="45" t="str">
        <f>IFERROR(__xludf.DUMMYFUNCTION("""COMPUTED_VALUE"""),"Wong, Jordan")</f>
        <v>Wong, Jordan</v>
      </c>
      <c r="C38" s="48" t="str">
        <f>VLOOKUP(A38, Refined_Data!A:BZ, 5, FALSE)</f>
        <v>Day</v>
      </c>
      <c r="D38" s="46">
        <f>IFERROR( VLOOKUP(B38, Current_Stats!A:Z, 5, FALSE), 1)</f>
        <v>8.2</v>
      </c>
      <c r="E38" s="46">
        <f>IFERROR( VLOOKUP(B38, Previous_Stats!A:Z, 5, FALSE), 1)</f>
        <v>9.2</v>
      </c>
      <c r="F38" s="67" t="str">
        <f t="shared" si="1"/>
        <v>2</v>
      </c>
      <c r="G38" s="67" t="str">
        <f t="shared" si="2"/>
        <v>2</v>
      </c>
    </row>
    <row r="39">
      <c r="A39" s="53" t="str">
        <f>IFERROR(__xludf.DUMMYFUNCTION("""COMPUTED_VALUE"""),"Young, Helen")</f>
        <v>Young, Helen</v>
      </c>
      <c r="B39" s="45" t="str">
        <f>IFERROR(__xludf.DUMMYFUNCTION("""COMPUTED_VALUE"""),"Young, Helen")</f>
        <v>Young, Helen</v>
      </c>
      <c r="C39" s="48" t="str">
        <f>VLOOKUP(A39, Refined_Data!A:BZ, 5, FALSE)</f>
        <v>Day</v>
      </c>
      <c r="D39" s="46">
        <f>IFERROR( VLOOKUP(B39, Current_Stats!A:Z, 5, FALSE), 1)</f>
        <v>18.2</v>
      </c>
      <c r="E39" s="46">
        <f>IFERROR( VLOOKUP(B39, Previous_Stats!A:Z, 5, FALSE), 1)</f>
        <v>16.1</v>
      </c>
      <c r="F39" s="67" t="str">
        <f t="shared" si="1"/>
        <v>1</v>
      </c>
      <c r="G39" s="67" t="str">
        <f t="shared" si="2"/>
        <v>1</v>
      </c>
    </row>
    <row r="40">
      <c r="A40" s="51"/>
      <c r="C40" s="48" t="str">
        <f>VLOOKUP(A40, Refined_Data!A:BZ, 5, FALSE)</f>
        <v>#N/A</v>
      </c>
      <c r="D40" s="46">
        <f>IFERROR( VLOOKUP(B40, Current_Stats!A:Z, 5, FALSE), 1)</f>
        <v>1</v>
      </c>
      <c r="E40" s="46">
        <f>IFERROR( VLOOKUP(B40, Previous_Stats!A:Z, 5, FALSE), 1)</f>
        <v>1</v>
      </c>
      <c r="F40" s="67" t="str">
        <f t="shared" si="1"/>
        <v>0</v>
      </c>
      <c r="G40" s="67" t="str">
        <f t="shared" si="2"/>
        <v>0</v>
      </c>
    </row>
    <row r="41">
      <c r="A41" s="51"/>
      <c r="C41" s="48" t="str">
        <f>VLOOKUP(A41, Refined_Data!A:BZ, 5, FALSE)</f>
        <v>#N/A</v>
      </c>
      <c r="D41" s="46">
        <f>IFERROR( VLOOKUP(B41, Current_Stats!A:Z, 5, FALSE), 1)</f>
        <v>1</v>
      </c>
      <c r="E41" s="46">
        <f>IFERROR( VLOOKUP(B41, Previous_Stats!A:Z, 5, FALSE), 1)</f>
        <v>1</v>
      </c>
      <c r="F41" s="67" t="str">
        <f t="shared" si="1"/>
        <v>0</v>
      </c>
      <c r="G41" s="67" t="str">
        <f t="shared" si="2"/>
        <v>0</v>
      </c>
    </row>
    <row r="42">
      <c r="A42" s="51"/>
      <c r="C42" s="48" t="str">
        <f>VLOOKUP(A42, Refined_Data!A:BZ, 5, FALSE)</f>
        <v>#N/A</v>
      </c>
      <c r="D42" s="46">
        <f>IFERROR( VLOOKUP(B42, Current_Stats!A:Z, 5, FALSE), 1)</f>
        <v>1</v>
      </c>
      <c r="E42" s="46">
        <f>IFERROR( VLOOKUP(B42, Previous_Stats!A:Z, 5, FALSE), 1)</f>
        <v>1</v>
      </c>
      <c r="F42" s="67" t="str">
        <f t="shared" si="1"/>
        <v>0</v>
      </c>
      <c r="G42" s="67" t="str">
        <f t="shared" si="2"/>
        <v>0</v>
      </c>
    </row>
    <row r="43">
      <c r="A43" s="51"/>
      <c r="C43" s="48" t="str">
        <f>VLOOKUP(A43, Refined_Data!A:BZ, 5, FALSE)</f>
        <v>#N/A</v>
      </c>
      <c r="D43" s="46">
        <f>IFERROR( VLOOKUP(B43, Current_Stats!A:Z, 5, FALSE), 1)</f>
        <v>1</v>
      </c>
      <c r="E43" s="46">
        <f>IFERROR( VLOOKUP(B43, Previous_Stats!A:Z, 5, FALSE), 1)</f>
        <v>1</v>
      </c>
      <c r="F43" s="67" t="str">
        <f t="shared" si="1"/>
        <v>0</v>
      </c>
      <c r="G43" s="67" t="str">
        <f t="shared" si="2"/>
        <v>0</v>
      </c>
    </row>
    <row r="44">
      <c r="A44" s="51"/>
      <c r="C44" s="48" t="str">
        <f>VLOOKUP(A44, Refined_Data!A:BZ, 5, FALSE)</f>
        <v>#N/A</v>
      </c>
      <c r="D44" s="46">
        <f>IFERROR( VLOOKUP(B44, Current_Stats!A:Z, 5, FALSE), 1)</f>
        <v>1</v>
      </c>
      <c r="E44" s="46">
        <f>IFERROR( VLOOKUP(B44, Previous_Stats!A:Z, 5, FALSE), 1)</f>
        <v>1</v>
      </c>
      <c r="F44" s="67" t="str">
        <f t="shared" si="1"/>
        <v>0</v>
      </c>
      <c r="G44" s="67" t="str">
        <f t="shared" si="2"/>
        <v>0</v>
      </c>
    </row>
    <row r="45" hidden="1">
      <c r="A45" s="51"/>
      <c r="C45" s="48" t="str">
        <f>VLOOKUP(A45, Refined_Data!A:BZ, 5, FALSE)</f>
        <v>#N/A</v>
      </c>
      <c r="D45" s="46">
        <f>IFERROR( VLOOKUP(B45, Current_Stats!A:Z, 5, FALSE), 1)</f>
        <v>1</v>
      </c>
      <c r="E45" s="46">
        <f>IFERROR( VLOOKUP(B45, Previous_Stats!A:Z, 5, FALSE), 1)</f>
        <v>1</v>
      </c>
      <c r="F45" s="67" t="str">
        <f t="shared" si="1"/>
        <v>0</v>
      </c>
      <c r="G45" s="67" t="str">
        <f t="shared" si="2"/>
        <v>0</v>
      </c>
    </row>
    <row r="46" hidden="1">
      <c r="A46" s="51"/>
      <c r="C46" s="48" t="str">
        <f>VLOOKUP(A46, Refined_Data!A:BZ, 5, FALSE)</f>
        <v>#N/A</v>
      </c>
      <c r="D46" s="46">
        <f>IFERROR( VLOOKUP(B46, Current_Stats!A:Z, 5, FALSE), 1)</f>
        <v>1</v>
      </c>
      <c r="E46" s="46">
        <f>IFERROR( VLOOKUP(B46, Previous_Stats!A:Z, 5, FALSE), 1)</f>
        <v>1</v>
      </c>
      <c r="F46" s="67" t="str">
        <f t="shared" si="1"/>
        <v>0</v>
      </c>
      <c r="G46" s="67" t="str">
        <f t="shared" si="2"/>
        <v>0</v>
      </c>
    </row>
    <row r="47" hidden="1">
      <c r="A47" s="51"/>
      <c r="C47" s="48" t="str">
        <f>VLOOKUP(A47, Refined_Data!A:BZ, 5, FALSE)</f>
        <v>#N/A</v>
      </c>
      <c r="D47" s="46">
        <f>IFERROR( VLOOKUP(B47, Current_Stats!A:Z, 5, FALSE), 1)</f>
        <v>1</v>
      </c>
      <c r="E47" s="46">
        <f>IFERROR( VLOOKUP(B47, Previous_Stats!A:Z, 5, FALSE), 1)</f>
        <v>1</v>
      </c>
      <c r="F47" s="67" t="str">
        <f t="shared" si="1"/>
        <v>0</v>
      </c>
      <c r="G47" s="67" t="str">
        <f t="shared" si="2"/>
        <v>0</v>
      </c>
    </row>
    <row r="48" hidden="1">
      <c r="A48" s="51"/>
      <c r="C48" s="48" t="str">
        <f>VLOOKUP(A48, Refined_Data!A:BZ, 5, FALSE)</f>
        <v>#N/A</v>
      </c>
      <c r="D48" s="46">
        <f>IFERROR( VLOOKUP(B48, Current_Stats!A:Z, 5, FALSE), 1)</f>
        <v>1</v>
      </c>
      <c r="E48" s="46">
        <f>IFERROR( VLOOKUP(B48, Previous_Stats!A:Z, 5, FALSE), 1)</f>
        <v>1</v>
      </c>
      <c r="F48" s="67" t="str">
        <f t="shared" si="1"/>
        <v>0</v>
      </c>
      <c r="G48" s="67" t="str">
        <f t="shared" si="2"/>
        <v>0</v>
      </c>
    </row>
    <row r="49" hidden="1">
      <c r="A49" s="51"/>
      <c r="C49" s="48" t="str">
        <f>VLOOKUP(A49, Refined_Data!A:BZ, 5, FALSE)</f>
        <v>#N/A</v>
      </c>
      <c r="D49" s="46">
        <f>IFERROR( VLOOKUP(B49, Current_Stats!A:Z, 5, FALSE), 1)</f>
        <v>1</v>
      </c>
      <c r="E49" s="46">
        <f>IFERROR( VLOOKUP(B49, Previous_Stats!A:Z, 5, FALSE), 1)</f>
        <v>1</v>
      </c>
      <c r="F49" s="67" t="str">
        <f t="shared" si="1"/>
        <v>0</v>
      </c>
      <c r="G49" s="67" t="str">
        <f t="shared" si="2"/>
        <v>0</v>
      </c>
    </row>
    <row r="50" hidden="1">
      <c r="A50" s="51"/>
      <c r="C50" s="48" t="str">
        <f>VLOOKUP(A50, Refined_Data!A:BZ, 5, FALSE)</f>
        <v>#N/A</v>
      </c>
      <c r="D50" s="46">
        <f>IFERROR( VLOOKUP(B50, Current_Stats!A:Z, 5, FALSE), 1)</f>
        <v>1</v>
      </c>
      <c r="E50" s="46">
        <f>IFERROR( VLOOKUP(B50, Previous_Stats!A:Z, 5, FALSE), 1)</f>
        <v>1</v>
      </c>
      <c r="F50" s="67" t="str">
        <f t="shared" si="1"/>
        <v>0</v>
      </c>
      <c r="G50" s="67" t="str">
        <f t="shared" si="2"/>
        <v>0</v>
      </c>
    </row>
    <row r="51" hidden="1">
      <c r="A51" s="51"/>
      <c r="C51" s="48" t="str">
        <f>VLOOKUP(A51, Refined_Data!A:BZ, 5, FALSE)</f>
        <v>#N/A</v>
      </c>
      <c r="D51" s="46">
        <f>IFERROR( VLOOKUP(B51, Current_Stats!A:Z, 5, FALSE), 1)</f>
        <v>1</v>
      </c>
      <c r="E51" s="46">
        <f>IFERROR( VLOOKUP(B51, Previous_Stats!A:Z, 5, FALSE), 1)</f>
        <v>1</v>
      </c>
      <c r="F51" s="67" t="str">
        <f t="shared" si="1"/>
        <v>0</v>
      </c>
      <c r="G51" s="67" t="str">
        <f t="shared" si="2"/>
        <v>0</v>
      </c>
    </row>
    <row r="52" hidden="1">
      <c r="A52" s="51"/>
      <c r="C52" s="48" t="str">
        <f>VLOOKUP(A52, Refined_Data!A:BZ, 5, FALSE)</f>
        <v>#N/A</v>
      </c>
      <c r="D52" s="46">
        <f>IFERROR( VLOOKUP(B52, Current_Stats!A:Z, 5, FALSE), 1)</f>
        <v>1</v>
      </c>
      <c r="E52" s="46">
        <f>IFERROR( VLOOKUP(B52, Previous_Stats!A:Z, 5, FALSE), 1)</f>
        <v>1</v>
      </c>
      <c r="F52" s="67" t="str">
        <f t="shared" si="1"/>
        <v>0</v>
      </c>
      <c r="G52" s="67" t="str">
        <f t="shared" si="2"/>
        <v>0</v>
      </c>
    </row>
    <row r="53" hidden="1">
      <c r="A53" s="51"/>
      <c r="C53" s="48" t="str">
        <f>VLOOKUP(A53, Refined_Data!A:BZ, 5, FALSE)</f>
        <v>#N/A</v>
      </c>
      <c r="D53" s="46">
        <f>IFERROR( VLOOKUP(B53, Current_Stats!A:Z, 5, FALSE), 1)</f>
        <v>1</v>
      </c>
      <c r="E53" s="46">
        <f>IFERROR( VLOOKUP(B53, Previous_Stats!A:Z, 5, FALSE), 1)</f>
        <v>1</v>
      </c>
      <c r="F53" s="67" t="str">
        <f t="shared" si="1"/>
        <v>0</v>
      </c>
      <c r="G53" s="67" t="str">
        <f t="shared" si="2"/>
        <v>0</v>
      </c>
    </row>
    <row r="54" hidden="1">
      <c r="A54" s="51"/>
      <c r="C54" s="48" t="str">
        <f>VLOOKUP(A54, Refined_Data!A:BZ, 5, FALSE)</f>
        <v>#N/A</v>
      </c>
      <c r="D54" s="46">
        <f>IFERROR( VLOOKUP(B54, Current_Stats!A:Z, 5, FALSE), 1)</f>
        <v>1</v>
      </c>
      <c r="E54" s="46">
        <f>IFERROR( VLOOKUP(B54, Previous_Stats!A:Z, 5, FALSE), 1)</f>
        <v>1</v>
      </c>
      <c r="F54" s="67" t="str">
        <f t="shared" si="1"/>
        <v>0</v>
      </c>
      <c r="G54" s="67" t="str">
        <f t="shared" si="2"/>
        <v>0</v>
      </c>
    </row>
    <row r="55" hidden="1">
      <c r="A55" s="51"/>
      <c r="C55" s="48" t="str">
        <f>VLOOKUP(A55, Refined_Data!A:BZ, 5, FALSE)</f>
        <v>#N/A</v>
      </c>
      <c r="D55" s="46">
        <f>IFERROR( VLOOKUP(B55, Current_Stats!A:Z, 5, FALSE), 1)</f>
        <v>1</v>
      </c>
      <c r="E55" s="46">
        <f>IFERROR( VLOOKUP(B55, Previous_Stats!A:Z, 5, FALSE), 1)</f>
        <v>1</v>
      </c>
      <c r="F55" s="67" t="str">
        <f t="shared" si="1"/>
        <v>0</v>
      </c>
      <c r="G55" s="67" t="str">
        <f t="shared" si="2"/>
        <v>0</v>
      </c>
    </row>
    <row r="56" hidden="1">
      <c r="A56" s="51"/>
      <c r="C56" s="48" t="str">
        <f>VLOOKUP(A56, Refined_Data!A:BZ, 5, FALSE)</f>
        <v>#N/A</v>
      </c>
      <c r="D56" s="46">
        <f>IFERROR( VLOOKUP(B56, Current_Stats!A:Z, 5, FALSE), 1)</f>
        <v>1</v>
      </c>
      <c r="E56" s="46">
        <f>IFERROR( VLOOKUP(B56, Previous_Stats!A:Z, 5, FALSE), 1)</f>
        <v>1</v>
      </c>
      <c r="F56" s="67" t="str">
        <f t="shared" si="1"/>
        <v>0</v>
      </c>
      <c r="G56" s="67" t="str">
        <f t="shared" si="2"/>
        <v>0</v>
      </c>
    </row>
    <row r="57" hidden="1">
      <c r="A57" s="51"/>
      <c r="C57" s="48" t="str">
        <f>VLOOKUP(A57, Refined_Data!A:BZ, 5, FALSE)</f>
        <v>#N/A</v>
      </c>
      <c r="D57" s="46">
        <f>IFERROR( VLOOKUP(B57, Current_Stats!A:Z, 5, FALSE), 1)</f>
        <v>1</v>
      </c>
      <c r="E57" s="46">
        <f>IFERROR( VLOOKUP(B57, Previous_Stats!A:Z, 5, FALSE), 1)</f>
        <v>1</v>
      </c>
      <c r="F57" s="67" t="str">
        <f t="shared" si="1"/>
        <v>0</v>
      </c>
      <c r="G57" s="67" t="str">
        <f t="shared" si="2"/>
        <v>0</v>
      </c>
    </row>
    <row r="58" hidden="1">
      <c r="A58" s="51"/>
      <c r="C58" s="48" t="str">
        <f>VLOOKUP(A58, Refined_Data!A:BZ, 5, FALSE)</f>
        <v>#N/A</v>
      </c>
      <c r="D58" s="46">
        <f>IFERROR( VLOOKUP(B58, Current_Stats!A:Z, 5, FALSE), 1)</f>
        <v>1</v>
      </c>
      <c r="E58" s="46">
        <f>IFERROR( VLOOKUP(B58, Previous_Stats!A:Z, 5, FALSE), 1)</f>
        <v>1</v>
      </c>
      <c r="F58" s="67" t="str">
        <f t="shared" si="1"/>
        <v>0</v>
      </c>
      <c r="G58" s="67" t="str">
        <f t="shared" si="2"/>
        <v>0</v>
      </c>
    </row>
    <row r="59" hidden="1">
      <c r="A59" s="51"/>
      <c r="C59" s="48" t="str">
        <f>VLOOKUP(A59, Refined_Data!A:BZ, 5, FALSE)</f>
        <v>#N/A</v>
      </c>
      <c r="D59" s="46">
        <f>IFERROR( VLOOKUP(B59, Current_Stats!A:Z, 5, FALSE), 1)</f>
        <v>1</v>
      </c>
      <c r="E59" s="46">
        <f>IFERROR( VLOOKUP(B59, Previous_Stats!A:Z, 5, FALSE), 1)</f>
        <v>1</v>
      </c>
      <c r="F59" s="67" t="str">
        <f t="shared" si="1"/>
        <v>0</v>
      </c>
      <c r="G59" s="67" t="str">
        <f t="shared" si="2"/>
        <v>0</v>
      </c>
    </row>
    <row r="60" hidden="1">
      <c r="A60" s="51"/>
      <c r="C60" s="48" t="str">
        <f>VLOOKUP(A60, Refined_Data!A:BZ, 5, FALSE)</f>
        <v>#N/A</v>
      </c>
      <c r="D60" s="46">
        <f>IFERROR( VLOOKUP(B60, Current_Stats!A:Z, 5, FALSE), 1)</f>
        <v>1</v>
      </c>
      <c r="E60" s="46">
        <f>IFERROR( VLOOKUP(B60, Previous_Stats!A:Z, 5, FALSE), 1)</f>
        <v>1</v>
      </c>
      <c r="F60" s="67" t="str">
        <f t="shared" si="1"/>
        <v>0</v>
      </c>
      <c r="G60" s="67" t="str">
        <f t="shared" si="2"/>
        <v>0</v>
      </c>
    </row>
    <row r="61" hidden="1">
      <c r="A61" s="51"/>
      <c r="C61" s="48" t="str">
        <f>VLOOKUP(A61, Refined_Data!A:BZ, 5, FALSE)</f>
        <v>#N/A</v>
      </c>
      <c r="D61" s="46">
        <f>IFERROR( VLOOKUP(B61, Current_Stats!A:Z, 5, FALSE), 1)</f>
        <v>1</v>
      </c>
      <c r="E61" s="46">
        <f>IFERROR( VLOOKUP(B61, Previous_Stats!A:Z, 5, FALSE), 1)</f>
        <v>1</v>
      </c>
      <c r="F61" s="67" t="str">
        <f t="shared" si="1"/>
        <v>0</v>
      </c>
      <c r="G61" s="67" t="str">
        <f t="shared" si="2"/>
        <v>0</v>
      </c>
    </row>
    <row r="62" hidden="1">
      <c r="A62" s="51"/>
      <c r="C62" s="48" t="str">
        <f>VLOOKUP(A62, Refined_Data!A:BZ, 5, FALSE)</f>
        <v>#N/A</v>
      </c>
      <c r="D62" s="46">
        <f>IFERROR( VLOOKUP(B62, Current_Stats!A:Z, 5, FALSE), 1)</f>
        <v>1</v>
      </c>
      <c r="E62" s="46">
        <f>IFERROR( VLOOKUP(B62, Previous_Stats!A:Z, 5, FALSE), 1)</f>
        <v>1</v>
      </c>
      <c r="F62" s="67" t="str">
        <f t="shared" si="1"/>
        <v>0</v>
      </c>
      <c r="G62" s="67" t="str">
        <f t="shared" si="2"/>
        <v>0</v>
      </c>
    </row>
    <row r="63" hidden="1">
      <c r="A63" s="51"/>
      <c r="C63" s="48" t="str">
        <f>VLOOKUP(A63, Refined_Data!A:BZ, 5, FALSE)</f>
        <v>#N/A</v>
      </c>
      <c r="D63" s="46">
        <f>IFERROR( VLOOKUP(B63, Current_Stats!A:Z, 5, FALSE), 1)</f>
        <v>1</v>
      </c>
      <c r="E63" s="46">
        <f>IFERROR( VLOOKUP(B63, Previous_Stats!A:Z, 5, FALSE), 1)</f>
        <v>1</v>
      </c>
      <c r="F63" s="67" t="str">
        <f t="shared" si="1"/>
        <v>0</v>
      </c>
      <c r="G63" s="67" t="str">
        <f t="shared" si="2"/>
        <v>0</v>
      </c>
    </row>
    <row r="64" hidden="1">
      <c r="A64" s="51"/>
      <c r="C64" s="48" t="str">
        <f>VLOOKUP(A64, Refined_Data!A:BZ, 5, FALSE)</f>
        <v>#N/A</v>
      </c>
      <c r="D64" s="46">
        <f>IFERROR( VLOOKUP(B64, Current_Stats!A:Z, 5, FALSE), 1)</f>
        <v>1</v>
      </c>
      <c r="E64" s="46">
        <f>IFERROR( VLOOKUP(B64, Previous_Stats!A:Z, 5, FALSE), 1)</f>
        <v>1</v>
      </c>
      <c r="F64" s="67" t="str">
        <f t="shared" si="1"/>
        <v>0</v>
      </c>
      <c r="G64" s="67" t="str">
        <f t="shared" si="2"/>
        <v>0</v>
      </c>
    </row>
    <row r="65" hidden="1">
      <c r="A65" s="51"/>
      <c r="C65" s="48" t="str">
        <f>VLOOKUP(A65, Refined_Data!A:BZ, 5, FALSE)</f>
        <v>#N/A</v>
      </c>
      <c r="D65" s="46">
        <f>IFERROR( VLOOKUP(B65, Current_Stats!A:Z, 5, FALSE), 1)</f>
        <v>1</v>
      </c>
      <c r="E65" s="46">
        <f>IFERROR( VLOOKUP(B65, Previous_Stats!A:Z, 5, FALSE), 1)</f>
        <v>1</v>
      </c>
      <c r="F65" s="67" t="str">
        <f t="shared" si="1"/>
        <v>0</v>
      </c>
      <c r="G65" s="67" t="str">
        <f t="shared" si="2"/>
        <v>0</v>
      </c>
    </row>
    <row r="66" hidden="1">
      <c r="A66" s="51"/>
      <c r="C66" s="48" t="str">
        <f>VLOOKUP(A66, Refined_Data!A:BZ, 5, FALSE)</f>
        <v>#N/A</v>
      </c>
      <c r="D66" s="46">
        <f>IFERROR( VLOOKUP(B66, Current_Stats!A:Z, 5, FALSE), 1)</f>
        <v>1</v>
      </c>
      <c r="E66" s="46">
        <f>IFERROR( VLOOKUP(B66, Previous_Stats!A:Z, 5, FALSE), 1)</f>
        <v>1</v>
      </c>
      <c r="F66" s="67" t="str">
        <f t="shared" si="1"/>
        <v>0</v>
      </c>
      <c r="G66" s="67" t="str">
        <f t="shared" si="2"/>
        <v>0</v>
      </c>
    </row>
    <row r="67" hidden="1">
      <c r="A67" s="51"/>
      <c r="C67" s="48" t="str">
        <f>VLOOKUP(A67, Refined_Data!A:BZ, 5, FALSE)</f>
        <v>#N/A</v>
      </c>
      <c r="D67" s="46">
        <f>IFERROR( VLOOKUP(B67, Current_Stats!A:Z, 5, FALSE), 1)</f>
        <v>1</v>
      </c>
      <c r="E67" s="46">
        <f>IFERROR( VLOOKUP(B67, Previous_Stats!A:Z, 5, FALSE), 1)</f>
        <v>1</v>
      </c>
      <c r="F67" s="67" t="str">
        <f t="shared" si="1"/>
        <v>0</v>
      </c>
      <c r="G67" s="67" t="str">
        <f t="shared" si="2"/>
        <v>0</v>
      </c>
    </row>
    <row r="68" hidden="1">
      <c r="A68" s="51"/>
      <c r="C68" s="48" t="str">
        <f>VLOOKUP(A68, Refined_Data!A:BZ, 5, FALSE)</f>
        <v>#N/A</v>
      </c>
      <c r="D68" s="46">
        <f>IFERROR( VLOOKUP(B68, Current_Stats!A:Z, 5, FALSE), 1)</f>
        <v>1</v>
      </c>
      <c r="E68" s="46">
        <f>IFERROR( VLOOKUP(B68, Previous_Stats!A:Z, 5, FALSE), 1)</f>
        <v>1</v>
      </c>
      <c r="F68" s="67" t="str">
        <f t="shared" si="1"/>
        <v>0</v>
      </c>
      <c r="G68" s="67" t="str">
        <f t="shared" si="2"/>
        <v>0</v>
      </c>
    </row>
    <row r="69" hidden="1">
      <c r="A69" s="51"/>
      <c r="C69" s="48" t="str">
        <f>VLOOKUP(A69, Refined_Data!A:BZ, 5, FALSE)</f>
        <v>#N/A</v>
      </c>
      <c r="D69" s="46">
        <f>IFERROR( VLOOKUP(B69, Current_Stats!A:Z, 5, FALSE), 1)</f>
        <v>1</v>
      </c>
      <c r="E69" s="46">
        <f>IFERROR( VLOOKUP(B69, Previous_Stats!A:Z, 5, FALSE), 1)</f>
        <v>1</v>
      </c>
      <c r="F69" s="67" t="str">
        <f t="shared" si="1"/>
        <v>0</v>
      </c>
      <c r="G69" s="67" t="str">
        <f t="shared" si="2"/>
        <v>0</v>
      </c>
    </row>
    <row r="70" hidden="1">
      <c r="A70" s="51"/>
      <c r="C70" s="48" t="str">
        <f>VLOOKUP(A70, Refined_Data!A:BZ, 5, FALSE)</f>
        <v>#N/A</v>
      </c>
      <c r="D70" s="46">
        <f>IFERROR( VLOOKUP(B70, Current_Stats!A:Z, 5, FALSE), 1)</f>
        <v>1</v>
      </c>
      <c r="E70" s="46">
        <f>IFERROR( VLOOKUP(B70, Previous_Stats!A:Z, 5, FALSE), 1)</f>
        <v>1</v>
      </c>
      <c r="F70" s="67" t="str">
        <f t="shared" si="1"/>
        <v>0</v>
      </c>
      <c r="G70" s="67" t="str">
        <f t="shared" si="2"/>
        <v>0</v>
      </c>
    </row>
    <row r="71" hidden="1">
      <c r="A71" s="51"/>
      <c r="C71" s="48" t="str">
        <f>VLOOKUP(A71, Refined_Data!A:BZ, 5, FALSE)</f>
        <v>#N/A</v>
      </c>
      <c r="D71" s="46">
        <f>IFERROR( VLOOKUP(B71, Current_Stats!A:Z, 5, FALSE), 1)</f>
        <v>1</v>
      </c>
      <c r="E71" s="46">
        <f>IFERROR( VLOOKUP(B71, Previous_Stats!A:Z, 5, FALSE), 1)</f>
        <v>1</v>
      </c>
      <c r="F71" s="67" t="str">
        <f t="shared" si="1"/>
        <v>0</v>
      </c>
      <c r="G71" s="67" t="str">
        <f t="shared" si="2"/>
        <v>0</v>
      </c>
    </row>
    <row r="72" hidden="1">
      <c r="A72" s="51"/>
      <c r="C72" s="48" t="str">
        <f>VLOOKUP(A72, Refined_Data!A:BZ, 5, FALSE)</f>
        <v>#N/A</v>
      </c>
      <c r="D72" s="46">
        <f>IFERROR( VLOOKUP(B72, Current_Stats!A:Z, 5, FALSE), 1)</f>
        <v>1</v>
      </c>
      <c r="E72" s="46">
        <f>IFERROR( VLOOKUP(B72, Previous_Stats!A:Z, 5, FALSE), 1)</f>
        <v>1</v>
      </c>
      <c r="F72" s="67" t="str">
        <f t="shared" si="1"/>
        <v>0</v>
      </c>
      <c r="G72" s="67" t="str">
        <f t="shared" si="2"/>
        <v>0</v>
      </c>
    </row>
    <row r="73" hidden="1">
      <c r="A73" s="51"/>
      <c r="C73" s="48" t="str">
        <f>VLOOKUP(A73, Refined_Data!A:BZ, 5, FALSE)</f>
        <v>#N/A</v>
      </c>
      <c r="D73" s="46">
        <f>IFERROR( VLOOKUP(B73, Current_Stats!A:Z, 5, FALSE), 1)</f>
        <v>1</v>
      </c>
      <c r="E73" s="46">
        <f>IFERROR( VLOOKUP(B73, Previous_Stats!A:Z, 5, FALSE), 1)</f>
        <v>1</v>
      </c>
      <c r="F73" s="67" t="str">
        <f t="shared" si="1"/>
        <v>0</v>
      </c>
      <c r="G73" s="67" t="str">
        <f t="shared" si="2"/>
        <v>0</v>
      </c>
    </row>
    <row r="74" hidden="1">
      <c r="A74" s="51"/>
      <c r="C74" s="48" t="str">
        <f>VLOOKUP(A74, Refined_Data!A:BZ, 5, FALSE)</f>
        <v>#N/A</v>
      </c>
      <c r="D74" s="46">
        <f>IFERROR( VLOOKUP(B74, Current_Stats!A:Z, 5, FALSE), 1)</f>
        <v>1</v>
      </c>
      <c r="E74" s="46">
        <f>IFERROR( VLOOKUP(B74, Previous_Stats!A:Z, 5, FALSE), 1)</f>
        <v>1</v>
      </c>
      <c r="F74" s="67" t="str">
        <f t="shared" si="1"/>
        <v>0</v>
      </c>
      <c r="G74" s="67" t="str">
        <f t="shared" si="2"/>
        <v>0</v>
      </c>
    </row>
    <row r="75" hidden="1">
      <c r="A75" s="51"/>
      <c r="C75" s="48" t="str">
        <f>VLOOKUP(A75, Refined_Data!A:BZ, 5, FALSE)</f>
        <v>#N/A</v>
      </c>
      <c r="D75" s="46">
        <f>IFERROR( VLOOKUP(B75, Current_Stats!A:Z, 5, FALSE), 1)</f>
        <v>1</v>
      </c>
      <c r="E75" s="46">
        <f>IFERROR( VLOOKUP(B75, Previous_Stats!A:Z, 5, FALSE), 1)</f>
        <v>1</v>
      </c>
      <c r="F75" s="67" t="str">
        <f t="shared" si="1"/>
        <v>0</v>
      </c>
      <c r="G75" s="67" t="str">
        <f t="shared" si="2"/>
        <v>0</v>
      </c>
    </row>
    <row r="76" hidden="1">
      <c r="A76" s="51"/>
      <c r="C76" s="48" t="str">
        <f>VLOOKUP(A76, Refined_Data!A:BZ, 5, FALSE)</f>
        <v>#N/A</v>
      </c>
      <c r="D76" s="46">
        <f>IFERROR( VLOOKUP(B76, Current_Stats!A:Z, 5, FALSE), 1)</f>
        <v>1</v>
      </c>
      <c r="E76" s="46">
        <f>IFERROR( VLOOKUP(B76, Previous_Stats!A:Z, 5, FALSE), 1)</f>
        <v>1</v>
      </c>
      <c r="F76" s="67" t="str">
        <f t="shared" si="1"/>
        <v>0</v>
      </c>
      <c r="G76" s="67" t="str">
        <f t="shared" si="2"/>
        <v>0</v>
      </c>
    </row>
    <row r="77" hidden="1">
      <c r="A77" s="51"/>
      <c r="C77" s="48" t="str">
        <f>VLOOKUP(A77, Refined_Data!A:BZ, 5, FALSE)</f>
        <v>#N/A</v>
      </c>
      <c r="D77" s="46">
        <f>IFERROR( VLOOKUP(B77, Current_Stats!A:Z, 5, FALSE), 1)</f>
        <v>1</v>
      </c>
      <c r="E77" s="46">
        <f>IFERROR( VLOOKUP(B77, Previous_Stats!A:Z, 5, FALSE), 1)</f>
        <v>1</v>
      </c>
      <c r="F77" s="67" t="str">
        <f t="shared" si="1"/>
        <v>0</v>
      </c>
      <c r="G77" s="67" t="str">
        <f t="shared" si="2"/>
        <v>0</v>
      </c>
    </row>
    <row r="78" hidden="1">
      <c r="A78" s="51"/>
      <c r="C78" s="48" t="str">
        <f>VLOOKUP(A78, Refined_Data!A:BZ, 5, FALSE)</f>
        <v>#N/A</v>
      </c>
      <c r="D78" s="46">
        <f>IFERROR( VLOOKUP(B78, Current_Stats!A:Z, 5, FALSE), 1)</f>
        <v>1</v>
      </c>
      <c r="E78" s="46">
        <f>IFERROR( VLOOKUP(B78, Previous_Stats!A:Z, 5, FALSE), 1)</f>
        <v>1</v>
      </c>
      <c r="F78" s="67" t="str">
        <f t="shared" si="1"/>
        <v>0</v>
      </c>
      <c r="G78" s="67" t="str">
        <f t="shared" si="2"/>
        <v>0</v>
      </c>
    </row>
    <row r="79" hidden="1">
      <c r="C79" s="48" t="str">
        <f>VLOOKUP(A79, Refined_Data!A:BZ, 5, FALSE)</f>
        <v>#N/A</v>
      </c>
      <c r="D79" s="46"/>
      <c r="E79" s="46"/>
      <c r="F79" s="67"/>
      <c r="G79" s="67"/>
    </row>
    <row r="80">
      <c r="A80" s="75" t="str">
        <f>IFERROR(__xludf.DUMMYFUNCTION("FILTER(Refined_Data!A2:A129, Refined_Data!E2:E129=""Evening"")"),"Audet, Dominic")</f>
        <v>Audet, Dominic</v>
      </c>
      <c r="B80" s="45" t="str">
        <f>IFERROR(__xludf.DUMMYFUNCTION("FILTER(Refined_Data!O2:O129, Refined_Data!E2:E129=""Evening"")"),"Audet, Dominic")</f>
        <v>Audet, Dominic</v>
      </c>
      <c r="C80" s="48" t="str">
        <f>VLOOKUP(A80, Refined_Data!A:BZ, 5, FALSE)</f>
        <v>Evening</v>
      </c>
      <c r="D80" s="46">
        <f>IFERROR( VLOOKUP(B80, Current_Stats!A:Z, 5, FALSE), 1)</f>
        <v>11.8</v>
      </c>
      <c r="E80" s="46">
        <f>IFERROR( VLOOKUP(B80, Previous_Stats!A:Z, 5, FALSE), 1)</f>
        <v>12.3</v>
      </c>
      <c r="F80" s="67" t="str">
        <f t="shared" ref="F80:F139" si="5">IFS(
  IFERROR(D80 = 1, FALSE), "0",
  IFERROR(D80 &gt;= $I$3, FALSE), "1",
  IFERROR(D80 &gt; $I$7, FALSE), "2",
  IFERROR(D80 &lt;= $I$7, FALSE), "3",
  TRUE, 2
)</f>
        <v>2</v>
      </c>
      <c r="G80" s="67" t="str">
        <f t="shared" ref="G80:G213" si="6">IFS(
  IFERROR(E80 = 1, FALSE), "0",
  IFERROR(E80 &gt;= $I$5, FALSE), "1",
  IFERROR(E80 &gt; $I$9, FALSE), "2",
  IFERROR(E80 &lt;= $I$9, FALSE), "3",
  TRUE, 2
)</f>
        <v>2</v>
      </c>
    </row>
    <row r="81">
      <c r="A81" s="75" t="str">
        <f>IFERROR(__xludf.DUMMYFUNCTION("""COMPUTED_VALUE"""),"Cerdas Calvo, Deyanira")</f>
        <v>Cerdas Calvo, Deyanira</v>
      </c>
      <c r="B81" s="45" t="str">
        <f>IFERROR(__xludf.DUMMYFUNCTION("""COMPUTED_VALUE"""),"Cerdas Calvo, Deyanira")</f>
        <v>Cerdas Calvo, Deyanira</v>
      </c>
      <c r="C81" s="48" t="str">
        <f>VLOOKUP(A81, Refined_Data!A:BZ, 5, FALSE)</f>
        <v>Evening</v>
      </c>
      <c r="D81" s="46">
        <f>IFERROR( VLOOKUP(B81, Current_Stats!A:Z, 5, FALSE), 1)</f>
        <v>16.5</v>
      </c>
      <c r="E81" s="46">
        <f>IFERROR( VLOOKUP(B81, Previous_Stats!A:Z, 5, FALSE), 1)</f>
        <v>15.9</v>
      </c>
      <c r="F81" s="67" t="str">
        <f t="shared" si="5"/>
        <v>1</v>
      </c>
      <c r="G81" s="67" t="str">
        <f t="shared" si="6"/>
        <v>1</v>
      </c>
    </row>
    <row r="82">
      <c r="A82" s="75" t="str">
        <f>IFERROR(__xludf.DUMMYFUNCTION("""COMPUTED_VALUE"""),"Chibane, Hakim")</f>
        <v>Chibane, Hakim</v>
      </c>
      <c r="B82" s="45" t="str">
        <f>IFERROR(__xludf.DUMMYFUNCTION("""COMPUTED_VALUE"""),"Chibane, Hakim")</f>
        <v>Chibane, Hakim</v>
      </c>
      <c r="C82" s="48" t="str">
        <f>VLOOKUP(A82, Refined_Data!A:BZ, 5, FALSE)</f>
        <v>Evening</v>
      </c>
      <c r="D82" s="46">
        <f>IFERROR( VLOOKUP(B82, Current_Stats!A:Z, 5, FALSE), 1)</f>
        <v>15.1</v>
      </c>
      <c r="E82" s="46">
        <f>IFERROR( VLOOKUP(B82, Previous_Stats!A:Z, 5, FALSE), 1)</f>
        <v>14.9</v>
      </c>
      <c r="F82" s="67" t="str">
        <f t="shared" si="5"/>
        <v>1</v>
      </c>
      <c r="G82" s="67" t="str">
        <f t="shared" si="6"/>
        <v>1</v>
      </c>
    </row>
    <row r="83">
      <c r="A83" s="75" t="str">
        <f>IFERROR(__xludf.DUMMYFUNCTION("""COMPUTED_VALUE"""),"Dansou, Senami")</f>
        <v>Dansou, Senami</v>
      </c>
      <c r="B83" s="45" t="str">
        <f>IFERROR(__xludf.DUMMYFUNCTION("""COMPUTED_VALUE"""),"Dansou, Senami Patrick")</f>
        <v>Dansou, Senami Patrick</v>
      </c>
      <c r="C83" s="48" t="str">
        <f>VLOOKUP(A83, Refined_Data!A:BZ, 5, FALSE)</f>
        <v>Evening</v>
      </c>
      <c r="D83" s="46">
        <f>IFERROR( VLOOKUP(B83, Current_Stats!A:Z, 5, FALSE), 1)</f>
        <v>16.7</v>
      </c>
      <c r="E83" s="46">
        <f>IFERROR( VLOOKUP(B83, Previous_Stats!A:Z, 5, FALSE), 1)</f>
        <v>16.9</v>
      </c>
      <c r="F83" s="67" t="str">
        <f t="shared" si="5"/>
        <v>1</v>
      </c>
      <c r="G83" s="67" t="str">
        <f t="shared" si="6"/>
        <v>1</v>
      </c>
    </row>
    <row r="84">
      <c r="A84" s="75" t="str">
        <f>IFERROR(__xludf.DUMMYFUNCTION("""COMPUTED_VALUE"""),"Di Tullio, Donato")</f>
        <v>Di Tullio, Donato</v>
      </c>
      <c r="B84" s="45" t="str">
        <f>IFERROR(__xludf.DUMMYFUNCTION("""COMPUTED_VALUE"""),"Di Tullio, Donato")</f>
        <v>Di Tullio, Donato</v>
      </c>
      <c r="C84" s="48" t="str">
        <f>VLOOKUP(A84, Refined_Data!A:BZ, 5, FALSE)</f>
        <v>Evening</v>
      </c>
      <c r="D84" s="46">
        <f>IFERROR( VLOOKUP(B84, Current_Stats!A:Z, 5, FALSE), 1)</f>
        <v>18.4</v>
      </c>
      <c r="E84" s="46">
        <f>IFERROR( VLOOKUP(B84, Previous_Stats!A:Z, 5, FALSE), 1)</f>
        <v>19.3</v>
      </c>
      <c r="F84" s="67" t="str">
        <f t="shared" si="5"/>
        <v>1</v>
      </c>
      <c r="G84" s="67" t="str">
        <f t="shared" si="6"/>
        <v>1</v>
      </c>
    </row>
    <row r="85">
      <c r="A85" s="75" t="str">
        <f>IFERROR(__xludf.DUMMYFUNCTION("""COMPUTED_VALUE"""),"Drame, Abdoulaye")</f>
        <v>Drame, Abdoulaye</v>
      </c>
      <c r="B85" s="45" t="str">
        <f>IFERROR(__xludf.DUMMYFUNCTION("""COMPUTED_VALUE"""),"Drame, Abdoulaye")</f>
        <v>Drame, Abdoulaye</v>
      </c>
      <c r="C85" s="48" t="str">
        <f>VLOOKUP(A85, Refined_Data!A:BZ, 5, FALSE)</f>
        <v>Evening</v>
      </c>
      <c r="D85" s="46">
        <f>IFERROR( VLOOKUP(B85, Current_Stats!A:Z, 5, FALSE), 1)</f>
        <v>16.6</v>
      </c>
      <c r="E85" s="46">
        <f>IFERROR( VLOOKUP(B85, Previous_Stats!A:Z, 5, FALSE), 1)</f>
        <v>16.9</v>
      </c>
      <c r="F85" s="67" t="str">
        <f t="shared" si="5"/>
        <v>1</v>
      </c>
      <c r="G85" s="67" t="str">
        <f t="shared" si="6"/>
        <v>1</v>
      </c>
    </row>
    <row r="86">
      <c r="A86" s="75" t="str">
        <f>IFERROR(__xludf.DUMMYFUNCTION("""COMPUTED_VALUE"""),"Fakhfakh, Souleymen")</f>
        <v>Fakhfakh, Souleymen</v>
      </c>
      <c r="B86" s="45" t="str">
        <f>IFERROR(__xludf.DUMMYFUNCTION("""COMPUTED_VALUE"""),"Fakhfakh, Souleymen")</f>
        <v>Fakhfakh, Souleymen</v>
      </c>
      <c r="C86" s="48" t="str">
        <f>VLOOKUP(A86, Refined_Data!A:BZ, 5, FALSE)</f>
        <v>Evening</v>
      </c>
      <c r="D86" s="46">
        <f>IFERROR( VLOOKUP(B86, Current_Stats!A:Z, 5, FALSE), 1)</f>
        <v>10.2</v>
      </c>
      <c r="E86" s="46">
        <f>IFERROR( VLOOKUP(B86, Previous_Stats!A:Z, 5, FALSE), 1)</f>
        <v>9</v>
      </c>
      <c r="F86" s="67" t="str">
        <f t="shared" si="5"/>
        <v>2</v>
      </c>
      <c r="G86" s="67" t="str">
        <f t="shared" si="6"/>
        <v>2</v>
      </c>
    </row>
    <row r="87">
      <c r="A87" s="75" t="str">
        <f>IFERROR(__xludf.DUMMYFUNCTION("""COMPUTED_VALUE"""),"Flanagan-Fortin, Shawn")</f>
        <v>Flanagan-Fortin, Shawn</v>
      </c>
      <c r="B87" s="45" t="str">
        <f>IFERROR(__xludf.DUMMYFUNCTION("""COMPUTED_VALUE"""),"Flanagan-Fortin, Shawn")</f>
        <v>Flanagan-Fortin, Shawn</v>
      </c>
      <c r="C87" s="48" t="str">
        <f>VLOOKUP(A87, Refined_Data!A:BZ, 5, FALSE)</f>
        <v>Evening</v>
      </c>
      <c r="D87" s="46">
        <f>IFERROR( VLOOKUP(B87, Current_Stats!A:Z, 5, FALSE), 1)</f>
        <v>6.1</v>
      </c>
      <c r="E87" s="46">
        <f>IFERROR( VLOOKUP(B87, Previous_Stats!A:Z, 5, FALSE), 1)</f>
        <v>6.1</v>
      </c>
      <c r="F87" s="67" t="str">
        <f t="shared" si="5"/>
        <v>3</v>
      </c>
      <c r="G87" s="67" t="str">
        <f t="shared" si="6"/>
        <v>3</v>
      </c>
    </row>
    <row r="88">
      <c r="A88" s="75" t="str">
        <f>IFERROR(__xludf.DUMMYFUNCTION("""COMPUTED_VALUE"""),"Gabriel, Gamelyn")</f>
        <v>Gabriel, Gamelyn</v>
      </c>
      <c r="B88" s="45" t="str">
        <f>IFERROR(__xludf.DUMMYFUNCTION("""COMPUTED_VALUE"""),"Gabriel, Gamelyn")</f>
        <v>Gabriel, Gamelyn</v>
      </c>
      <c r="C88" s="48" t="str">
        <f>VLOOKUP(A88, Refined_Data!A:BZ, 5, FALSE)</f>
        <v>Evening</v>
      </c>
      <c r="D88" s="46">
        <f>IFERROR( VLOOKUP(B88, Current_Stats!A:Z, 5, FALSE), 1)</f>
        <v>6.6</v>
      </c>
      <c r="E88" s="46">
        <f>IFERROR( VLOOKUP(B88, Previous_Stats!A:Z, 5, FALSE), 1)</f>
        <v>6.4</v>
      </c>
      <c r="F88" s="67" t="str">
        <f t="shared" si="5"/>
        <v>2</v>
      </c>
      <c r="G88" s="67" t="str">
        <f t="shared" si="6"/>
        <v>2</v>
      </c>
    </row>
    <row r="89">
      <c r="A89" s="75" t="str">
        <f>IFERROR(__xludf.DUMMYFUNCTION("""COMPUTED_VALUE"""),"Guzman, Alexandre")</f>
        <v>Guzman, Alexandre</v>
      </c>
      <c r="B89" s="45" t="str">
        <f>IFERROR(__xludf.DUMMYFUNCTION("""COMPUTED_VALUE"""),"Guzman, Alexandre")</f>
        <v>Guzman, Alexandre</v>
      </c>
      <c r="C89" s="48" t="str">
        <f>VLOOKUP(A89, Refined_Data!A:BZ, 5, FALSE)</f>
        <v>Evening</v>
      </c>
      <c r="D89" s="46">
        <f>IFERROR( VLOOKUP(B89, Current_Stats!A:Z, 5, FALSE), 1)</f>
        <v>12.7</v>
      </c>
      <c r="E89" s="46">
        <f>IFERROR( VLOOKUP(B89, Previous_Stats!A:Z, 5, FALSE), 1)</f>
        <v>11</v>
      </c>
      <c r="F89" s="67" t="str">
        <f t="shared" si="5"/>
        <v>2</v>
      </c>
      <c r="G89" s="67" t="str">
        <f t="shared" si="6"/>
        <v>2</v>
      </c>
    </row>
    <row r="90">
      <c r="A90" s="75" t="str">
        <f>IFERROR(__xludf.DUMMYFUNCTION("""COMPUTED_VALUE"""),"Khattabi, Mohammed Najib")</f>
        <v>Khattabi, Mohammed Najib</v>
      </c>
      <c r="B90" s="45" t="str">
        <f>IFERROR(__xludf.DUMMYFUNCTION("""COMPUTED_VALUE"""),"Khattabi, Mohammed Najib")</f>
        <v>Khattabi, Mohammed Najib</v>
      </c>
      <c r="C90" s="48" t="str">
        <f>VLOOKUP(A90, Refined_Data!A:BZ, 5, FALSE)</f>
        <v>Evening</v>
      </c>
      <c r="D90" s="46">
        <f>IFERROR( VLOOKUP(B90, Current_Stats!A:Z, 5, FALSE), 1)</f>
        <v>15.4</v>
      </c>
      <c r="E90" s="46">
        <f>IFERROR( VLOOKUP(B90, Previous_Stats!A:Z, 5, FALSE), 1)</f>
        <v>15.2</v>
      </c>
      <c r="F90" s="67" t="str">
        <f t="shared" si="5"/>
        <v>1</v>
      </c>
      <c r="G90" s="67" t="str">
        <f t="shared" si="6"/>
        <v>1</v>
      </c>
    </row>
    <row r="91">
      <c r="A91" s="75" t="str">
        <f>IFERROR(__xludf.DUMMYFUNCTION("""COMPUTED_VALUE"""),"Lakhal, Oussama")</f>
        <v>Lakhal, Oussama</v>
      </c>
      <c r="B91" s="45" t="str">
        <f>IFERROR(__xludf.DUMMYFUNCTION("""COMPUTED_VALUE"""),"Lakhal, Oussama")</f>
        <v>Lakhal, Oussama</v>
      </c>
      <c r="C91" s="48" t="str">
        <f>VLOOKUP(A91, Refined_Data!A:BZ, 5, FALSE)</f>
        <v>Evening</v>
      </c>
      <c r="D91" s="46">
        <f>IFERROR( VLOOKUP(B91, Current_Stats!A:Z, 5, FALSE), 1)</f>
        <v>8</v>
      </c>
      <c r="E91" s="46">
        <f>IFERROR( VLOOKUP(B91, Previous_Stats!A:Z, 5, FALSE), 1)</f>
        <v>8.5</v>
      </c>
      <c r="F91" s="67" t="str">
        <f t="shared" si="5"/>
        <v>2</v>
      </c>
      <c r="G91" s="67" t="str">
        <f t="shared" si="6"/>
        <v>2</v>
      </c>
    </row>
    <row r="92">
      <c r="A92" s="75" t="str">
        <f>IFERROR(__xludf.DUMMYFUNCTION("""COMPUTED_VALUE"""),"Lapointe, Renelle")</f>
        <v>Lapointe, Renelle</v>
      </c>
      <c r="B92" s="45" t="str">
        <f>IFERROR(__xludf.DUMMYFUNCTION("""COMPUTED_VALUE"""),"Lapointe, Renelle")</f>
        <v>Lapointe, Renelle</v>
      </c>
      <c r="C92" s="48" t="str">
        <f>VLOOKUP(A92, Refined_Data!A:BZ, 5, FALSE)</f>
        <v>Evening</v>
      </c>
      <c r="D92" s="46">
        <f>IFERROR( VLOOKUP(B92, Current_Stats!A:Z, 5, FALSE), 1)</f>
        <v>11.5</v>
      </c>
      <c r="E92" s="46">
        <f>IFERROR( VLOOKUP(B92, Previous_Stats!A:Z, 5, FALSE), 1)</f>
        <v>12.1</v>
      </c>
      <c r="F92" s="67" t="str">
        <f t="shared" si="5"/>
        <v>2</v>
      </c>
      <c r="G92" s="67" t="str">
        <f t="shared" si="6"/>
        <v>2</v>
      </c>
    </row>
    <row r="93">
      <c r="A93" s="75" t="str">
        <f>IFERROR(__xludf.DUMMYFUNCTION("""COMPUTED_VALUE"""),"Malki, Amine")</f>
        <v>Malki, Amine</v>
      </c>
      <c r="B93" s="45" t="str">
        <f>IFERROR(__xludf.DUMMYFUNCTION("""COMPUTED_VALUE"""),"Malki, Amine")</f>
        <v>Malki, Amine</v>
      </c>
      <c r="C93" s="48" t="str">
        <f>VLOOKUP(A93, Refined_Data!A:BZ, 5, FALSE)</f>
        <v>Evening</v>
      </c>
      <c r="D93" s="46">
        <f>IFERROR( VLOOKUP(B93, Current_Stats!A:Z, 5, FALSE), 1)</f>
        <v>16.6</v>
      </c>
      <c r="E93" s="46">
        <f>IFERROR( VLOOKUP(B93, Previous_Stats!A:Z, 5, FALSE), 1)</f>
        <v>16.4</v>
      </c>
      <c r="F93" s="67" t="str">
        <f t="shared" si="5"/>
        <v>1</v>
      </c>
      <c r="G93" s="67" t="str">
        <f t="shared" si="6"/>
        <v>1</v>
      </c>
    </row>
    <row r="94">
      <c r="A94" s="75" t="str">
        <f>IFERROR(__xludf.DUMMYFUNCTION("""COMPUTED_VALUE"""),"Miclisse-Polat, Lorenzo Misael")</f>
        <v>Miclisse-Polat, Lorenzo Misael</v>
      </c>
      <c r="B94" s="45" t="str">
        <f>IFERROR(__xludf.DUMMYFUNCTION("""COMPUTED_VALUE"""),"Miclisse-Polat, Lorenzo Misael")</f>
        <v>Miclisse-Polat, Lorenzo Misael</v>
      </c>
      <c r="C94" s="48" t="str">
        <f>VLOOKUP(A94, Refined_Data!A:BZ, 5, FALSE)</f>
        <v>Evening</v>
      </c>
      <c r="D94" s="46">
        <f>IFERROR( VLOOKUP(B94, Current_Stats!A:Z, 5, FALSE), 1)</f>
        <v>10.7</v>
      </c>
      <c r="E94" s="46">
        <f>IFERROR( VLOOKUP(B94, Previous_Stats!A:Z, 5, FALSE), 1)</f>
        <v>9.8</v>
      </c>
      <c r="F94" s="67" t="str">
        <f t="shared" si="5"/>
        <v>2</v>
      </c>
      <c r="G94" s="67" t="str">
        <f t="shared" si="6"/>
        <v>2</v>
      </c>
    </row>
    <row r="95">
      <c r="A95" s="75" t="str">
        <f>IFERROR(__xludf.DUMMYFUNCTION("""COMPUTED_VALUE"""),"Ndihokubwayo, Twahiba")</f>
        <v>Ndihokubwayo, Twahiba</v>
      </c>
      <c r="B95" s="45" t="str">
        <f>IFERROR(__xludf.DUMMYFUNCTION("""COMPUTED_VALUE"""),"Ndihokubwayo, Twahiba Kashe")</f>
        <v>Ndihokubwayo, Twahiba Kashe</v>
      </c>
      <c r="C95" s="48" t="str">
        <f>VLOOKUP(A95, Refined_Data!A:BZ, 5, FALSE)</f>
        <v>Evening</v>
      </c>
      <c r="D95" s="46">
        <f>IFERROR( VLOOKUP(B95, Current_Stats!A:Z, 5, FALSE), 1)</f>
        <v>11.5</v>
      </c>
      <c r="E95" s="46">
        <f>IFERROR( VLOOKUP(B95, Previous_Stats!A:Z, 5, FALSE), 1)</f>
        <v>10.7</v>
      </c>
      <c r="F95" s="67" t="str">
        <f t="shared" si="5"/>
        <v>2</v>
      </c>
      <c r="G95" s="67" t="str">
        <f t="shared" si="6"/>
        <v>2</v>
      </c>
    </row>
    <row r="96">
      <c r="A96" s="75" t="str">
        <f>IFERROR(__xludf.DUMMYFUNCTION("""COMPUTED_VALUE"""),"Ndjiapanda, Arlette")</f>
        <v>Ndjiapanda, Arlette</v>
      </c>
      <c r="B96" s="48" t="str">
        <f>IFERROR(__xludf.DUMMYFUNCTION("""COMPUTED_VALUE"""),"Ndjiapanda, Arlette")</f>
        <v>Ndjiapanda, Arlette</v>
      </c>
      <c r="C96" s="48" t="str">
        <f>VLOOKUP(A96, Refined_Data!A:BZ, 5, FALSE)</f>
        <v>Evening</v>
      </c>
      <c r="D96" s="46">
        <f>IFERROR( VLOOKUP(B96, Current_Stats!A:Z, 5, FALSE), 1)</f>
        <v>10.7</v>
      </c>
      <c r="E96" s="46">
        <f>IFERROR( VLOOKUP(B96, Previous_Stats!A:Z, 5, FALSE), 1)</f>
        <v>10.2</v>
      </c>
      <c r="F96" s="67" t="str">
        <f t="shared" si="5"/>
        <v>2</v>
      </c>
      <c r="G96" s="67" t="str">
        <f t="shared" si="6"/>
        <v>2</v>
      </c>
    </row>
    <row r="97">
      <c r="A97" s="75" t="str">
        <f>IFERROR(__xludf.DUMMYFUNCTION("""COMPUTED_VALUE"""),"Nineza, Roxhannah")</f>
        <v>Nineza, Roxhannah</v>
      </c>
      <c r="B97" s="45" t="str">
        <f>IFERROR(__xludf.DUMMYFUNCTION("""COMPUTED_VALUE"""),"Nineza, Roxhannah")</f>
        <v>Nineza, Roxhannah</v>
      </c>
      <c r="C97" s="48" t="str">
        <f>VLOOKUP(A97, Refined_Data!A:BZ, 5, FALSE)</f>
        <v>Evening</v>
      </c>
      <c r="D97" s="46">
        <f>IFERROR( VLOOKUP(B97, Current_Stats!A:Z, 5, FALSE), 1)</f>
        <v>16.7</v>
      </c>
      <c r="E97" s="46">
        <f>IFERROR( VLOOKUP(B97, Previous_Stats!A:Z, 5, FALSE), 1)</f>
        <v>15.9</v>
      </c>
      <c r="F97" s="67" t="str">
        <f t="shared" si="5"/>
        <v>1</v>
      </c>
      <c r="G97" s="67" t="str">
        <f t="shared" si="6"/>
        <v>1</v>
      </c>
    </row>
    <row r="98">
      <c r="A98" s="75" t="str">
        <f>IFERROR(__xludf.DUMMYFUNCTION("""COMPUTED_VALUE"""),"Paquette, Adam")</f>
        <v>Paquette, Adam</v>
      </c>
      <c r="B98" s="45" t="str">
        <f>IFERROR(__xludf.DUMMYFUNCTION("""COMPUTED_VALUE"""),"Paquette, Adam")</f>
        <v>Paquette, Adam</v>
      </c>
      <c r="C98" s="48" t="str">
        <f>VLOOKUP(A98, Refined_Data!A:BZ, 5, FALSE)</f>
        <v>Evening</v>
      </c>
      <c r="D98" s="46">
        <f>IFERROR( VLOOKUP(B98, Current_Stats!A:Z, 5, FALSE), 1)</f>
        <v>8.6</v>
      </c>
      <c r="E98" s="46">
        <f>IFERROR( VLOOKUP(B98, Previous_Stats!A:Z, 5, FALSE), 1)</f>
        <v>9</v>
      </c>
      <c r="F98" s="67" t="str">
        <f t="shared" si="5"/>
        <v>2</v>
      </c>
      <c r="G98" s="67" t="str">
        <f t="shared" si="6"/>
        <v>2</v>
      </c>
    </row>
    <row r="99">
      <c r="A99" s="75" t="str">
        <f>IFERROR(__xludf.DUMMYFUNCTION("""COMPUTED_VALUE"""),"Pierre, Christopher")</f>
        <v>Pierre, Christopher</v>
      </c>
      <c r="B99" s="45" t="str">
        <f>IFERROR(__xludf.DUMMYFUNCTION("""COMPUTED_VALUE"""),"Pierre, Christopher")</f>
        <v>Pierre, Christopher</v>
      </c>
      <c r="C99" s="48" t="str">
        <f>VLOOKUP(A99, Refined_Data!A:BZ, 5, FALSE)</f>
        <v>Evening</v>
      </c>
      <c r="D99" s="46">
        <f>IFERROR( VLOOKUP(B99, Current_Stats!A:Z, 5, FALSE), 1)</f>
        <v>19.5</v>
      </c>
      <c r="E99" s="46">
        <f>IFERROR( VLOOKUP(B99, Previous_Stats!A:Z, 5, FALSE), 1)</f>
        <v>18.5</v>
      </c>
      <c r="F99" s="67" t="str">
        <f t="shared" si="5"/>
        <v>1</v>
      </c>
      <c r="G99" s="67" t="str">
        <f t="shared" si="6"/>
        <v>1</v>
      </c>
    </row>
    <row r="100">
      <c r="A100" s="75" t="str">
        <f>IFERROR(__xludf.DUMMYFUNCTION("""COMPUTED_VALUE"""),"Quero, Michael")</f>
        <v>Quero, Michael</v>
      </c>
      <c r="B100" s="45" t="str">
        <f>IFERROR(__xludf.DUMMYFUNCTION("""COMPUTED_VALUE"""),"Quero, Michael")</f>
        <v>Quero, Michael</v>
      </c>
      <c r="C100" s="48" t="str">
        <f>VLOOKUP(A100, Refined_Data!A:BZ, 5, FALSE)</f>
        <v>Evening</v>
      </c>
      <c r="D100" s="46">
        <f>IFERROR( VLOOKUP(B100, Current_Stats!A:Z, 5, FALSE), 1)</f>
        <v>14.6</v>
      </c>
      <c r="E100" s="46">
        <f>IFERROR( VLOOKUP(B100, Previous_Stats!A:Z, 5, FALSE), 1)</f>
        <v>15.7</v>
      </c>
      <c r="F100" s="67" t="str">
        <f t="shared" si="5"/>
        <v>1</v>
      </c>
      <c r="G100" s="67" t="str">
        <f t="shared" si="6"/>
        <v>1</v>
      </c>
    </row>
    <row r="101">
      <c r="A101" s="75" t="str">
        <f>IFERROR(__xludf.DUMMYFUNCTION("""COMPUTED_VALUE"""),"Rea, Shannon")</f>
        <v>Rea, Shannon</v>
      </c>
      <c r="B101" s="48" t="str">
        <f>IFERROR(__xludf.DUMMYFUNCTION("""COMPUTED_VALUE"""),"Rea, Shannon")</f>
        <v>Rea, Shannon</v>
      </c>
      <c r="C101" s="48" t="str">
        <f>VLOOKUP(A101, Refined_Data!A:BZ, 5, FALSE)</f>
        <v>Evening</v>
      </c>
      <c r="D101" s="46">
        <f>IFERROR( VLOOKUP(B101, Current_Stats!A:Z, 5, FALSE), 1)</f>
        <v>12.9</v>
      </c>
      <c r="E101" s="46">
        <f>IFERROR( VLOOKUP(B101, Previous_Stats!A:Z, 5, FALSE), 1)</f>
        <v>11.7</v>
      </c>
      <c r="F101" s="67" t="str">
        <f t="shared" si="5"/>
        <v>2</v>
      </c>
      <c r="G101" s="67" t="str">
        <f t="shared" si="6"/>
        <v>2</v>
      </c>
    </row>
    <row r="102">
      <c r="A102" s="75" t="str">
        <f>IFERROR(__xludf.DUMMYFUNCTION("""COMPUTED_VALUE"""),"Rebelo-Bayle, Antoine")</f>
        <v>Rebelo-Bayle, Antoine</v>
      </c>
      <c r="B102" s="45" t="str">
        <f>IFERROR(__xludf.DUMMYFUNCTION("""COMPUTED_VALUE"""),"Rebelo-Bayle, Antoine")</f>
        <v>Rebelo-Bayle, Antoine</v>
      </c>
      <c r="C102" s="48" t="str">
        <f>VLOOKUP(A102, Refined_Data!A:BZ, 5, FALSE)</f>
        <v>Evening</v>
      </c>
      <c r="D102" s="46">
        <f>IFERROR( VLOOKUP(B102, Current_Stats!A:Z, 5, FALSE), 1)</f>
        <v>17.2</v>
      </c>
      <c r="E102" s="46">
        <f>IFERROR( VLOOKUP(B102, Previous_Stats!A:Z, 5, FALSE), 1)</f>
        <v>16.7</v>
      </c>
      <c r="F102" s="67" t="str">
        <f t="shared" si="5"/>
        <v>1</v>
      </c>
      <c r="G102" s="67" t="str">
        <f t="shared" si="6"/>
        <v>1</v>
      </c>
    </row>
    <row r="103">
      <c r="A103" s="75" t="str">
        <f>IFERROR(__xludf.DUMMYFUNCTION("""COMPUTED_VALUE"""),"Sivoravong, Kanitha")</f>
        <v>Sivoravong, Kanitha</v>
      </c>
      <c r="B103" s="45" t="str">
        <f>IFERROR(__xludf.DUMMYFUNCTION("""COMPUTED_VALUE"""),"Sivoravong, Kanitha")</f>
        <v>Sivoravong, Kanitha</v>
      </c>
      <c r="C103" s="48" t="str">
        <f>VLOOKUP(A103, Refined_Data!A:BZ, 5, FALSE)</f>
        <v>Evening</v>
      </c>
      <c r="D103" s="46">
        <f>IFERROR( VLOOKUP(B103, Current_Stats!A:Z, 5, FALSE), 1)</f>
        <v>5.5</v>
      </c>
      <c r="E103" s="46">
        <f>IFERROR( VLOOKUP(B103, Previous_Stats!A:Z, 5, FALSE), 1)</f>
        <v>5.2</v>
      </c>
      <c r="F103" s="67" t="str">
        <f t="shared" si="5"/>
        <v>3</v>
      </c>
      <c r="G103" s="67" t="str">
        <f t="shared" si="6"/>
        <v>3</v>
      </c>
    </row>
    <row r="104">
      <c r="A104" s="75" t="str">
        <f>IFERROR(__xludf.DUMMYFUNCTION("""COMPUTED_VALUE"""),"Thibert, Lise Valery")</f>
        <v>Thibert, Lise Valery</v>
      </c>
      <c r="B104" s="45" t="str">
        <f>IFERROR(__xludf.DUMMYFUNCTION("""COMPUTED_VALUE"""),"Thibert, Lise Valery")</f>
        <v>Thibert, Lise Valery</v>
      </c>
      <c r="C104" s="48" t="str">
        <f>VLOOKUP(A104, Refined_Data!A:BZ, 5, FALSE)</f>
        <v>Evening</v>
      </c>
      <c r="D104" s="46">
        <f>IFERROR( VLOOKUP(B104, Current_Stats!A:Z, 5, FALSE), 1)</f>
        <v>15.3</v>
      </c>
      <c r="E104" s="46">
        <f>IFERROR( VLOOKUP(B104, Previous_Stats!A:Z, 5, FALSE), 1)</f>
        <v>16.4</v>
      </c>
      <c r="F104" s="67" t="str">
        <f t="shared" si="5"/>
        <v>1</v>
      </c>
      <c r="G104" s="67" t="str">
        <f t="shared" si="6"/>
        <v>1</v>
      </c>
    </row>
    <row r="105">
      <c r="A105" s="75" t="str">
        <f>IFERROR(__xludf.DUMMYFUNCTION("""COMPUTED_VALUE"""),"Tsan, Senh")</f>
        <v>Tsan, Senh</v>
      </c>
      <c r="B105" s="45" t="str">
        <f>IFERROR(__xludf.DUMMYFUNCTION("""COMPUTED_VALUE"""),"Tsan, Senh")</f>
        <v>Tsan, Senh</v>
      </c>
      <c r="C105" s="48" t="str">
        <f>VLOOKUP(A105, Refined_Data!A:BZ, 5, FALSE)</f>
        <v>Evening</v>
      </c>
      <c r="D105" s="46">
        <f>IFERROR( VLOOKUP(B105, Current_Stats!A:Z, 5, FALSE), 1)</f>
        <v>11.7</v>
      </c>
      <c r="E105" s="46">
        <f>IFERROR( VLOOKUP(B105, Previous_Stats!A:Z, 5, FALSE), 1)</f>
        <v>11.8</v>
      </c>
      <c r="F105" s="67" t="str">
        <f t="shared" si="5"/>
        <v>2</v>
      </c>
      <c r="G105" s="67" t="str">
        <f t="shared" si="6"/>
        <v>2</v>
      </c>
    </row>
    <row r="106">
      <c r="A106" s="76"/>
      <c r="C106" s="48" t="str">
        <f>VLOOKUP(A106, Refined_Data!A:BZ, 5, FALSE)</f>
        <v>#N/A</v>
      </c>
      <c r="D106" s="46">
        <f>IFERROR( VLOOKUP(B106, Current_Stats!A:Z, 5, FALSE), 1)</f>
        <v>1</v>
      </c>
      <c r="E106" s="46">
        <f>IFERROR( VLOOKUP(B106, Previous_Stats!A:Z, 5, FALSE), 1)</f>
        <v>1</v>
      </c>
      <c r="F106" s="67" t="str">
        <f t="shared" si="5"/>
        <v>0</v>
      </c>
      <c r="G106" s="67" t="str">
        <f t="shared" si="6"/>
        <v>0</v>
      </c>
    </row>
    <row r="107">
      <c r="A107" s="76"/>
      <c r="C107" s="48" t="str">
        <f>VLOOKUP(A107, Refined_Data!A:BZ, 5, FALSE)</f>
        <v>#N/A</v>
      </c>
      <c r="D107" s="46">
        <f>IFERROR( VLOOKUP(B107, Current_Stats!A:Z, 5, FALSE), 1)</f>
        <v>1</v>
      </c>
      <c r="E107" s="46">
        <f>IFERROR( VLOOKUP(B107, Previous_Stats!A:Z, 5, FALSE), 1)</f>
        <v>1</v>
      </c>
      <c r="F107" s="67" t="str">
        <f t="shared" si="5"/>
        <v>0</v>
      </c>
      <c r="G107" s="67" t="str">
        <f t="shared" si="6"/>
        <v>0</v>
      </c>
    </row>
    <row r="108">
      <c r="A108" s="76"/>
      <c r="C108" s="48" t="str">
        <f>VLOOKUP(A108, Refined_Data!A:BZ, 5, FALSE)</f>
        <v>#N/A</v>
      </c>
      <c r="D108" s="46">
        <f>IFERROR( VLOOKUP(B108, Current_Stats!A:Z, 5, FALSE), 1)</f>
        <v>1</v>
      </c>
      <c r="E108" s="46">
        <f>IFERROR( VLOOKUP(B108, Previous_Stats!A:Z, 5, FALSE), 1)</f>
        <v>1</v>
      </c>
      <c r="F108" s="67" t="str">
        <f t="shared" si="5"/>
        <v>0</v>
      </c>
      <c r="G108" s="67" t="str">
        <f t="shared" si="6"/>
        <v>0</v>
      </c>
    </row>
    <row r="109" hidden="1">
      <c r="A109" s="76"/>
      <c r="C109" s="48" t="str">
        <f>VLOOKUP(A109, Refined_Data!A:BZ, 5, FALSE)</f>
        <v>#N/A</v>
      </c>
      <c r="D109" s="46">
        <f>IFERROR( VLOOKUP(B109, Current_Stats!A:Z, 5, FALSE), 1)</f>
        <v>1</v>
      </c>
      <c r="E109" s="46">
        <f>IFERROR( VLOOKUP(B109, Previous_Stats!A:Z, 5, FALSE), 1)</f>
        <v>1</v>
      </c>
      <c r="F109" s="67" t="str">
        <f t="shared" si="5"/>
        <v>0</v>
      </c>
      <c r="G109" s="67" t="str">
        <f t="shared" si="6"/>
        <v>0</v>
      </c>
    </row>
    <row r="110" hidden="1">
      <c r="A110" s="76"/>
      <c r="C110" s="48" t="str">
        <f>VLOOKUP(A110, Refined_Data!A:BZ, 5, FALSE)</f>
        <v>#N/A</v>
      </c>
      <c r="D110" s="46">
        <f>IFERROR( VLOOKUP(B110, Current_Stats!A:Z, 5, FALSE), 1)</f>
        <v>1</v>
      </c>
      <c r="E110" s="46">
        <f>IFERROR( VLOOKUP(B110, Previous_Stats!A:Z, 5, FALSE), 1)</f>
        <v>1</v>
      </c>
      <c r="F110" s="67" t="str">
        <f t="shared" si="5"/>
        <v>0</v>
      </c>
      <c r="G110" s="67" t="str">
        <f t="shared" si="6"/>
        <v>0</v>
      </c>
    </row>
    <row r="111" hidden="1">
      <c r="A111" s="76"/>
      <c r="C111" s="48" t="str">
        <f>VLOOKUP(A111, Refined_Data!A:BZ, 5, FALSE)</f>
        <v>#N/A</v>
      </c>
      <c r="D111" s="46">
        <f>IFERROR( VLOOKUP(B111, Current_Stats!A:Z, 5, FALSE), 1)</f>
        <v>1</v>
      </c>
      <c r="E111" s="46">
        <f>IFERROR( VLOOKUP(B111, Previous_Stats!A:Z, 5, FALSE), 1)</f>
        <v>1</v>
      </c>
      <c r="F111" s="67" t="str">
        <f t="shared" si="5"/>
        <v>0</v>
      </c>
      <c r="G111" s="67" t="str">
        <f t="shared" si="6"/>
        <v>0</v>
      </c>
    </row>
    <row r="112" hidden="1">
      <c r="A112" s="76"/>
      <c r="C112" s="48" t="str">
        <f>VLOOKUP(A112, Refined_Data!A:BZ, 5, FALSE)</f>
        <v>#N/A</v>
      </c>
      <c r="D112" s="46">
        <f>IFERROR( VLOOKUP(B112, Current_Stats!A:Z, 5, FALSE), 1)</f>
        <v>1</v>
      </c>
      <c r="E112" s="46">
        <f>IFERROR( VLOOKUP(B112, Previous_Stats!A:Z, 5, FALSE), 1)</f>
        <v>1</v>
      </c>
      <c r="F112" s="67" t="str">
        <f t="shared" si="5"/>
        <v>0</v>
      </c>
      <c r="G112" s="67" t="str">
        <f t="shared" si="6"/>
        <v>0</v>
      </c>
    </row>
    <row r="113" hidden="1">
      <c r="A113" s="76"/>
      <c r="C113" s="48" t="str">
        <f>VLOOKUP(A113, Refined_Data!A:BZ, 5, FALSE)</f>
        <v>#N/A</v>
      </c>
      <c r="D113" s="46">
        <f>IFERROR( VLOOKUP(B113, Current_Stats!A:Z, 5, FALSE), 1)</f>
        <v>1</v>
      </c>
      <c r="E113" s="46">
        <f>IFERROR( VLOOKUP(B113, Previous_Stats!A:Z, 5, FALSE), 1)</f>
        <v>1</v>
      </c>
      <c r="F113" s="67" t="str">
        <f t="shared" si="5"/>
        <v>0</v>
      </c>
      <c r="G113" s="67" t="str">
        <f t="shared" si="6"/>
        <v>0</v>
      </c>
    </row>
    <row r="114" hidden="1">
      <c r="A114" s="76"/>
      <c r="C114" s="48" t="str">
        <f>VLOOKUP(A114, Refined_Data!A:BZ, 5, FALSE)</f>
        <v>#N/A</v>
      </c>
      <c r="D114" s="46">
        <f>IFERROR( VLOOKUP(B114, Current_Stats!A:Z, 5, FALSE), 1)</f>
        <v>1</v>
      </c>
      <c r="E114" s="46">
        <f>IFERROR( VLOOKUP(B114, Previous_Stats!A:Z, 5, FALSE), 1)</f>
        <v>1</v>
      </c>
      <c r="F114" s="67" t="str">
        <f t="shared" si="5"/>
        <v>0</v>
      </c>
      <c r="G114" s="67" t="str">
        <f t="shared" si="6"/>
        <v>0</v>
      </c>
    </row>
    <row r="115" hidden="1">
      <c r="A115" s="76"/>
      <c r="C115" s="48" t="str">
        <f>VLOOKUP(A115, Refined_Data!A:BZ, 5, FALSE)</f>
        <v>#N/A</v>
      </c>
      <c r="D115" s="46">
        <f>IFERROR( VLOOKUP(B115, Current_Stats!A:Z, 5, FALSE), 1)</f>
        <v>1</v>
      </c>
      <c r="E115" s="46">
        <f>IFERROR( VLOOKUP(B115, Previous_Stats!A:Z, 5, FALSE), 1)</f>
        <v>1</v>
      </c>
      <c r="F115" s="67" t="str">
        <f t="shared" si="5"/>
        <v>0</v>
      </c>
      <c r="G115" s="67" t="str">
        <f t="shared" si="6"/>
        <v>0</v>
      </c>
    </row>
    <row r="116" hidden="1">
      <c r="A116" s="76"/>
      <c r="C116" s="48" t="str">
        <f>VLOOKUP(A116, Refined_Data!A:BZ, 5, FALSE)</f>
        <v>#N/A</v>
      </c>
      <c r="D116" s="46">
        <f>IFERROR( VLOOKUP(B116, Current_Stats!A:Z, 5, FALSE), 1)</f>
        <v>1</v>
      </c>
      <c r="E116" s="46">
        <f>IFERROR( VLOOKUP(B116, Previous_Stats!A:Z, 5, FALSE), 1)</f>
        <v>1</v>
      </c>
      <c r="F116" s="67" t="str">
        <f t="shared" si="5"/>
        <v>0</v>
      </c>
      <c r="G116" s="67" t="str">
        <f t="shared" si="6"/>
        <v>0</v>
      </c>
    </row>
    <row r="117" hidden="1">
      <c r="A117" s="76"/>
      <c r="C117" s="48" t="str">
        <f>VLOOKUP(A117, Refined_Data!A:BZ, 5, FALSE)</f>
        <v>#N/A</v>
      </c>
      <c r="D117" s="46">
        <f>IFERROR( VLOOKUP(B117, Current_Stats!A:Z, 5, FALSE), 1)</f>
        <v>1</v>
      </c>
      <c r="E117" s="46">
        <f>IFERROR( VLOOKUP(B117, Previous_Stats!A:Z, 5, FALSE), 1)</f>
        <v>1</v>
      </c>
      <c r="F117" s="67" t="str">
        <f t="shared" si="5"/>
        <v>0</v>
      </c>
      <c r="G117" s="67" t="str">
        <f t="shared" si="6"/>
        <v>0</v>
      </c>
    </row>
    <row r="118" hidden="1">
      <c r="A118" s="76"/>
      <c r="C118" s="48" t="str">
        <f>VLOOKUP(A118, Refined_Data!A:BZ, 5, FALSE)</f>
        <v>#N/A</v>
      </c>
      <c r="D118" s="46">
        <f>IFERROR( VLOOKUP(B118, Current_Stats!A:Z, 5, FALSE), 1)</f>
        <v>1</v>
      </c>
      <c r="E118" s="46">
        <f>IFERROR( VLOOKUP(B118, Previous_Stats!A:Z, 5, FALSE), 1)</f>
        <v>1</v>
      </c>
      <c r="F118" s="67" t="str">
        <f t="shared" si="5"/>
        <v>0</v>
      </c>
      <c r="G118" s="67" t="str">
        <f t="shared" si="6"/>
        <v>0</v>
      </c>
    </row>
    <row r="119" hidden="1">
      <c r="A119" s="76"/>
      <c r="C119" s="48" t="str">
        <f>VLOOKUP(A119, Refined_Data!A:BZ, 5, FALSE)</f>
        <v>#N/A</v>
      </c>
      <c r="D119" s="46">
        <f>IFERROR( VLOOKUP(B119, Current_Stats!A:Z, 5, FALSE), 1)</f>
        <v>1</v>
      </c>
      <c r="E119" s="46">
        <f>IFERROR( VLOOKUP(B119, Previous_Stats!A:Z, 5, FALSE), 1)</f>
        <v>1</v>
      </c>
      <c r="F119" s="67" t="str">
        <f t="shared" si="5"/>
        <v>0</v>
      </c>
      <c r="G119" s="67" t="str">
        <f t="shared" si="6"/>
        <v>0</v>
      </c>
    </row>
    <row r="120" hidden="1">
      <c r="A120" s="76"/>
      <c r="C120" s="48" t="str">
        <f>VLOOKUP(A120, Refined_Data!A:BZ, 5, FALSE)</f>
        <v>#N/A</v>
      </c>
      <c r="D120" s="46">
        <f>IFERROR( VLOOKUP(B120, Current_Stats!A:Z, 5, FALSE), 1)</f>
        <v>1</v>
      </c>
      <c r="E120" s="46">
        <f>IFERROR( VLOOKUP(B120, Previous_Stats!A:Z, 5, FALSE), 1)</f>
        <v>1</v>
      </c>
      <c r="F120" s="67" t="str">
        <f t="shared" si="5"/>
        <v>0</v>
      </c>
      <c r="G120" s="67" t="str">
        <f t="shared" si="6"/>
        <v>0</v>
      </c>
    </row>
    <row r="121" hidden="1">
      <c r="A121" s="76"/>
      <c r="C121" s="48" t="str">
        <f>VLOOKUP(A121, Refined_Data!A:BZ, 5, FALSE)</f>
        <v>#N/A</v>
      </c>
      <c r="D121" s="46">
        <f>IFERROR( VLOOKUP(B121, Current_Stats!A:Z, 5, FALSE), 1)</f>
        <v>1</v>
      </c>
      <c r="E121" s="46">
        <f>IFERROR( VLOOKUP(B121, Previous_Stats!A:Z, 5, FALSE), 1)</f>
        <v>1</v>
      </c>
      <c r="F121" s="67" t="str">
        <f t="shared" si="5"/>
        <v>0</v>
      </c>
      <c r="G121" s="67" t="str">
        <f t="shared" si="6"/>
        <v>0</v>
      </c>
    </row>
    <row r="122" hidden="1">
      <c r="A122" s="76"/>
      <c r="C122" s="48" t="str">
        <f>VLOOKUP(A122, Refined_Data!A:BZ, 5, FALSE)</f>
        <v>#N/A</v>
      </c>
      <c r="D122" s="46">
        <f>IFERROR( VLOOKUP(B122, Current_Stats!A:Z, 5, FALSE), 1)</f>
        <v>1</v>
      </c>
      <c r="E122" s="46">
        <f>IFERROR( VLOOKUP(B122, Previous_Stats!A:Z, 5, FALSE), 1)</f>
        <v>1</v>
      </c>
      <c r="F122" s="67" t="str">
        <f t="shared" si="5"/>
        <v>0</v>
      </c>
      <c r="G122" s="67" t="str">
        <f t="shared" si="6"/>
        <v>0</v>
      </c>
    </row>
    <row r="123" hidden="1">
      <c r="A123" s="76"/>
      <c r="C123" s="48" t="str">
        <f>VLOOKUP(A123, Refined_Data!A:BZ, 5, FALSE)</f>
        <v>#N/A</v>
      </c>
      <c r="D123" s="46">
        <f>IFERROR( VLOOKUP(B123, Current_Stats!A:Z, 5, FALSE), 1)</f>
        <v>1</v>
      </c>
      <c r="E123" s="46">
        <f>IFERROR( VLOOKUP(B123, Previous_Stats!A:Z, 5, FALSE), 1)</f>
        <v>1</v>
      </c>
      <c r="F123" s="67" t="str">
        <f t="shared" si="5"/>
        <v>0</v>
      </c>
      <c r="G123" s="67" t="str">
        <f t="shared" si="6"/>
        <v>0</v>
      </c>
    </row>
    <row r="124" hidden="1">
      <c r="A124" s="76"/>
      <c r="C124" s="48" t="str">
        <f>VLOOKUP(A124, Refined_Data!A:BZ, 5, FALSE)</f>
        <v>#N/A</v>
      </c>
      <c r="D124" s="46">
        <f>IFERROR( VLOOKUP(B124, Current_Stats!A:Z, 5, FALSE), 1)</f>
        <v>1</v>
      </c>
      <c r="E124" s="46">
        <f>IFERROR( VLOOKUP(B124, Previous_Stats!A:Z, 5, FALSE), 1)</f>
        <v>1</v>
      </c>
      <c r="F124" s="67" t="str">
        <f t="shared" si="5"/>
        <v>0</v>
      </c>
      <c r="G124" s="67" t="str">
        <f t="shared" si="6"/>
        <v>0</v>
      </c>
    </row>
    <row r="125" hidden="1">
      <c r="A125" s="76"/>
      <c r="C125" s="48" t="str">
        <f>VLOOKUP(A125, Refined_Data!A:BZ, 5, FALSE)</f>
        <v>#N/A</v>
      </c>
      <c r="D125" s="46">
        <f>IFERROR( VLOOKUP(B125, Current_Stats!A:Z, 5, FALSE), 1)</f>
        <v>1</v>
      </c>
      <c r="E125" s="46">
        <f>IFERROR( VLOOKUP(B125, Previous_Stats!A:Z, 5, FALSE), 1)</f>
        <v>1</v>
      </c>
      <c r="F125" s="67" t="str">
        <f t="shared" si="5"/>
        <v>0</v>
      </c>
      <c r="G125" s="67" t="str">
        <f t="shared" si="6"/>
        <v>0</v>
      </c>
    </row>
    <row r="126" hidden="1">
      <c r="A126" s="76"/>
      <c r="C126" s="48" t="str">
        <f>VLOOKUP(A126, Refined_Data!A:BZ, 5, FALSE)</f>
        <v>#N/A</v>
      </c>
      <c r="D126" s="46">
        <f>IFERROR( VLOOKUP(B126, Current_Stats!A:Z, 5, FALSE), 1)</f>
        <v>1</v>
      </c>
      <c r="E126" s="46">
        <f>IFERROR( VLOOKUP(B126, Previous_Stats!A:Z, 5, FALSE), 1)</f>
        <v>1</v>
      </c>
      <c r="F126" s="67" t="str">
        <f t="shared" si="5"/>
        <v>0</v>
      </c>
      <c r="G126" s="67" t="str">
        <f t="shared" si="6"/>
        <v>0</v>
      </c>
    </row>
    <row r="127" hidden="1">
      <c r="A127" s="76"/>
      <c r="C127" s="48" t="str">
        <f>VLOOKUP(A127, Refined_Data!A:BZ, 5, FALSE)</f>
        <v>#N/A</v>
      </c>
      <c r="D127" s="46">
        <f>IFERROR( VLOOKUP(B127, Current_Stats!A:Z, 5, FALSE), 1)</f>
        <v>1</v>
      </c>
      <c r="E127" s="46">
        <f>IFERROR( VLOOKUP(B127, Previous_Stats!A:Z, 5, FALSE), 1)</f>
        <v>1</v>
      </c>
      <c r="F127" s="67" t="str">
        <f t="shared" si="5"/>
        <v>0</v>
      </c>
      <c r="G127" s="67" t="str">
        <f t="shared" si="6"/>
        <v>0</v>
      </c>
    </row>
    <row r="128" hidden="1">
      <c r="A128" s="76"/>
      <c r="C128" s="48" t="str">
        <f>VLOOKUP(A128, Refined_Data!A:BZ, 5, FALSE)</f>
        <v>#N/A</v>
      </c>
      <c r="D128" s="46">
        <f>IFERROR( VLOOKUP(B128, Current_Stats!A:Z, 5, FALSE), 1)</f>
        <v>1</v>
      </c>
      <c r="E128" s="46">
        <f>IFERROR( VLOOKUP(B128, Previous_Stats!A:Z, 5, FALSE), 1)</f>
        <v>1</v>
      </c>
      <c r="F128" s="67" t="str">
        <f t="shared" si="5"/>
        <v>0</v>
      </c>
      <c r="G128" s="67" t="str">
        <f t="shared" si="6"/>
        <v>0</v>
      </c>
    </row>
    <row r="129" hidden="1">
      <c r="A129" s="76"/>
      <c r="C129" s="48" t="str">
        <f>VLOOKUP(A129, Refined_Data!A:BZ, 5, FALSE)</f>
        <v>#N/A</v>
      </c>
      <c r="D129" s="46">
        <f>IFERROR( VLOOKUP(B129, Current_Stats!A:Z, 5, FALSE), 1)</f>
        <v>1</v>
      </c>
      <c r="E129" s="46">
        <f>IFERROR( VLOOKUP(B129, Previous_Stats!A:Z, 5, FALSE), 1)</f>
        <v>1</v>
      </c>
      <c r="F129" s="67" t="str">
        <f t="shared" si="5"/>
        <v>0</v>
      </c>
      <c r="G129" s="67" t="str">
        <f t="shared" si="6"/>
        <v>0</v>
      </c>
    </row>
    <row r="130" hidden="1">
      <c r="A130" s="76"/>
      <c r="C130" s="48" t="str">
        <f>VLOOKUP(A130, Refined_Data!A:BZ, 5, FALSE)</f>
        <v>#N/A</v>
      </c>
      <c r="D130" s="46">
        <f>IFERROR( VLOOKUP(B130, Current_Stats!A:Z, 5, FALSE), 1)</f>
        <v>1</v>
      </c>
      <c r="E130" s="46">
        <f>IFERROR( VLOOKUP(B130, Previous_Stats!A:Z, 5, FALSE), 1)</f>
        <v>1</v>
      </c>
      <c r="F130" s="67" t="str">
        <f t="shared" si="5"/>
        <v>0</v>
      </c>
      <c r="G130" s="67" t="str">
        <f t="shared" si="6"/>
        <v>0</v>
      </c>
    </row>
    <row r="131" hidden="1">
      <c r="A131" s="76"/>
      <c r="C131" s="48" t="str">
        <f>VLOOKUP(A131, Refined_Data!A:BZ, 5, FALSE)</f>
        <v>#N/A</v>
      </c>
      <c r="D131" s="46">
        <f>IFERROR( VLOOKUP(B131, Current_Stats!A:Z, 5, FALSE), 1)</f>
        <v>1</v>
      </c>
      <c r="E131" s="46">
        <f>IFERROR( VLOOKUP(B131, Previous_Stats!A:Z, 5, FALSE), 1)</f>
        <v>1</v>
      </c>
      <c r="F131" s="67" t="str">
        <f t="shared" si="5"/>
        <v>0</v>
      </c>
      <c r="G131" s="67" t="str">
        <f t="shared" si="6"/>
        <v>0</v>
      </c>
    </row>
    <row r="132" hidden="1">
      <c r="A132" s="76"/>
      <c r="C132" s="48" t="str">
        <f>VLOOKUP(A132, Refined_Data!A:BZ, 5, FALSE)</f>
        <v>#N/A</v>
      </c>
      <c r="D132" s="46">
        <f>IFERROR( VLOOKUP(B132, Current_Stats!A:Z, 5, FALSE), 1)</f>
        <v>1</v>
      </c>
      <c r="E132" s="46">
        <f>IFERROR( VLOOKUP(B132, Previous_Stats!A:Z, 5, FALSE), 1)</f>
        <v>1</v>
      </c>
      <c r="F132" s="67" t="str">
        <f t="shared" si="5"/>
        <v>0</v>
      </c>
      <c r="G132" s="67" t="str">
        <f t="shared" si="6"/>
        <v>0</v>
      </c>
    </row>
    <row r="133" hidden="1">
      <c r="A133" s="76"/>
      <c r="C133" s="48" t="str">
        <f>VLOOKUP(A133, Refined_Data!A:BZ, 5, FALSE)</f>
        <v>#N/A</v>
      </c>
      <c r="D133" s="46">
        <f>IFERROR( VLOOKUP(B133, Current_Stats!A:Z, 5, FALSE), 1)</f>
        <v>1</v>
      </c>
      <c r="E133" s="46">
        <f>IFERROR( VLOOKUP(B133, Previous_Stats!A:Z, 5, FALSE), 1)</f>
        <v>1</v>
      </c>
      <c r="F133" s="67" t="str">
        <f t="shared" si="5"/>
        <v>0</v>
      </c>
      <c r="G133" s="67" t="str">
        <f t="shared" si="6"/>
        <v>0</v>
      </c>
    </row>
    <row r="134" hidden="1">
      <c r="A134" s="76"/>
      <c r="C134" s="48" t="str">
        <f>VLOOKUP(A134, Refined_Data!A:BZ, 5, FALSE)</f>
        <v>#N/A</v>
      </c>
      <c r="D134" s="46">
        <f>IFERROR( VLOOKUP(B134, Current_Stats!A:Z, 5, FALSE), 1)</f>
        <v>1</v>
      </c>
      <c r="E134" s="46">
        <f>IFERROR( VLOOKUP(B134, Previous_Stats!A:Z, 5, FALSE), 1)</f>
        <v>1</v>
      </c>
      <c r="F134" s="67" t="str">
        <f t="shared" si="5"/>
        <v>0</v>
      </c>
      <c r="G134" s="67" t="str">
        <f t="shared" si="6"/>
        <v>0</v>
      </c>
    </row>
    <row r="135" hidden="1">
      <c r="A135" s="76"/>
      <c r="C135" s="48" t="str">
        <f>VLOOKUP(A135, Refined_Data!A:BZ, 5, FALSE)</f>
        <v>#N/A</v>
      </c>
      <c r="D135" s="46">
        <f>IFERROR( VLOOKUP(B135, Current_Stats!A:Z, 5, FALSE), 1)</f>
        <v>1</v>
      </c>
      <c r="E135" s="46">
        <f>IFERROR( VLOOKUP(B135, Previous_Stats!A:Z, 5, FALSE), 1)</f>
        <v>1</v>
      </c>
      <c r="F135" s="67" t="str">
        <f t="shared" si="5"/>
        <v>0</v>
      </c>
      <c r="G135" s="67" t="str">
        <f t="shared" si="6"/>
        <v>0</v>
      </c>
    </row>
    <row r="136" hidden="1">
      <c r="A136" s="76"/>
      <c r="C136" s="48" t="str">
        <f>VLOOKUP(A136, Refined_Data!A:BZ, 5, FALSE)</f>
        <v>#N/A</v>
      </c>
      <c r="D136" s="46">
        <f>IFERROR( VLOOKUP(B136, Current_Stats!A:Z, 5, FALSE), 1)</f>
        <v>1</v>
      </c>
      <c r="E136" s="46">
        <f>IFERROR( VLOOKUP(B136, Previous_Stats!A:Z, 5, FALSE), 1)</f>
        <v>1</v>
      </c>
      <c r="F136" s="67" t="str">
        <f t="shared" si="5"/>
        <v>0</v>
      </c>
      <c r="G136" s="67" t="str">
        <f t="shared" si="6"/>
        <v>0</v>
      </c>
    </row>
    <row r="137" hidden="1">
      <c r="A137" s="76"/>
      <c r="C137" s="48" t="str">
        <f>VLOOKUP(A137, Refined_Data!A:BZ, 5, FALSE)</f>
        <v>#N/A</v>
      </c>
      <c r="D137" s="46">
        <f>IFERROR( VLOOKUP(B137, Current_Stats!A:Z, 5, FALSE), 1)</f>
        <v>1</v>
      </c>
      <c r="E137" s="46">
        <f>IFERROR( VLOOKUP(B137, Previous_Stats!A:Z, 5, FALSE), 1)</f>
        <v>1</v>
      </c>
      <c r="F137" s="67" t="str">
        <f t="shared" si="5"/>
        <v>0</v>
      </c>
      <c r="G137" s="67" t="str">
        <f t="shared" si="6"/>
        <v>0</v>
      </c>
    </row>
    <row r="138" hidden="1">
      <c r="A138" s="76"/>
      <c r="C138" s="48" t="str">
        <f>VLOOKUP(A138, Refined_Data!A:BZ, 5, FALSE)</f>
        <v>#N/A</v>
      </c>
      <c r="D138" s="46">
        <f>IFERROR( VLOOKUP(B138, Current_Stats!A:Z, 5, FALSE), 1)</f>
        <v>1</v>
      </c>
      <c r="E138" s="46">
        <f>IFERROR( VLOOKUP(B138, Previous_Stats!A:Z, 5, FALSE), 1)</f>
        <v>1</v>
      </c>
      <c r="F138" s="67" t="str">
        <f t="shared" si="5"/>
        <v>0</v>
      </c>
      <c r="G138" s="67" t="str">
        <f t="shared" si="6"/>
        <v>0</v>
      </c>
    </row>
    <row r="139" hidden="1">
      <c r="C139" s="48" t="str">
        <f>VLOOKUP(A139, Refined_Data!A:BZ, 5, FALSE)</f>
        <v>#N/A</v>
      </c>
      <c r="D139" s="46">
        <f>IFERROR( VLOOKUP(B139, Current_Stats!A:Z, 5, FALSE), 1)</f>
        <v>1</v>
      </c>
      <c r="E139" s="46">
        <f>IFERROR( VLOOKUP(B139, Previous_Stats!A:Z, 5, FALSE), 1)</f>
        <v>1</v>
      </c>
      <c r="F139" s="67" t="str">
        <f t="shared" si="5"/>
        <v>0</v>
      </c>
      <c r="G139" s="67" t="str">
        <f t="shared" si="6"/>
        <v>0</v>
      </c>
    </row>
    <row r="140">
      <c r="A140" s="77" t="str">
        <f>IFERROR(__xludf.DUMMYFUNCTION("FILTER(Refined_Data!A2:A129, Refined_Data!E2:E129=""Night"")"),"Akherraz, Hajar")</f>
        <v>Akherraz, Hajar</v>
      </c>
      <c r="B140" s="45" t="str">
        <f>IFERROR(__xludf.DUMMYFUNCTION("FILTER(Refined_Data!O2:O129, Refined_Data!E2:E129=""Night"")"),"Akherraz, Hajar")</f>
        <v>Akherraz, Hajar</v>
      </c>
      <c r="C140" s="48" t="str">
        <f>VLOOKUP(A140, Refined_Data!A:BZ, 5, FALSE)</f>
        <v>Night</v>
      </c>
      <c r="D140" s="46">
        <f>IFERROR( VLOOKUP(B140, Current_Stats!A:Z, 5, FALSE), 1)</f>
        <v>6.7</v>
      </c>
      <c r="E140" s="46">
        <f>IFERROR( VLOOKUP(B140, Previous_Stats!A:Z, 5, FALSE), 1)</f>
        <v>6.3</v>
      </c>
      <c r="F140" s="67" t="str">
        <f t="shared" ref="F140:F187" si="7">IFS(
  IFERROR(D140 = 1, FALSE), "0",
  IFERROR(D140 &gt;= $J$3, FALSE), "1",
  IFERROR(D140 &gt; $J$7, FALSE), "2",
  IFERROR(D140 &lt;= $J$7, FALSE), "3",
  TRUE, 2
)</f>
        <v>2</v>
      </c>
      <c r="G140" s="67" t="str">
        <f t="shared" si="6"/>
        <v>3</v>
      </c>
    </row>
    <row r="141">
      <c r="A141" s="77" t="str">
        <f>IFERROR(__xludf.DUMMYFUNCTION("""COMPUTED_VALUE"""),"Auger, Adrien")</f>
        <v>Auger, Adrien</v>
      </c>
      <c r="B141" s="45" t="str">
        <f>IFERROR(__xludf.DUMMYFUNCTION("""COMPUTED_VALUE"""),"Auger, Adrien")</f>
        <v>Auger, Adrien</v>
      </c>
      <c r="C141" s="48" t="str">
        <f>VLOOKUP(A141, Refined_Data!A:BZ, 5, FALSE)</f>
        <v>Night</v>
      </c>
      <c r="D141" s="46">
        <f>IFERROR( VLOOKUP(B141, Current_Stats!A:Z, 5, FALSE), 1)</f>
        <v>11</v>
      </c>
      <c r="E141" s="46">
        <f>IFERROR( VLOOKUP(B141, Previous_Stats!A:Z, 5, FALSE), 1)</f>
        <v>10.6</v>
      </c>
      <c r="F141" s="67" t="str">
        <f t="shared" si="7"/>
        <v>1</v>
      </c>
      <c r="G141" s="67" t="str">
        <f t="shared" si="6"/>
        <v>2</v>
      </c>
    </row>
    <row r="142">
      <c r="A142" s="77" t="str">
        <f>IFERROR(__xludf.DUMMYFUNCTION("""COMPUTED_VALUE"""),"Brooks, Laura")</f>
        <v>Brooks, Laura</v>
      </c>
      <c r="B142" s="48" t="str">
        <f>IFERROR(__xludf.DUMMYFUNCTION("""COMPUTED_VALUE"""),"Brooks, Laura")</f>
        <v>Brooks, Laura</v>
      </c>
      <c r="C142" s="48" t="str">
        <f>VLOOKUP(A142, Refined_Data!A:BZ, 5, FALSE)</f>
        <v>Night</v>
      </c>
      <c r="D142" s="46">
        <f>IFERROR( VLOOKUP(B142, Current_Stats!A:Z, 5, FALSE), 1)</f>
        <v>7</v>
      </c>
      <c r="E142" s="46">
        <f>IFERROR( VLOOKUP(B142, Previous_Stats!A:Z, 5, FALSE), 1)</f>
        <v>7</v>
      </c>
      <c r="F142" s="67" t="str">
        <f t="shared" si="7"/>
        <v>2</v>
      </c>
      <c r="G142" s="67" t="str">
        <f t="shared" si="6"/>
        <v>2</v>
      </c>
    </row>
    <row r="143">
      <c r="A143" s="77" t="str">
        <f>IFERROR(__xludf.DUMMYFUNCTION("""COMPUTED_VALUE"""),"Chan, Chinda")</f>
        <v>Chan, Chinda</v>
      </c>
      <c r="B143" s="45" t="str">
        <f>IFERROR(__xludf.DUMMYFUNCTION("""COMPUTED_VALUE"""),"Chan, Chinda")</f>
        <v>Chan, Chinda</v>
      </c>
      <c r="C143" s="48" t="str">
        <f>VLOOKUP(A143, Refined_Data!A:BZ, 5, FALSE)</f>
        <v>Night</v>
      </c>
      <c r="D143" s="46">
        <f>IFERROR( VLOOKUP(B143, Current_Stats!A:Z, 5, FALSE), 1)</f>
        <v>11.2</v>
      </c>
      <c r="E143" s="46">
        <f>IFERROR( VLOOKUP(B143, Previous_Stats!A:Z, 5, FALSE), 1)</f>
        <v>11.1</v>
      </c>
      <c r="F143" s="67" t="str">
        <f t="shared" si="7"/>
        <v>1</v>
      </c>
      <c r="G143" s="67" t="str">
        <f t="shared" si="6"/>
        <v>2</v>
      </c>
    </row>
    <row r="144">
      <c r="A144" s="77" t="str">
        <f>IFERROR(__xludf.DUMMYFUNCTION("""COMPUTED_VALUE"""),"El Hafsi, Hamza")</f>
        <v>El Hafsi, Hamza</v>
      </c>
      <c r="B144" s="45" t="str">
        <f>IFERROR(__xludf.DUMMYFUNCTION("""COMPUTED_VALUE"""),"El Hafsi, Hamza")</f>
        <v>El Hafsi, Hamza</v>
      </c>
      <c r="C144" s="48" t="str">
        <f>VLOOKUP(A144, Refined_Data!A:BZ, 5, FALSE)</f>
        <v>Night</v>
      </c>
      <c r="D144" s="46">
        <f>IFERROR( VLOOKUP(B144, Current_Stats!A:Z, 5, FALSE), 1)</f>
        <v>8</v>
      </c>
      <c r="E144" s="46">
        <f>IFERROR( VLOOKUP(B144, Previous_Stats!A:Z, 5, FALSE), 1)</f>
        <v>7.5</v>
      </c>
      <c r="F144" s="67" t="str">
        <f t="shared" si="7"/>
        <v>2</v>
      </c>
      <c r="G144" s="67" t="str">
        <f t="shared" si="6"/>
        <v>2</v>
      </c>
    </row>
    <row r="145">
      <c r="A145" s="77" t="str">
        <f>IFERROR(__xludf.DUMMYFUNCTION("""COMPUTED_VALUE"""),"Gagnon, Nancy")</f>
        <v>Gagnon, Nancy</v>
      </c>
      <c r="B145" s="45" t="str">
        <f>IFERROR(__xludf.DUMMYFUNCTION("""COMPUTED_VALUE"""),"Gagnon, Nancy")</f>
        <v>Gagnon, Nancy</v>
      </c>
      <c r="C145" s="48" t="str">
        <f>VLOOKUP(A145, Refined_Data!A:BZ, 5, FALSE)</f>
        <v>Night</v>
      </c>
      <c r="D145" s="46">
        <f>IFERROR( VLOOKUP(B145, Current_Stats!A:Z, 5, FALSE), 1)</f>
        <v>7.4</v>
      </c>
      <c r="E145" s="46">
        <f>IFERROR( VLOOKUP(B145, Previous_Stats!A:Z, 5, FALSE), 1)</f>
        <v>7.1</v>
      </c>
      <c r="F145" s="67" t="str">
        <f t="shared" si="7"/>
        <v>2</v>
      </c>
      <c r="G145" s="67" t="str">
        <f t="shared" si="6"/>
        <v>2</v>
      </c>
    </row>
    <row r="146">
      <c r="A146" s="77" t="str">
        <f>IFERROR(__xludf.DUMMYFUNCTION("""COMPUTED_VALUE"""),"Jaén-Benitez, Roberto-David")</f>
        <v>Jaén-Benitez, Roberto-David</v>
      </c>
      <c r="B146" s="45" t="str">
        <f>IFERROR(__xludf.DUMMYFUNCTION("""COMPUTED_VALUE"""),"Jaen Benitez, Roberto David")</f>
        <v>Jaen Benitez, Roberto David</v>
      </c>
      <c r="C146" s="48" t="str">
        <f>VLOOKUP(A146, Refined_Data!A:BZ, 5, FALSE)</f>
        <v>Night</v>
      </c>
      <c r="D146" s="46">
        <f>IFERROR( VLOOKUP(B146, Current_Stats!A:Z, 5, FALSE), 1)</f>
        <v>6.8</v>
      </c>
      <c r="E146" s="46">
        <f>IFERROR( VLOOKUP(B146, Previous_Stats!A:Z, 5, FALSE), 1)</f>
        <v>6.8</v>
      </c>
      <c r="F146" s="67" t="str">
        <f t="shared" si="7"/>
        <v>2</v>
      </c>
      <c r="G146" s="67" t="str">
        <f t="shared" si="6"/>
        <v>2</v>
      </c>
    </row>
    <row r="147">
      <c r="A147" s="77" t="str">
        <f>IFERROR(__xludf.DUMMYFUNCTION("""COMPUTED_VALUE"""),"Kaur, Manpreet")</f>
        <v>Kaur, Manpreet</v>
      </c>
      <c r="B147" s="45" t="str">
        <f>IFERROR(__xludf.DUMMYFUNCTION("""COMPUTED_VALUE"""),"Kaur, Manpreet")</f>
        <v>Kaur, Manpreet</v>
      </c>
      <c r="C147" s="48" t="str">
        <f>VLOOKUP(A147, Refined_Data!A:BZ, 5, FALSE)</f>
        <v>Night</v>
      </c>
      <c r="D147" s="46">
        <f>IFERROR( VLOOKUP(B147, Current_Stats!A:Z, 5, FALSE), 1)</f>
        <v>5.7</v>
      </c>
      <c r="E147" s="46">
        <f>IFERROR( VLOOKUP(B147, Previous_Stats!A:Z, 5, FALSE), 1)</f>
        <v>6</v>
      </c>
      <c r="F147" s="67" t="str">
        <f t="shared" si="7"/>
        <v>2</v>
      </c>
      <c r="G147" s="67" t="str">
        <f t="shared" si="6"/>
        <v>3</v>
      </c>
    </row>
    <row r="148">
      <c r="A148" s="77" t="str">
        <f>IFERROR(__xludf.DUMMYFUNCTION("""COMPUTED_VALUE"""),"Kenol, Sheilla")</f>
        <v>Kenol, Sheilla</v>
      </c>
      <c r="B148" s="45" t="str">
        <f>IFERROR(__xludf.DUMMYFUNCTION("""COMPUTED_VALUE"""),"Kenol, Sheila")</f>
        <v>Kenol, Sheila</v>
      </c>
      <c r="C148" s="48" t="str">
        <f>VLOOKUP(A148, Refined_Data!A:BZ, 5, FALSE)</f>
        <v>Night</v>
      </c>
      <c r="D148" s="46">
        <f>IFERROR( VLOOKUP(B148, Current_Stats!A:Z, 5, FALSE), 1)</f>
        <v>15.6</v>
      </c>
      <c r="E148" s="46">
        <f>IFERROR( VLOOKUP(B148, Previous_Stats!A:Z, 5, FALSE), 1)</f>
        <v>16.4</v>
      </c>
      <c r="F148" s="67" t="str">
        <f t="shared" si="7"/>
        <v>1</v>
      </c>
      <c r="G148" s="67" t="str">
        <f t="shared" si="6"/>
        <v>1</v>
      </c>
    </row>
    <row r="149">
      <c r="A149" s="77" t="str">
        <f>IFERROR(__xludf.DUMMYFUNCTION("""COMPUTED_VALUE"""),"Malhi, Sandeep")</f>
        <v>Malhi, Sandeep</v>
      </c>
      <c r="B149" s="48" t="str">
        <f>IFERROR(__xludf.DUMMYFUNCTION("""COMPUTED_VALUE"""),"Malhi, Sandeep")</f>
        <v>Malhi, Sandeep</v>
      </c>
      <c r="C149" s="48" t="str">
        <f>VLOOKUP(A149, Refined_Data!A:BZ, 5, FALSE)</f>
        <v>Night</v>
      </c>
      <c r="D149" s="46">
        <f>IFERROR( VLOOKUP(B149, Current_Stats!A:Z, 5, FALSE), 1)</f>
        <v>10.2</v>
      </c>
      <c r="E149" s="46">
        <f>IFERROR( VLOOKUP(B149, Previous_Stats!A:Z, 5, FALSE), 1)</f>
        <v>5.6</v>
      </c>
      <c r="F149" s="67" t="str">
        <f t="shared" si="7"/>
        <v>1</v>
      </c>
      <c r="G149" s="67" t="str">
        <f t="shared" si="6"/>
        <v>3</v>
      </c>
    </row>
    <row r="150">
      <c r="A150" s="77" t="str">
        <f>IFERROR(__xludf.DUMMYFUNCTION("""COMPUTED_VALUE"""),"Mazari, Hichem")</f>
        <v>Mazari, Hichem</v>
      </c>
      <c r="B150" s="45" t="str">
        <f>IFERROR(__xludf.DUMMYFUNCTION("""COMPUTED_VALUE"""),"Mazari, Hichem")</f>
        <v>Mazari, Hichem</v>
      </c>
      <c r="C150" s="48" t="str">
        <f>VLOOKUP(A150, Refined_Data!A:BZ, 5, FALSE)</f>
        <v>Night</v>
      </c>
      <c r="D150" s="46">
        <f>IFERROR( VLOOKUP(B150, Current_Stats!A:Z, 5, FALSE), 1)</f>
        <v>10.9</v>
      </c>
      <c r="E150" s="46">
        <f>IFERROR( VLOOKUP(B150, Previous_Stats!A:Z, 5, FALSE), 1)</f>
        <v>9.7</v>
      </c>
      <c r="F150" s="67" t="str">
        <f t="shared" si="7"/>
        <v>1</v>
      </c>
      <c r="G150" s="67" t="str">
        <f t="shared" si="6"/>
        <v>2</v>
      </c>
    </row>
    <row r="151">
      <c r="A151" s="77" t="str">
        <f>IFERROR(__xludf.DUMMYFUNCTION("""COMPUTED_VALUE"""),"Medrano Sibrian, Yahshua")</f>
        <v>Medrano Sibrian, Yahshua</v>
      </c>
      <c r="B151" s="45" t="str">
        <f>IFERROR(__xludf.DUMMYFUNCTION("""COMPUTED_VALUE"""),"Medrano Sibrian, Yahshua")</f>
        <v>Medrano Sibrian, Yahshua</v>
      </c>
      <c r="C151" s="48" t="str">
        <f>VLOOKUP(A151, Refined_Data!A:BZ, 5, FALSE)</f>
        <v>Night</v>
      </c>
      <c r="D151" s="46">
        <f>IFERROR( VLOOKUP(B151, Current_Stats!A:Z, 5, FALSE), 1)</f>
        <v>8.8</v>
      </c>
      <c r="E151" s="46">
        <f>IFERROR( VLOOKUP(B151, Previous_Stats!A:Z, 5, FALSE), 1)</f>
        <v>9.3</v>
      </c>
      <c r="F151" s="67" t="str">
        <f t="shared" si="7"/>
        <v>2</v>
      </c>
      <c r="G151" s="67" t="str">
        <f t="shared" si="6"/>
        <v>2</v>
      </c>
    </row>
    <row r="152">
      <c r="A152" s="77" t="str">
        <f>IFERROR(__xludf.DUMMYFUNCTION("""COMPUTED_VALUE"""),"Ouchchane, Myriam")</f>
        <v>Ouchchane, Myriam</v>
      </c>
      <c r="B152" s="45" t="str">
        <f>IFERROR(__xludf.DUMMYFUNCTION("""COMPUTED_VALUE"""),"Ouchchane, Myriam")</f>
        <v>Ouchchane, Myriam</v>
      </c>
      <c r="C152" s="48" t="str">
        <f>VLOOKUP(A152, Refined_Data!A:BZ, 5, FALSE)</f>
        <v>Night</v>
      </c>
      <c r="D152" s="46">
        <f>IFERROR( VLOOKUP(B152, Current_Stats!A:Z, 5, FALSE), 1)</f>
        <v>10.3</v>
      </c>
      <c r="E152" s="46">
        <f>IFERROR( VLOOKUP(B152, Previous_Stats!A:Z, 5, FALSE), 1)</f>
        <v>8.6</v>
      </c>
      <c r="F152" s="67" t="str">
        <f t="shared" si="7"/>
        <v>1</v>
      </c>
      <c r="G152" s="67" t="str">
        <f t="shared" si="6"/>
        <v>2</v>
      </c>
    </row>
    <row r="153">
      <c r="A153" s="77" t="str">
        <f>IFERROR(__xludf.DUMMYFUNCTION("""COMPUTED_VALUE"""),"Popovic, Jessica")</f>
        <v>Popovic, Jessica</v>
      </c>
      <c r="B153" s="45" t="str">
        <f>IFERROR(__xludf.DUMMYFUNCTION("""COMPUTED_VALUE"""),"Popovic, Jessica")</f>
        <v>Popovic, Jessica</v>
      </c>
      <c r="C153" s="48" t="str">
        <f>VLOOKUP(A153, Refined_Data!A:BZ, 5, FALSE)</f>
        <v>Night</v>
      </c>
      <c r="D153" s="46">
        <f>IFERROR( VLOOKUP(B153, Current_Stats!A:Z, 5, FALSE), 1)</f>
        <v>5.7</v>
      </c>
      <c r="E153" s="46">
        <f>IFERROR( VLOOKUP(B153, Previous_Stats!A:Z, 5, FALSE), 1)</f>
        <v>5.3</v>
      </c>
      <c r="F153" s="67" t="str">
        <f t="shared" si="7"/>
        <v>2</v>
      </c>
      <c r="G153" s="67" t="str">
        <f t="shared" si="6"/>
        <v>3</v>
      </c>
    </row>
    <row r="154">
      <c r="A154" s="77" t="str">
        <f>IFERROR(__xludf.DUMMYFUNCTION("""COMPUTED_VALUE"""),"Ratz, Emily")</f>
        <v>Ratz, Emily</v>
      </c>
      <c r="B154" s="45" t="str">
        <f>IFERROR(__xludf.DUMMYFUNCTION("""COMPUTED_VALUE"""),"Ratz, Emily")</f>
        <v>Ratz, Emily</v>
      </c>
      <c r="C154" s="48" t="str">
        <f>VLOOKUP(A154, Refined_Data!A:BZ, 5, FALSE)</f>
        <v>Night</v>
      </c>
      <c r="D154" s="46">
        <f>IFERROR( VLOOKUP(B154, Current_Stats!A:Z, 5, FALSE), 1)</f>
        <v>7.1</v>
      </c>
      <c r="E154" s="46">
        <f>IFERROR( VLOOKUP(B154, Previous_Stats!A:Z, 5, FALSE), 1)</f>
        <v>7.6</v>
      </c>
      <c r="F154" s="67" t="str">
        <f t="shared" si="7"/>
        <v>2</v>
      </c>
      <c r="G154" s="67" t="str">
        <f t="shared" si="6"/>
        <v>2</v>
      </c>
    </row>
    <row r="155">
      <c r="A155" s="77" t="str">
        <f>IFERROR(__xludf.DUMMYFUNCTION("""COMPUTED_VALUE"""),"Rennie, Vida")</f>
        <v>Rennie, Vida</v>
      </c>
      <c r="B155" s="45" t="str">
        <f>IFERROR(__xludf.DUMMYFUNCTION("""COMPUTED_VALUE"""),"Rennie, Vida")</f>
        <v>Rennie, Vida</v>
      </c>
      <c r="C155" s="48" t="str">
        <f>VLOOKUP(A155, Refined_Data!A:BZ, 5, FALSE)</f>
        <v>Night</v>
      </c>
      <c r="D155" s="46">
        <f>IFERROR( VLOOKUP(B155, Current_Stats!A:Z, 5, FALSE), 1)</f>
        <v>6.4</v>
      </c>
      <c r="E155" s="46">
        <f>IFERROR( VLOOKUP(B155, Previous_Stats!A:Z, 5, FALSE), 1)</f>
        <v>6.6</v>
      </c>
      <c r="F155" s="67" t="str">
        <f t="shared" si="7"/>
        <v>2</v>
      </c>
      <c r="G155" s="67" t="str">
        <f t="shared" si="6"/>
        <v>2</v>
      </c>
    </row>
    <row r="156">
      <c r="A156" s="77" t="str">
        <f>IFERROR(__xludf.DUMMYFUNCTION("""COMPUTED_VALUE"""),"Sekhon, Gurman")</f>
        <v>Sekhon, Gurman</v>
      </c>
      <c r="B156" s="48" t="str">
        <f>IFERROR(__xludf.DUMMYFUNCTION("""COMPUTED_VALUE"""),"Sekhon, Gurmanjit")</f>
        <v>Sekhon, Gurmanjit</v>
      </c>
      <c r="C156" s="48" t="str">
        <f>VLOOKUP(A156, Refined_Data!A:BZ, 5, FALSE)</f>
        <v>Night</v>
      </c>
      <c r="D156" s="46">
        <f>IFERROR( VLOOKUP(B156, Current_Stats!A:Z, 5, FALSE), 1)</f>
        <v>11.3</v>
      </c>
      <c r="E156" s="46">
        <f>IFERROR( VLOOKUP(B156, Previous_Stats!A:Z, 5, FALSE), 1)</f>
        <v>12.2</v>
      </c>
      <c r="F156" s="67" t="str">
        <f t="shared" si="7"/>
        <v>1</v>
      </c>
      <c r="G156" s="67" t="str">
        <f t="shared" si="6"/>
        <v>2</v>
      </c>
    </row>
    <row r="157">
      <c r="A157" s="77" t="str">
        <f>IFERROR(__xludf.DUMMYFUNCTION("""COMPUTED_VALUE"""),"Thurston, Sean")</f>
        <v>Thurston, Sean</v>
      </c>
      <c r="B157" s="48" t="str">
        <f>IFERROR(__xludf.DUMMYFUNCTION("""COMPUTED_VALUE"""),"Thurston, Sean")</f>
        <v>Thurston, Sean</v>
      </c>
      <c r="C157" s="48" t="str">
        <f>VLOOKUP(A157, Refined_Data!A:BZ, 5, FALSE)</f>
        <v>Night</v>
      </c>
      <c r="D157" s="46">
        <f>IFERROR( VLOOKUP(B157, Current_Stats!A:Z, 5, FALSE), 1)</f>
        <v>10.1</v>
      </c>
      <c r="E157" s="46">
        <f>IFERROR( VLOOKUP(B157, Previous_Stats!A:Z, 5, FALSE), 1)</f>
        <v>1</v>
      </c>
      <c r="F157" s="67" t="str">
        <f t="shared" si="7"/>
        <v>1</v>
      </c>
      <c r="G157" s="67" t="str">
        <f t="shared" si="6"/>
        <v>0</v>
      </c>
    </row>
    <row r="158">
      <c r="A158" s="77" t="str">
        <f>IFERROR(__xludf.DUMMYFUNCTION("""COMPUTED_VALUE"""),"Tounsi, Taha")</f>
        <v>Tounsi, Taha</v>
      </c>
      <c r="B158" s="48" t="str">
        <f>IFERROR(__xludf.DUMMYFUNCTION("""COMPUTED_VALUE"""),"Tounsi, Taha")</f>
        <v>Tounsi, Taha</v>
      </c>
      <c r="C158" s="48" t="str">
        <f>VLOOKUP(A158, Refined_Data!A:BZ, 5, FALSE)</f>
        <v>Night</v>
      </c>
      <c r="D158" s="46">
        <f>IFERROR( VLOOKUP(B158, Current_Stats!A:Z, 5, FALSE), 1)</f>
        <v>13.2</v>
      </c>
      <c r="E158" s="46">
        <f>IFERROR( VLOOKUP(B158, Previous_Stats!A:Z, 5, FALSE), 1)</f>
        <v>12.5</v>
      </c>
      <c r="F158" s="67" t="str">
        <f t="shared" si="7"/>
        <v>1</v>
      </c>
      <c r="G158" s="67" t="str">
        <f t="shared" si="6"/>
        <v>2</v>
      </c>
    </row>
    <row r="159">
      <c r="A159" s="77" t="str">
        <f>IFERROR(__xludf.DUMMYFUNCTION("""COMPUTED_VALUE"""),"Wong, Lawrence")</f>
        <v>Wong, Lawrence</v>
      </c>
      <c r="B159" s="45" t="str">
        <f>IFERROR(__xludf.DUMMYFUNCTION("""COMPUTED_VALUE"""),"Wong, Lawrence")</f>
        <v>Wong, Lawrence</v>
      </c>
      <c r="C159" s="48" t="str">
        <f>VLOOKUP(A159, Refined_Data!A:BZ, 5, FALSE)</f>
        <v>Night</v>
      </c>
      <c r="D159" s="46">
        <f>IFERROR( VLOOKUP(B159, Current_Stats!A:Z, 5, FALSE), 1)</f>
        <v>6.5</v>
      </c>
      <c r="E159" s="46">
        <f>IFERROR( VLOOKUP(B159, Previous_Stats!A:Z, 5, FALSE), 1)</f>
        <v>6</v>
      </c>
      <c r="F159" s="67" t="str">
        <f t="shared" si="7"/>
        <v>2</v>
      </c>
      <c r="G159" s="67" t="str">
        <f t="shared" si="6"/>
        <v>3</v>
      </c>
    </row>
    <row r="160">
      <c r="A160" s="78"/>
      <c r="C160" s="48" t="str">
        <f>VLOOKUP(A160, Refined_Data!A:BZ, 5, FALSE)</f>
        <v>#N/A</v>
      </c>
      <c r="D160" s="46">
        <f>IFERROR( VLOOKUP(B160, Current_Stats!A:Z, 5, FALSE), 1)</f>
        <v>1</v>
      </c>
      <c r="E160" s="46">
        <f>IFERROR( VLOOKUP(B160, Previous_Stats!A:Z, 5, FALSE), 1)</f>
        <v>1</v>
      </c>
      <c r="F160" s="67" t="str">
        <f t="shared" si="7"/>
        <v>0</v>
      </c>
      <c r="G160" s="67" t="str">
        <f t="shared" si="6"/>
        <v>0</v>
      </c>
    </row>
    <row r="161">
      <c r="A161" s="78"/>
      <c r="C161" s="48" t="str">
        <f>VLOOKUP(A161, Refined_Data!A:BZ, 5, FALSE)</f>
        <v>#N/A</v>
      </c>
      <c r="D161" s="46">
        <f>IFERROR( VLOOKUP(B161, Current_Stats!A:Z, 5, FALSE), 1)</f>
        <v>1</v>
      </c>
      <c r="E161" s="46">
        <f>IFERROR( VLOOKUP(B161, Previous_Stats!A:Z, 5, FALSE), 1)</f>
        <v>1</v>
      </c>
      <c r="F161" s="67" t="str">
        <f t="shared" si="7"/>
        <v>0</v>
      </c>
      <c r="G161" s="67" t="str">
        <f t="shared" si="6"/>
        <v>0</v>
      </c>
    </row>
    <row r="162">
      <c r="A162" s="78"/>
      <c r="C162" s="48" t="str">
        <f>VLOOKUP(A162, Refined_Data!A:BZ, 5, FALSE)</f>
        <v>#N/A</v>
      </c>
      <c r="D162" s="46">
        <f>IFERROR( VLOOKUP(B162, Current_Stats!A:Z, 5, FALSE), 1)</f>
        <v>1</v>
      </c>
      <c r="E162" s="46">
        <f>IFERROR( VLOOKUP(B162, Previous_Stats!A:Z, 5, FALSE), 1)</f>
        <v>1</v>
      </c>
      <c r="F162" s="67" t="str">
        <f t="shared" si="7"/>
        <v>0</v>
      </c>
      <c r="G162" s="67" t="str">
        <f t="shared" si="6"/>
        <v>0</v>
      </c>
    </row>
    <row r="163">
      <c r="A163" s="78"/>
      <c r="C163" s="48" t="str">
        <f>VLOOKUP(A163, Refined_Data!A:BZ, 5, FALSE)</f>
        <v>#N/A</v>
      </c>
      <c r="D163" s="46">
        <f>IFERROR( VLOOKUP(B163, Current_Stats!A:Z, 5, FALSE), 1)</f>
        <v>1</v>
      </c>
      <c r="E163" s="46">
        <f>IFERROR( VLOOKUP(B163, Previous_Stats!A:Z, 5, FALSE), 1)</f>
        <v>1</v>
      </c>
      <c r="F163" s="67" t="str">
        <f t="shared" si="7"/>
        <v>0</v>
      </c>
      <c r="G163" s="67" t="str">
        <f t="shared" si="6"/>
        <v>0</v>
      </c>
    </row>
    <row r="164">
      <c r="A164" s="78"/>
      <c r="D164" s="46">
        <f>IFERROR( VLOOKUP(B164, Current_Stats!A:Z, 5, FALSE), 1)</f>
        <v>1</v>
      </c>
      <c r="E164" s="46">
        <f>IFERROR( VLOOKUP(B164, Previous_Stats!A:Z, 5, FALSE), 1)</f>
        <v>1</v>
      </c>
      <c r="F164" s="67" t="str">
        <f t="shared" si="7"/>
        <v>0</v>
      </c>
      <c r="G164" s="67" t="str">
        <f t="shared" si="6"/>
        <v>0</v>
      </c>
    </row>
    <row r="165">
      <c r="A165" s="78"/>
      <c r="C165" s="48" t="str">
        <f>VLOOKUP(A165, Refined_Data!A:BZ, 5, FALSE)</f>
        <v>#N/A</v>
      </c>
      <c r="D165" s="46">
        <f>IFERROR( VLOOKUP(B165, Current_Stats!A:Z, 5, FALSE), 1)</f>
        <v>1</v>
      </c>
      <c r="E165" s="46">
        <f>IFERROR( VLOOKUP(B165, Previous_Stats!A:Z, 5, FALSE), 1)</f>
        <v>1</v>
      </c>
      <c r="F165" s="67" t="str">
        <f t="shared" si="7"/>
        <v>0</v>
      </c>
      <c r="G165" s="67" t="str">
        <f t="shared" si="6"/>
        <v>0</v>
      </c>
    </row>
    <row r="166">
      <c r="A166" s="78"/>
      <c r="C166" s="48" t="str">
        <f>VLOOKUP(A166, Refined_Data!A:BZ, 5, FALSE)</f>
        <v>#N/A</v>
      </c>
      <c r="D166" s="46">
        <f>IFERROR( VLOOKUP(B166, Current_Stats!A:Z, 5, FALSE), 1)</f>
        <v>1</v>
      </c>
      <c r="E166" s="46">
        <f>IFERROR( VLOOKUP(B166, Previous_Stats!A:Z, 5, FALSE), 1)</f>
        <v>1</v>
      </c>
      <c r="F166" s="67" t="str">
        <f t="shared" si="7"/>
        <v>0</v>
      </c>
      <c r="G166" s="67" t="str">
        <f t="shared" si="6"/>
        <v>0</v>
      </c>
    </row>
    <row r="167">
      <c r="A167" s="78"/>
      <c r="C167" s="48" t="str">
        <f>VLOOKUP(A167, Refined_Data!A:BZ, 5, FALSE)</f>
        <v>#N/A</v>
      </c>
      <c r="D167" s="46">
        <f>IFERROR( VLOOKUP(B167, Current_Stats!A:Z, 5, FALSE), 1)</f>
        <v>1</v>
      </c>
      <c r="E167" s="46">
        <f>IFERROR( VLOOKUP(B167, Previous_Stats!A:Z, 5, FALSE), 1)</f>
        <v>1</v>
      </c>
      <c r="F167" s="67" t="str">
        <f t="shared" si="7"/>
        <v>0</v>
      </c>
      <c r="G167" s="67" t="str">
        <f t="shared" si="6"/>
        <v>0</v>
      </c>
    </row>
    <row r="168">
      <c r="A168" s="78"/>
      <c r="C168" s="48" t="str">
        <f>VLOOKUP(A168, Refined_Data!A:BZ, 5, FALSE)</f>
        <v>#N/A</v>
      </c>
      <c r="D168" s="46">
        <f>IFERROR( VLOOKUP(B168, Current_Stats!A:Z, 5, FALSE), 1)</f>
        <v>1</v>
      </c>
      <c r="E168" s="46">
        <f>IFERROR( VLOOKUP(B168, Previous_Stats!A:Z, 5, FALSE), 1)</f>
        <v>1</v>
      </c>
      <c r="F168" s="67" t="str">
        <f t="shared" si="7"/>
        <v>0</v>
      </c>
      <c r="G168" s="67" t="str">
        <f t="shared" si="6"/>
        <v>0</v>
      </c>
    </row>
    <row r="169">
      <c r="A169" s="78"/>
      <c r="C169" s="48" t="str">
        <f>VLOOKUP(A169, Refined_Data!A:BZ, 5, FALSE)</f>
        <v>#N/A</v>
      </c>
      <c r="D169" s="46">
        <f>IFERROR( VLOOKUP(B169, Current_Stats!A:Z, 5, FALSE), 1)</f>
        <v>1</v>
      </c>
      <c r="E169" s="46">
        <f>IFERROR( VLOOKUP(B169, Previous_Stats!A:Z, 5, FALSE), 1)</f>
        <v>1</v>
      </c>
      <c r="F169" s="67" t="str">
        <f t="shared" si="7"/>
        <v>0</v>
      </c>
      <c r="G169" s="67" t="str">
        <f t="shared" si="6"/>
        <v>0</v>
      </c>
    </row>
    <row r="170">
      <c r="A170" s="78"/>
      <c r="C170" s="48" t="str">
        <f>VLOOKUP(A170, Refined_Data!A:BZ, 5, FALSE)</f>
        <v>#N/A</v>
      </c>
      <c r="D170" s="46">
        <f>IFERROR( VLOOKUP(B170, Current_Stats!A:Z, 5, FALSE), 1)</f>
        <v>1</v>
      </c>
      <c r="E170" s="46">
        <f>IFERROR( VLOOKUP(B170, Previous_Stats!A:Z, 5, FALSE), 1)</f>
        <v>1</v>
      </c>
      <c r="F170" s="67" t="str">
        <f t="shared" si="7"/>
        <v>0</v>
      </c>
      <c r="G170" s="67" t="str">
        <f t="shared" si="6"/>
        <v>0</v>
      </c>
    </row>
    <row r="171">
      <c r="A171" s="78"/>
      <c r="C171" s="48" t="str">
        <f>VLOOKUP(A171, Refined_Data!A:BZ, 5, FALSE)</f>
        <v>#N/A</v>
      </c>
      <c r="D171" s="46">
        <f>IFERROR( VLOOKUP(B171, Current_Stats!A:Z, 5, FALSE), 1)</f>
        <v>1</v>
      </c>
      <c r="E171" s="46">
        <f>IFERROR( VLOOKUP(B171, Previous_Stats!A:Z, 5, FALSE), 1)</f>
        <v>1</v>
      </c>
      <c r="F171" s="67" t="str">
        <f t="shared" si="7"/>
        <v>0</v>
      </c>
      <c r="G171" s="67" t="str">
        <f t="shared" si="6"/>
        <v>0</v>
      </c>
    </row>
    <row r="172">
      <c r="A172" s="78"/>
      <c r="C172" s="48" t="str">
        <f>VLOOKUP(A172, Refined_Data!A:BZ, 5, FALSE)</f>
        <v>#N/A</v>
      </c>
      <c r="D172" s="46">
        <f>IFERROR( VLOOKUP(B172, Current_Stats!A:Z, 5, FALSE), 1)</f>
        <v>1</v>
      </c>
      <c r="E172" s="46">
        <f>IFERROR( VLOOKUP(B172, Previous_Stats!A:Z, 5, FALSE), 1)</f>
        <v>1</v>
      </c>
      <c r="F172" s="67" t="str">
        <f t="shared" si="7"/>
        <v>0</v>
      </c>
      <c r="G172" s="67" t="str">
        <f t="shared" si="6"/>
        <v>0</v>
      </c>
    </row>
    <row r="173">
      <c r="A173" s="78"/>
      <c r="C173" s="48" t="str">
        <f>VLOOKUP(A173, Refined_Data!A:BZ, 5, FALSE)</f>
        <v>#N/A</v>
      </c>
      <c r="D173" s="46">
        <f>IFERROR( VLOOKUP(B173, Current_Stats!A:Z, 5, FALSE), 1)</f>
        <v>1</v>
      </c>
      <c r="E173" s="46">
        <f>IFERROR( VLOOKUP(B173, Previous_Stats!A:Z, 5, FALSE), 1)</f>
        <v>1</v>
      </c>
      <c r="F173" s="67" t="str">
        <f t="shared" si="7"/>
        <v>0</v>
      </c>
      <c r="G173" s="67" t="str">
        <f t="shared" si="6"/>
        <v>0</v>
      </c>
    </row>
    <row r="174">
      <c r="A174" s="78"/>
      <c r="C174" s="48" t="str">
        <f>VLOOKUP(A174, Refined_Data!A:BZ, 5, FALSE)</f>
        <v>#N/A</v>
      </c>
      <c r="D174" s="46">
        <f>IFERROR( VLOOKUP(B174, Current_Stats!A:Z, 5, FALSE), 1)</f>
        <v>1</v>
      </c>
      <c r="E174" s="46">
        <f>IFERROR( VLOOKUP(B174, Previous_Stats!A:Z, 5, FALSE), 1)</f>
        <v>1</v>
      </c>
      <c r="F174" s="67" t="str">
        <f t="shared" si="7"/>
        <v>0</v>
      </c>
      <c r="G174" s="67" t="str">
        <f t="shared" si="6"/>
        <v>0</v>
      </c>
    </row>
    <row r="175">
      <c r="A175" s="78"/>
      <c r="C175" s="48" t="str">
        <f>VLOOKUP(A175, Refined_Data!A:BZ, 5, FALSE)</f>
        <v>#N/A</v>
      </c>
      <c r="D175" s="46">
        <f>IFERROR( VLOOKUP(B175, Current_Stats!A:Z, 5, FALSE), 1)</f>
        <v>1</v>
      </c>
      <c r="E175" s="46">
        <f>IFERROR( VLOOKUP(B175, Previous_Stats!A:Z, 5, FALSE), 1)</f>
        <v>1</v>
      </c>
      <c r="F175" s="67" t="str">
        <f t="shared" si="7"/>
        <v>0</v>
      </c>
      <c r="G175" s="67" t="str">
        <f t="shared" si="6"/>
        <v>0</v>
      </c>
    </row>
    <row r="176">
      <c r="A176" s="78"/>
      <c r="C176" s="48" t="str">
        <f>VLOOKUP(A176, Refined_Data!A:BZ, 5, FALSE)</f>
        <v>#N/A</v>
      </c>
      <c r="D176" s="46">
        <f>IFERROR( VLOOKUP(B176, Current_Stats!A:Z, 5, FALSE), 1)</f>
        <v>1</v>
      </c>
      <c r="E176" s="46">
        <f>IFERROR( VLOOKUP(B176, Previous_Stats!A:Z, 5, FALSE), 1)</f>
        <v>1</v>
      </c>
      <c r="F176" s="67" t="str">
        <f t="shared" si="7"/>
        <v>0</v>
      </c>
      <c r="G176" s="67" t="str">
        <f t="shared" si="6"/>
        <v>0</v>
      </c>
    </row>
    <row r="177">
      <c r="A177" s="78"/>
      <c r="C177" s="48" t="str">
        <f>VLOOKUP(A177, Refined_Data!A:BZ, 5, FALSE)</f>
        <v>#N/A</v>
      </c>
      <c r="D177" s="46">
        <f>IFERROR( VLOOKUP(B177, Current_Stats!A:Z, 5, FALSE), 1)</f>
        <v>1</v>
      </c>
      <c r="E177" s="46">
        <f>IFERROR( VLOOKUP(B177, Previous_Stats!A:Z, 5, FALSE), 1)</f>
        <v>1</v>
      </c>
      <c r="F177" s="67" t="str">
        <f t="shared" si="7"/>
        <v>0</v>
      </c>
      <c r="G177" s="67" t="str">
        <f t="shared" si="6"/>
        <v>0</v>
      </c>
    </row>
    <row r="178">
      <c r="A178" s="78"/>
      <c r="C178" s="48" t="str">
        <f>VLOOKUP(A178, Refined_Data!A:BZ, 5, FALSE)</f>
        <v>#N/A</v>
      </c>
      <c r="D178" s="46">
        <f>IFERROR( VLOOKUP(B178, Current_Stats!A:Z, 5, FALSE), 1)</f>
        <v>1</v>
      </c>
      <c r="E178" s="46">
        <f>IFERROR( VLOOKUP(B178, Previous_Stats!A:Z, 5, FALSE), 1)</f>
        <v>1</v>
      </c>
      <c r="F178" s="67" t="str">
        <f t="shared" si="7"/>
        <v>0</v>
      </c>
      <c r="G178" s="67" t="str">
        <f t="shared" si="6"/>
        <v>0</v>
      </c>
    </row>
    <row r="179">
      <c r="A179" s="78"/>
      <c r="C179" s="48" t="str">
        <f>VLOOKUP(A179, Refined_Data!A:BZ, 5, FALSE)</f>
        <v>#N/A</v>
      </c>
      <c r="D179" s="46">
        <f>IFERROR( VLOOKUP(B179, Current_Stats!A:Z, 5, FALSE), 1)</f>
        <v>1</v>
      </c>
      <c r="E179" s="46">
        <f>IFERROR( VLOOKUP(B179, Previous_Stats!A:Z, 5, FALSE), 1)</f>
        <v>1</v>
      </c>
      <c r="F179" s="67" t="str">
        <f t="shared" si="7"/>
        <v>0</v>
      </c>
      <c r="G179" s="67" t="str">
        <f t="shared" si="6"/>
        <v>0</v>
      </c>
    </row>
    <row r="180">
      <c r="A180" s="78"/>
      <c r="C180" s="48" t="str">
        <f>VLOOKUP(A180, Refined_Data!A:BZ, 5, FALSE)</f>
        <v>#N/A</v>
      </c>
      <c r="D180" s="46">
        <f>IFERROR( VLOOKUP(B180, Current_Stats!A:Z, 5, FALSE), 1)</f>
        <v>1</v>
      </c>
      <c r="E180" s="46">
        <f>IFERROR( VLOOKUP(B180, Previous_Stats!A:Z, 5, FALSE), 1)</f>
        <v>1</v>
      </c>
      <c r="F180" s="67" t="str">
        <f t="shared" si="7"/>
        <v>0</v>
      </c>
      <c r="G180" s="67" t="str">
        <f t="shared" si="6"/>
        <v>0</v>
      </c>
    </row>
    <row r="181">
      <c r="A181" s="78"/>
      <c r="C181" s="48" t="str">
        <f>VLOOKUP(A181, Refined_Data!A:BZ, 5, FALSE)</f>
        <v>#N/A</v>
      </c>
      <c r="D181" s="46">
        <f>IFERROR( VLOOKUP(B181, Current_Stats!A:Z, 5, FALSE), 1)</f>
        <v>1</v>
      </c>
      <c r="E181" s="46">
        <f>IFERROR( VLOOKUP(B181, Previous_Stats!A:Z, 5, FALSE), 1)</f>
        <v>1</v>
      </c>
      <c r="F181" s="67" t="str">
        <f t="shared" si="7"/>
        <v>0</v>
      </c>
      <c r="G181" s="67" t="str">
        <f t="shared" si="6"/>
        <v>0</v>
      </c>
    </row>
    <row r="182">
      <c r="A182" s="78"/>
      <c r="C182" s="48" t="str">
        <f>VLOOKUP(A182, Refined_Data!A:BZ, 5, FALSE)</f>
        <v>#N/A</v>
      </c>
      <c r="D182" s="46">
        <f>IFERROR( VLOOKUP(B182, Current_Stats!A:Z, 5, FALSE), 1)</f>
        <v>1</v>
      </c>
      <c r="E182" s="46">
        <f>IFERROR( VLOOKUP(B182, Previous_Stats!A:Z, 5, FALSE), 1)</f>
        <v>1</v>
      </c>
      <c r="F182" s="67" t="str">
        <f t="shared" si="7"/>
        <v>0</v>
      </c>
      <c r="G182" s="67" t="str">
        <f t="shared" si="6"/>
        <v>0</v>
      </c>
    </row>
    <row r="183">
      <c r="A183" s="78"/>
      <c r="C183" s="48" t="str">
        <f>VLOOKUP(A183, Refined_Data!A:BZ, 5, FALSE)</f>
        <v>#N/A</v>
      </c>
      <c r="D183" s="46">
        <f>IFERROR( VLOOKUP(B183, Current_Stats!A:Z, 5, FALSE), 1)</f>
        <v>1</v>
      </c>
      <c r="E183" s="46">
        <f>IFERROR( VLOOKUP(B183, Previous_Stats!A:Z, 5, FALSE), 1)</f>
        <v>1</v>
      </c>
      <c r="F183" s="67" t="str">
        <f t="shared" si="7"/>
        <v>0</v>
      </c>
      <c r="G183" s="67" t="str">
        <f t="shared" si="6"/>
        <v>0</v>
      </c>
    </row>
    <row r="184">
      <c r="A184" s="78"/>
      <c r="C184" s="48" t="str">
        <f>VLOOKUP(A184, Refined_Data!A:BZ, 5, FALSE)</f>
        <v>#N/A</v>
      </c>
      <c r="D184" s="46">
        <f>IFERROR( VLOOKUP(B184, Current_Stats!A:Z, 5, FALSE), 1)</f>
        <v>1</v>
      </c>
      <c r="E184" s="46">
        <f>IFERROR( VLOOKUP(B184, Previous_Stats!A:Z, 5, FALSE), 1)</f>
        <v>1</v>
      </c>
      <c r="F184" s="67" t="str">
        <f t="shared" si="7"/>
        <v>0</v>
      </c>
      <c r="G184" s="67" t="str">
        <f t="shared" si="6"/>
        <v>0</v>
      </c>
    </row>
    <row r="185">
      <c r="A185" s="78"/>
      <c r="C185" s="48" t="str">
        <f>VLOOKUP(A185, Refined_Data!A:BZ, 5, FALSE)</f>
        <v>#N/A</v>
      </c>
      <c r="D185" s="46">
        <f>IFERROR( VLOOKUP(B185, Current_Stats!A:Z, 5, FALSE), 1)</f>
        <v>1</v>
      </c>
      <c r="E185" s="46">
        <f>IFERROR( VLOOKUP(B185, Previous_Stats!A:Z, 5, FALSE), 1)</f>
        <v>1</v>
      </c>
      <c r="F185" s="67" t="str">
        <f t="shared" si="7"/>
        <v>0</v>
      </c>
      <c r="G185" s="67" t="str">
        <f t="shared" si="6"/>
        <v>0</v>
      </c>
    </row>
    <row r="186">
      <c r="A186" s="78"/>
      <c r="C186" s="48" t="str">
        <f>VLOOKUP(A186, Refined_Data!A:BZ, 5, FALSE)</f>
        <v>#N/A</v>
      </c>
      <c r="D186" s="46">
        <f>IFERROR( VLOOKUP(B186, Current_Stats!A:Z, 5, FALSE), 1)</f>
        <v>1</v>
      </c>
      <c r="E186" s="46">
        <f>IFERROR( VLOOKUP(B186, Previous_Stats!A:Z, 5, FALSE), 1)</f>
        <v>1</v>
      </c>
      <c r="F186" s="67" t="str">
        <f t="shared" si="7"/>
        <v>0</v>
      </c>
      <c r="G186" s="67" t="str">
        <f t="shared" si="6"/>
        <v>0</v>
      </c>
    </row>
    <row r="187">
      <c r="A187" s="79"/>
      <c r="C187" s="48" t="str">
        <f>VLOOKUP(A187, Refined_Data!A:BZ, 5, FALSE)</f>
        <v>#N/A</v>
      </c>
      <c r="D187" s="46">
        <f>IFERROR( VLOOKUP(B187, Current_Stats!A:Z, 5, FALSE), 1)</f>
        <v>1</v>
      </c>
      <c r="E187" s="46">
        <f>IFERROR( VLOOKUP(B187, Previous_Stats!A:Z, 5, FALSE), 1)</f>
        <v>1</v>
      </c>
      <c r="F187" s="67" t="str">
        <f t="shared" si="7"/>
        <v>0</v>
      </c>
      <c r="G187" s="67" t="str">
        <f t="shared" si="6"/>
        <v>0</v>
      </c>
    </row>
    <row r="188">
      <c r="A188" s="45" t="str">
        <f>IFERROR(__xludf.DUMMYFUNCTION("FILTER(Refined_Data!A2:A129, Refined_Data!E2:E129=""Variable"")"),"Mamputu, Patrick")</f>
        <v>Mamputu, Patrick</v>
      </c>
      <c r="B188" s="48" t="str">
        <f>IFERROR(__xludf.DUMMYFUNCTION("FILTER(RAW_Data!B2:B1000, RAW_Data!E2:E1000=""Active"", RAW_Data!BJ2:BJ1000=""Variable (if not all the same)"")"),"Mamputu, Patrick")</f>
        <v>Mamputu, Patrick</v>
      </c>
      <c r="C188" s="48" t="str">
        <f>VLOOKUP(A188, Refined_Data!A:BZ, 5, FALSE)</f>
        <v>Variable</v>
      </c>
      <c r="D188" s="46">
        <f>IFERROR( VLOOKUP(B188, Current_Stats!A:Z, 5, FALSE), 1)</f>
        <v>11.2</v>
      </c>
      <c r="E188" s="46">
        <f>IFERROR( VLOOKUP(B188, Previous_Stats!A:Z, 5, FALSE), 1)</f>
        <v>12.4</v>
      </c>
      <c r="F188" s="67" t="str">
        <f t="shared" ref="F188:F213" si="8">IFS(
  IFERROR(D188 = 1, FALSE), "0",
  IFERROR(D188 &gt;= $I$3, FALSE), "1",
  IFERROR(D188 &gt; $I$7, FALSE), "2",
  IFERROR(D188 &lt;= $I$7, FALSE), "3",
  TRUE, 2
)</f>
        <v>2</v>
      </c>
      <c r="G188" s="67" t="str">
        <f t="shared" si="6"/>
        <v>2</v>
      </c>
    </row>
    <row r="189">
      <c r="C189" s="48" t="str">
        <f>VLOOKUP(A189, Refined_Data!A:BZ, 5, FALSE)</f>
        <v>#N/A</v>
      </c>
      <c r="D189" s="46">
        <f>IFERROR( VLOOKUP(B189, Current_Stats!A:Z, 5, FALSE), 1)</f>
        <v>1</v>
      </c>
      <c r="E189" s="46">
        <f>IFERROR( VLOOKUP(B189, Previous_Stats!A:Z, 5, FALSE), 1)</f>
        <v>1</v>
      </c>
      <c r="F189" s="67" t="str">
        <f t="shared" si="8"/>
        <v>0</v>
      </c>
      <c r="G189" s="67" t="str">
        <f t="shared" si="6"/>
        <v>0</v>
      </c>
    </row>
    <row r="190">
      <c r="D190" s="46">
        <f>IFERROR( VLOOKUP(B190, Current_Stats!A:Z, 5, FALSE), 1)</f>
        <v>1</v>
      </c>
      <c r="E190" s="46">
        <f>IFERROR( VLOOKUP(B190, Previous_Stats!A:Z, 5, FALSE), 1)</f>
        <v>1</v>
      </c>
      <c r="F190" s="67" t="str">
        <f t="shared" si="8"/>
        <v>0</v>
      </c>
      <c r="G190" s="67" t="str">
        <f t="shared" si="6"/>
        <v>0</v>
      </c>
    </row>
    <row r="191">
      <c r="D191" s="46">
        <f>IFERROR( VLOOKUP(B191, Current_Stats!A:Z, 5, FALSE), 1)</f>
        <v>1</v>
      </c>
      <c r="E191" s="46">
        <f>IFERROR( VLOOKUP(B191, Previous_Stats!A:Z, 5, FALSE), 1)</f>
        <v>1</v>
      </c>
      <c r="F191" s="67" t="str">
        <f t="shared" si="8"/>
        <v>0</v>
      </c>
      <c r="G191" s="67" t="str">
        <f t="shared" si="6"/>
        <v>0</v>
      </c>
    </row>
    <row r="192">
      <c r="D192" s="46">
        <f>IFERROR( VLOOKUP(B192, Current_Stats!A:Z, 5, FALSE), 1)</f>
        <v>1</v>
      </c>
      <c r="E192" s="46">
        <f>IFERROR( VLOOKUP(B192, Previous_Stats!A:Z, 5, FALSE), 1)</f>
        <v>1</v>
      </c>
      <c r="F192" s="67" t="str">
        <f t="shared" si="8"/>
        <v>0</v>
      </c>
      <c r="G192" s="67" t="str">
        <f t="shared" si="6"/>
        <v>0</v>
      </c>
    </row>
    <row r="193">
      <c r="D193" s="46">
        <f>IFERROR( VLOOKUP(B193, Current_Stats!A:Z, 5, FALSE), 1)</f>
        <v>1</v>
      </c>
      <c r="E193" s="46">
        <f>IFERROR( VLOOKUP(B193, Previous_Stats!A:Z, 5, FALSE), 1)</f>
        <v>1</v>
      </c>
      <c r="F193" s="67" t="str">
        <f t="shared" si="8"/>
        <v>0</v>
      </c>
      <c r="G193" s="67" t="str">
        <f t="shared" si="6"/>
        <v>0</v>
      </c>
    </row>
    <row r="194">
      <c r="D194" s="46">
        <f>IFERROR( VLOOKUP(B194, Current_Stats!A:Z, 5, FALSE), 1)</f>
        <v>1</v>
      </c>
      <c r="E194" s="46">
        <f>IFERROR( VLOOKUP(B194, Previous_Stats!A:Z, 5, FALSE), 1)</f>
        <v>1</v>
      </c>
      <c r="F194" s="67" t="str">
        <f t="shared" si="8"/>
        <v>0</v>
      </c>
      <c r="G194" s="67" t="str">
        <f t="shared" si="6"/>
        <v>0</v>
      </c>
    </row>
    <row r="195">
      <c r="D195" s="46">
        <f>IFERROR( VLOOKUP(B195, Current_Stats!A:Z, 5, FALSE), 1)</f>
        <v>1</v>
      </c>
      <c r="E195" s="46">
        <f>IFERROR( VLOOKUP(B195, Previous_Stats!A:Z, 5, FALSE), 1)</f>
        <v>1</v>
      </c>
      <c r="F195" s="67" t="str">
        <f t="shared" si="8"/>
        <v>0</v>
      </c>
      <c r="G195" s="67" t="str">
        <f t="shared" si="6"/>
        <v>0</v>
      </c>
    </row>
    <row r="196">
      <c r="D196" s="46">
        <f>IFERROR( VLOOKUP(B196, Current_Stats!A:Z, 5, FALSE), 1)</f>
        <v>1</v>
      </c>
      <c r="E196" s="46">
        <f>IFERROR( VLOOKUP(B196, Previous_Stats!A:Z, 5, FALSE), 1)</f>
        <v>1</v>
      </c>
      <c r="F196" s="67" t="str">
        <f t="shared" si="8"/>
        <v>0</v>
      </c>
      <c r="G196" s="67" t="str">
        <f t="shared" si="6"/>
        <v>0</v>
      </c>
    </row>
    <row r="197">
      <c r="D197" s="46">
        <f>IFERROR( VLOOKUP(B197, Current_Stats!A:Z, 5, FALSE), 1)</f>
        <v>1</v>
      </c>
      <c r="E197" s="46">
        <f>IFERROR( VLOOKUP(B197, Previous_Stats!A:Z, 5, FALSE), 1)</f>
        <v>1</v>
      </c>
      <c r="F197" s="67" t="str">
        <f t="shared" si="8"/>
        <v>0</v>
      </c>
      <c r="G197" s="67" t="str">
        <f t="shared" si="6"/>
        <v>0</v>
      </c>
    </row>
    <row r="198">
      <c r="D198" s="46">
        <f>IFERROR( VLOOKUP(B198, Current_Stats!A:Z, 5, FALSE), 1)</f>
        <v>1</v>
      </c>
      <c r="E198" s="46">
        <f>IFERROR( VLOOKUP(B198, Previous_Stats!A:Z, 5, FALSE), 1)</f>
        <v>1</v>
      </c>
      <c r="F198" s="67" t="str">
        <f t="shared" si="8"/>
        <v>0</v>
      </c>
      <c r="G198" s="67" t="str">
        <f t="shared" si="6"/>
        <v>0</v>
      </c>
    </row>
    <row r="199">
      <c r="D199" s="46">
        <f>IFERROR( VLOOKUP(B199, Current_Stats!A:Z, 5, FALSE), 1)</f>
        <v>1</v>
      </c>
      <c r="E199" s="46">
        <f>IFERROR( VLOOKUP(B199, Previous_Stats!A:Z, 5, FALSE), 1)</f>
        <v>1</v>
      </c>
      <c r="F199" s="67" t="str">
        <f t="shared" si="8"/>
        <v>0</v>
      </c>
      <c r="G199" s="67" t="str">
        <f t="shared" si="6"/>
        <v>0</v>
      </c>
    </row>
    <row r="200">
      <c r="D200" s="46">
        <f>IFERROR( VLOOKUP(B200, Current_Stats!A:Z, 5, FALSE), 1)</f>
        <v>1</v>
      </c>
      <c r="E200" s="46">
        <f>IFERROR( VLOOKUP(B200, Previous_Stats!A:Z, 5, FALSE), 1)</f>
        <v>1</v>
      </c>
      <c r="F200" s="67" t="str">
        <f t="shared" si="8"/>
        <v>0</v>
      </c>
      <c r="G200" s="67" t="str">
        <f t="shared" si="6"/>
        <v>0</v>
      </c>
    </row>
    <row r="201">
      <c r="D201" s="46">
        <f>IFERROR( VLOOKUP(B201, Current_Stats!A:Z, 5, FALSE), 1)</f>
        <v>1</v>
      </c>
      <c r="E201" s="46">
        <f>IFERROR( VLOOKUP(B201, Previous_Stats!A:Z, 5, FALSE), 1)</f>
        <v>1</v>
      </c>
      <c r="F201" s="67" t="str">
        <f t="shared" si="8"/>
        <v>0</v>
      </c>
      <c r="G201" s="67" t="str">
        <f t="shared" si="6"/>
        <v>0</v>
      </c>
    </row>
    <row r="202">
      <c r="D202" s="46">
        <f>IFERROR( VLOOKUP(B202, Current_Stats!A:Z, 5, FALSE), 1)</f>
        <v>1</v>
      </c>
      <c r="E202" s="46">
        <f>IFERROR( VLOOKUP(B202, Previous_Stats!A:Z, 5, FALSE), 1)</f>
        <v>1</v>
      </c>
      <c r="F202" s="67" t="str">
        <f t="shared" si="8"/>
        <v>0</v>
      </c>
      <c r="G202" s="67" t="str">
        <f t="shared" si="6"/>
        <v>0</v>
      </c>
    </row>
    <row r="203">
      <c r="D203" s="46">
        <f>IFERROR( VLOOKUP(B203, Current_Stats!A:Z, 5, FALSE), 1)</f>
        <v>1</v>
      </c>
      <c r="E203" s="46">
        <f>IFERROR( VLOOKUP(B203, Previous_Stats!A:Z, 5, FALSE), 1)</f>
        <v>1</v>
      </c>
      <c r="F203" s="67" t="str">
        <f t="shared" si="8"/>
        <v>0</v>
      </c>
      <c r="G203" s="67" t="str">
        <f t="shared" si="6"/>
        <v>0</v>
      </c>
    </row>
    <row r="204">
      <c r="D204" s="46">
        <f>IFERROR( VLOOKUP(B204, Current_Stats!A:Z, 5, FALSE), 1)</f>
        <v>1</v>
      </c>
      <c r="E204" s="46">
        <f>IFERROR( VLOOKUP(B204, Previous_Stats!A:Z, 5, FALSE), 1)</f>
        <v>1</v>
      </c>
      <c r="F204" s="67" t="str">
        <f t="shared" si="8"/>
        <v>0</v>
      </c>
      <c r="G204" s="67" t="str">
        <f t="shared" si="6"/>
        <v>0</v>
      </c>
    </row>
    <row r="205">
      <c r="D205" s="46">
        <f>IFERROR( VLOOKUP(B205, Current_Stats!A:Z, 5, FALSE), 1)</f>
        <v>1</v>
      </c>
      <c r="E205" s="46">
        <f>IFERROR( VLOOKUP(B205, Previous_Stats!A:Z, 5, FALSE), 1)</f>
        <v>1</v>
      </c>
      <c r="F205" s="67" t="str">
        <f t="shared" si="8"/>
        <v>0</v>
      </c>
      <c r="G205" s="67" t="str">
        <f t="shared" si="6"/>
        <v>0</v>
      </c>
    </row>
    <row r="206">
      <c r="D206" s="46">
        <f>IFERROR( VLOOKUP(B206, Current_Stats!A:Z, 5, FALSE), 1)</f>
        <v>1</v>
      </c>
      <c r="E206" s="46">
        <f>IFERROR( VLOOKUP(B206, Previous_Stats!A:Z, 5, FALSE), 1)</f>
        <v>1</v>
      </c>
      <c r="F206" s="67" t="str">
        <f t="shared" si="8"/>
        <v>0</v>
      </c>
      <c r="G206" s="67" t="str">
        <f t="shared" si="6"/>
        <v>0</v>
      </c>
    </row>
    <row r="207">
      <c r="D207" s="46">
        <f>IFERROR( VLOOKUP(B207, Current_Stats!A:Z, 5, FALSE), 1)</f>
        <v>1</v>
      </c>
      <c r="E207" s="46">
        <f>IFERROR( VLOOKUP(B207, Previous_Stats!A:Z, 5, FALSE), 1)</f>
        <v>1</v>
      </c>
      <c r="F207" s="67" t="str">
        <f t="shared" si="8"/>
        <v>0</v>
      </c>
      <c r="G207" s="67" t="str">
        <f t="shared" si="6"/>
        <v>0</v>
      </c>
    </row>
    <row r="208">
      <c r="D208" s="46">
        <f>IFERROR( VLOOKUP(B208, Current_Stats!A:Z, 5, FALSE), 1)</f>
        <v>1</v>
      </c>
      <c r="E208" s="46">
        <f>IFERROR( VLOOKUP(B208, Previous_Stats!A:Z, 5, FALSE), 1)</f>
        <v>1</v>
      </c>
      <c r="F208" s="67" t="str">
        <f t="shared" si="8"/>
        <v>0</v>
      </c>
      <c r="G208" s="67" t="str">
        <f t="shared" si="6"/>
        <v>0</v>
      </c>
    </row>
    <row r="209">
      <c r="D209" s="46">
        <f>IFERROR( VLOOKUP(B209, Current_Stats!A:Z, 5, FALSE), 1)</f>
        <v>1</v>
      </c>
      <c r="E209" s="46">
        <f>IFERROR( VLOOKUP(B209, Previous_Stats!A:Z, 5, FALSE), 1)</f>
        <v>1</v>
      </c>
      <c r="F209" s="67" t="str">
        <f t="shared" si="8"/>
        <v>0</v>
      </c>
      <c r="G209" s="67" t="str">
        <f t="shared" si="6"/>
        <v>0</v>
      </c>
    </row>
    <row r="210">
      <c r="D210" s="46">
        <f>IFERROR( VLOOKUP(B210, Current_Stats!A:Z, 5, FALSE), 1)</f>
        <v>1</v>
      </c>
      <c r="E210" s="46">
        <f>IFERROR( VLOOKUP(B210, Previous_Stats!A:Z, 5, FALSE), 1)</f>
        <v>1</v>
      </c>
      <c r="F210" s="67" t="str">
        <f t="shared" si="8"/>
        <v>0</v>
      </c>
      <c r="G210" s="67" t="str">
        <f t="shared" si="6"/>
        <v>0</v>
      </c>
    </row>
    <row r="211">
      <c r="D211" s="46">
        <f>IFERROR( VLOOKUP(B211, Current_Stats!A:Z, 5, FALSE), 1)</f>
        <v>1</v>
      </c>
      <c r="E211" s="46">
        <f>IFERROR( VLOOKUP(B211, Previous_Stats!A:Z, 5, FALSE), 1)</f>
        <v>1</v>
      </c>
      <c r="F211" s="67" t="str">
        <f t="shared" si="8"/>
        <v>0</v>
      </c>
      <c r="G211" s="67" t="str">
        <f t="shared" si="6"/>
        <v>0</v>
      </c>
    </row>
    <row r="212">
      <c r="D212" s="46">
        <f>IFERROR( VLOOKUP(B212, Current_Stats!A:Z, 5, FALSE), 1)</f>
        <v>1</v>
      </c>
      <c r="E212" s="46">
        <f>IFERROR( VLOOKUP(B212, Previous_Stats!A:Z, 5, FALSE), 1)</f>
        <v>1</v>
      </c>
      <c r="F212" s="67" t="str">
        <f t="shared" si="8"/>
        <v>0</v>
      </c>
      <c r="G212" s="67" t="str">
        <f t="shared" si="6"/>
        <v>0</v>
      </c>
    </row>
    <row r="213">
      <c r="D213" s="46">
        <f>IFERROR( VLOOKUP(B213, Current_Stats!A:Z, 5, FALSE), 1)</f>
        <v>1</v>
      </c>
      <c r="E213" s="46">
        <f>IFERROR( VLOOKUP(B213, Previous_Stats!A:Z, 5, FALSE), 1)</f>
        <v>1</v>
      </c>
      <c r="F213" s="67" t="str">
        <f t="shared" si="8"/>
        <v>0</v>
      </c>
      <c r="G213" s="67" t="str">
        <f t="shared" si="6"/>
        <v>0</v>
      </c>
    </row>
    <row r="214">
      <c r="E214" s="46"/>
      <c r="F214" s="67"/>
      <c r="G214" s="67"/>
    </row>
    <row r="215">
      <c r="E215" s="46"/>
      <c r="F215" s="67"/>
      <c r="G215" s="67"/>
    </row>
    <row r="216">
      <c r="E216" s="46"/>
      <c r="F216" s="67"/>
      <c r="G216" s="67"/>
    </row>
    <row r="217">
      <c r="E217" s="46"/>
      <c r="F217" s="67"/>
      <c r="G217" s="67"/>
    </row>
    <row r="218">
      <c r="E218" s="46"/>
      <c r="F218" s="67"/>
      <c r="G218" s="67"/>
    </row>
    <row r="219">
      <c r="E219" s="46"/>
      <c r="F219" s="67"/>
      <c r="G219" s="67"/>
    </row>
    <row r="220">
      <c r="E220" s="46"/>
      <c r="F220" s="67"/>
      <c r="G220" s="67"/>
    </row>
    <row r="221">
      <c r="E221" s="46"/>
      <c r="F221" s="67"/>
      <c r="G221" s="67"/>
    </row>
    <row r="222">
      <c r="E222" s="46"/>
      <c r="F222" s="67"/>
      <c r="G222" s="67"/>
    </row>
    <row r="223">
      <c r="E223" s="46"/>
      <c r="F223" s="67"/>
      <c r="G223" s="67"/>
    </row>
    <row r="224">
      <c r="E224" s="46"/>
      <c r="F224" s="67"/>
      <c r="G224" s="67"/>
    </row>
    <row r="225">
      <c r="E225" s="46"/>
      <c r="F225" s="67"/>
      <c r="G225" s="67"/>
    </row>
    <row r="226">
      <c r="E226" s="46"/>
      <c r="F226" s="67"/>
      <c r="G226" s="67"/>
    </row>
    <row r="227">
      <c r="E227" s="46"/>
      <c r="F227" s="67"/>
      <c r="G227" s="67"/>
    </row>
    <row r="228">
      <c r="E228" s="46"/>
      <c r="F228" s="67"/>
      <c r="G228" s="67"/>
    </row>
    <row r="229">
      <c r="E229" s="46"/>
      <c r="F229" s="67"/>
      <c r="G229" s="67"/>
    </row>
    <row r="230">
      <c r="E230" s="46"/>
      <c r="F230" s="67"/>
      <c r="G230" s="67"/>
    </row>
    <row r="231">
      <c r="E231" s="46"/>
      <c r="F231" s="67"/>
      <c r="G231" s="67"/>
    </row>
    <row r="232">
      <c r="E232" s="46"/>
      <c r="F232" s="67"/>
      <c r="G232" s="67"/>
    </row>
    <row r="233">
      <c r="E233" s="46"/>
      <c r="F233" s="67"/>
      <c r="G233" s="67"/>
    </row>
    <row r="234">
      <c r="E234" s="46"/>
      <c r="F234" s="67"/>
      <c r="G234" s="67"/>
    </row>
    <row r="235">
      <c r="E235" s="46"/>
      <c r="F235" s="67"/>
      <c r="G235" s="67"/>
    </row>
    <row r="236">
      <c r="E236" s="46"/>
      <c r="F236" s="67"/>
      <c r="G236" s="67"/>
    </row>
    <row r="237">
      <c r="E237" s="46"/>
      <c r="F237" s="67"/>
      <c r="G237" s="67"/>
    </row>
    <row r="238">
      <c r="E238" s="46"/>
      <c r="F238" s="67"/>
      <c r="G238" s="67"/>
    </row>
    <row r="239">
      <c r="E239" s="46"/>
      <c r="F239" s="67"/>
      <c r="G239" s="67"/>
    </row>
    <row r="240">
      <c r="E240" s="46"/>
      <c r="F240" s="67"/>
      <c r="G240" s="67"/>
    </row>
    <row r="241">
      <c r="E241" s="46"/>
      <c r="F241" s="67"/>
      <c r="G241" s="67"/>
    </row>
    <row r="242">
      <c r="E242" s="46"/>
      <c r="F242" s="67"/>
      <c r="G242" s="67"/>
    </row>
    <row r="243">
      <c r="E243" s="46"/>
      <c r="F243" s="67"/>
      <c r="G243" s="67"/>
    </row>
    <row r="244">
      <c r="E244" s="46"/>
      <c r="F244" s="67"/>
      <c r="G244" s="67"/>
    </row>
    <row r="245">
      <c r="E245" s="46"/>
      <c r="F245" s="67"/>
      <c r="G245" s="67"/>
    </row>
    <row r="246">
      <c r="E246" s="46"/>
      <c r="F246" s="67"/>
      <c r="G246" s="67"/>
    </row>
    <row r="247">
      <c r="E247" s="46"/>
      <c r="F247" s="67"/>
      <c r="G247" s="67"/>
    </row>
    <row r="248">
      <c r="E248" s="46"/>
      <c r="F248" s="67"/>
      <c r="G248" s="67"/>
    </row>
    <row r="249">
      <c r="E249" s="46"/>
      <c r="F249" s="67"/>
      <c r="G249" s="67"/>
    </row>
    <row r="250">
      <c r="E250" s="46"/>
      <c r="F250" s="67"/>
      <c r="G250" s="67"/>
    </row>
    <row r="251">
      <c r="E251" s="46"/>
      <c r="F251" s="67"/>
      <c r="G251" s="67"/>
    </row>
    <row r="252">
      <c r="E252" s="46"/>
      <c r="F252" s="67"/>
      <c r="G252" s="67"/>
    </row>
    <row r="253">
      <c r="E253" s="46"/>
      <c r="F253" s="67"/>
      <c r="G253" s="67"/>
    </row>
    <row r="254">
      <c r="E254" s="46"/>
      <c r="F254" s="67"/>
      <c r="G254" s="67"/>
    </row>
    <row r="255">
      <c r="E255" s="46"/>
      <c r="F255" s="67"/>
      <c r="G255" s="67"/>
    </row>
    <row r="256">
      <c r="E256" s="46"/>
      <c r="F256" s="67"/>
      <c r="G256" s="67"/>
    </row>
    <row r="257">
      <c r="E257" s="46"/>
      <c r="F257" s="67"/>
      <c r="G257" s="67"/>
    </row>
    <row r="258">
      <c r="E258" s="46"/>
      <c r="F258" s="67"/>
      <c r="G258" s="67"/>
    </row>
    <row r="259">
      <c r="E259" s="46"/>
      <c r="F259" s="67"/>
      <c r="G259" s="67"/>
    </row>
    <row r="260">
      <c r="E260" s="46"/>
      <c r="F260" s="67"/>
      <c r="G260" s="67"/>
    </row>
    <row r="261">
      <c r="E261" s="46"/>
      <c r="F261" s="67"/>
      <c r="G261" s="67"/>
    </row>
    <row r="262">
      <c r="E262" s="46"/>
      <c r="F262" s="67"/>
      <c r="G262" s="67"/>
    </row>
    <row r="263">
      <c r="E263" s="46"/>
      <c r="F263" s="67"/>
      <c r="G263" s="67"/>
    </row>
    <row r="264">
      <c r="E264" s="46"/>
      <c r="F264" s="67"/>
      <c r="G264" s="67"/>
    </row>
    <row r="265">
      <c r="E265" s="46"/>
      <c r="F265" s="67"/>
      <c r="G265" s="67"/>
    </row>
    <row r="266">
      <c r="E266" s="46"/>
      <c r="F266" s="67"/>
      <c r="G266" s="67"/>
    </row>
    <row r="267">
      <c r="E267" s="46"/>
      <c r="F267" s="67"/>
      <c r="G267" s="67"/>
    </row>
    <row r="268">
      <c r="E268" s="46"/>
      <c r="F268" s="67"/>
      <c r="G268" s="67"/>
    </row>
    <row r="269">
      <c r="E269" s="46"/>
      <c r="F269" s="67"/>
      <c r="G269" s="67"/>
    </row>
    <row r="270">
      <c r="E270" s="46"/>
      <c r="F270" s="67"/>
      <c r="G270" s="67"/>
    </row>
    <row r="271">
      <c r="E271" s="46"/>
      <c r="F271" s="67"/>
      <c r="G271" s="67"/>
    </row>
    <row r="272">
      <c r="E272" s="46"/>
      <c r="F272" s="67"/>
      <c r="G272" s="67"/>
    </row>
    <row r="273">
      <c r="E273" s="46"/>
      <c r="F273" s="67"/>
      <c r="G273" s="67"/>
    </row>
    <row r="274">
      <c r="E274" s="46"/>
      <c r="F274" s="67"/>
      <c r="G274" s="67"/>
    </row>
    <row r="275">
      <c r="E275" s="46"/>
      <c r="F275" s="67"/>
      <c r="G275" s="67"/>
    </row>
    <row r="276">
      <c r="E276" s="46"/>
      <c r="F276" s="67"/>
      <c r="G276" s="67"/>
    </row>
    <row r="277">
      <c r="E277" s="46"/>
      <c r="F277" s="67"/>
      <c r="G277" s="67"/>
    </row>
    <row r="278">
      <c r="E278" s="46"/>
      <c r="F278" s="67"/>
      <c r="G278" s="67"/>
    </row>
    <row r="279">
      <c r="E279" s="46"/>
      <c r="F279" s="67"/>
      <c r="G279" s="67"/>
    </row>
    <row r="280">
      <c r="E280" s="46"/>
      <c r="F280" s="67"/>
      <c r="G280" s="67"/>
    </row>
    <row r="281">
      <c r="E281" s="46"/>
      <c r="F281" s="67"/>
      <c r="G281" s="67"/>
    </row>
    <row r="282">
      <c r="E282" s="46"/>
      <c r="F282" s="67"/>
      <c r="G282" s="67"/>
    </row>
    <row r="283">
      <c r="E283" s="46"/>
      <c r="F283" s="67"/>
      <c r="G283" s="67"/>
    </row>
    <row r="284">
      <c r="E284" s="46"/>
      <c r="F284" s="67"/>
      <c r="G284" s="67"/>
    </row>
    <row r="285">
      <c r="E285" s="46"/>
      <c r="F285" s="67"/>
      <c r="G285" s="67"/>
    </row>
    <row r="286">
      <c r="E286" s="46"/>
      <c r="F286" s="67"/>
      <c r="G286" s="67"/>
    </row>
    <row r="287">
      <c r="E287" s="46"/>
      <c r="F287" s="67"/>
      <c r="G287" s="67"/>
    </row>
    <row r="288">
      <c r="E288" s="46"/>
      <c r="F288" s="67"/>
      <c r="G288" s="67"/>
    </row>
    <row r="289">
      <c r="E289" s="46"/>
      <c r="F289" s="67"/>
      <c r="G289" s="67"/>
    </row>
    <row r="290">
      <c r="E290" s="46"/>
      <c r="F290" s="67"/>
      <c r="G290" s="67"/>
    </row>
    <row r="291">
      <c r="E291" s="46"/>
      <c r="F291" s="67"/>
      <c r="G291" s="67"/>
    </row>
    <row r="292">
      <c r="E292" s="46"/>
      <c r="F292" s="67"/>
      <c r="G292" s="67"/>
    </row>
    <row r="293">
      <c r="E293" s="46"/>
      <c r="F293" s="67"/>
      <c r="G293" s="67"/>
    </row>
    <row r="294">
      <c r="E294" s="46"/>
      <c r="F294" s="67"/>
      <c r="G294" s="67"/>
    </row>
    <row r="295">
      <c r="E295" s="46"/>
      <c r="F295" s="67"/>
      <c r="G295" s="67"/>
    </row>
    <row r="296">
      <c r="E296" s="46"/>
      <c r="F296" s="67"/>
      <c r="G296" s="67"/>
    </row>
    <row r="297">
      <c r="E297" s="46"/>
      <c r="F297" s="67"/>
      <c r="G297" s="67"/>
    </row>
    <row r="298">
      <c r="E298" s="46"/>
      <c r="F298" s="67"/>
      <c r="G298" s="67"/>
    </row>
    <row r="299">
      <c r="E299" s="46"/>
      <c r="F299" s="67"/>
      <c r="G299" s="67"/>
    </row>
    <row r="300">
      <c r="E300" s="46"/>
      <c r="F300" s="67"/>
      <c r="G300" s="67"/>
    </row>
    <row r="301">
      <c r="E301" s="46"/>
      <c r="F301" s="67"/>
      <c r="G301" s="67"/>
    </row>
    <row r="302">
      <c r="E302" s="46"/>
      <c r="F302" s="67"/>
      <c r="G302" s="67"/>
    </row>
    <row r="303">
      <c r="E303" s="46"/>
      <c r="F303" s="67"/>
      <c r="G303" s="67"/>
    </row>
    <row r="304">
      <c r="E304" s="46"/>
      <c r="F304" s="67"/>
      <c r="G304" s="67"/>
    </row>
    <row r="305">
      <c r="E305" s="46"/>
      <c r="F305" s="67"/>
      <c r="G305" s="67"/>
    </row>
    <row r="306">
      <c r="E306" s="46"/>
      <c r="F306" s="67"/>
      <c r="G306" s="67"/>
    </row>
    <row r="307">
      <c r="E307" s="46"/>
      <c r="F307" s="67"/>
      <c r="G307" s="67"/>
    </row>
    <row r="308">
      <c r="E308" s="46"/>
      <c r="F308" s="67"/>
      <c r="G308" s="67"/>
    </row>
    <row r="309">
      <c r="E309" s="46"/>
      <c r="F309" s="67"/>
      <c r="G309" s="67"/>
    </row>
    <row r="310">
      <c r="E310" s="46"/>
      <c r="F310" s="67"/>
      <c r="G310" s="67"/>
    </row>
    <row r="311">
      <c r="E311" s="46"/>
      <c r="F311" s="67"/>
      <c r="G311" s="67"/>
    </row>
    <row r="312">
      <c r="E312" s="46"/>
      <c r="F312" s="67"/>
      <c r="G312" s="67"/>
    </row>
    <row r="313">
      <c r="E313" s="46"/>
      <c r="F313" s="67"/>
      <c r="G313" s="67"/>
    </row>
    <row r="314">
      <c r="E314" s="46"/>
      <c r="F314" s="67"/>
      <c r="G314" s="67"/>
    </row>
    <row r="315">
      <c r="E315" s="46"/>
      <c r="F315" s="67"/>
      <c r="G315" s="67"/>
    </row>
    <row r="316">
      <c r="E316" s="46"/>
      <c r="F316" s="67"/>
      <c r="G316" s="67"/>
    </row>
    <row r="317">
      <c r="E317" s="46"/>
      <c r="F317" s="67"/>
      <c r="G317" s="67"/>
    </row>
    <row r="318">
      <c r="E318" s="46"/>
      <c r="F318" s="67"/>
      <c r="G318" s="67"/>
    </row>
    <row r="319">
      <c r="E319" s="46"/>
      <c r="F319" s="67"/>
      <c r="G319" s="67"/>
    </row>
    <row r="320">
      <c r="E320" s="46"/>
      <c r="F320" s="67"/>
      <c r="G320" s="67"/>
    </row>
    <row r="321">
      <c r="E321" s="46"/>
      <c r="F321" s="67"/>
      <c r="G321" s="67"/>
    </row>
    <row r="322">
      <c r="E322" s="46"/>
      <c r="F322" s="67"/>
      <c r="G322" s="67"/>
    </row>
    <row r="323">
      <c r="E323" s="46"/>
      <c r="F323" s="67"/>
      <c r="G323" s="67"/>
    </row>
    <row r="324">
      <c r="E324" s="46"/>
      <c r="F324" s="67"/>
      <c r="G324" s="67"/>
    </row>
    <row r="325">
      <c r="E325" s="46"/>
      <c r="F325" s="67"/>
      <c r="G325" s="67"/>
    </row>
    <row r="326">
      <c r="E326" s="46"/>
      <c r="F326" s="67"/>
      <c r="G326" s="67"/>
    </row>
    <row r="327">
      <c r="E327" s="46"/>
      <c r="F327" s="67"/>
      <c r="G327" s="67"/>
    </row>
    <row r="328">
      <c r="E328" s="46"/>
      <c r="F328" s="67"/>
      <c r="G328" s="67"/>
    </row>
    <row r="329">
      <c r="E329" s="46"/>
      <c r="F329" s="67"/>
      <c r="G329" s="67"/>
    </row>
    <row r="330">
      <c r="E330" s="46"/>
      <c r="F330" s="67"/>
      <c r="G330" s="67"/>
    </row>
    <row r="331">
      <c r="E331" s="46"/>
      <c r="F331" s="67"/>
      <c r="G331" s="67"/>
    </row>
    <row r="332">
      <c r="E332" s="46"/>
      <c r="F332" s="67"/>
      <c r="G332" s="67"/>
    </row>
    <row r="333">
      <c r="E333" s="46"/>
      <c r="F333" s="67"/>
      <c r="G333" s="67"/>
    </row>
    <row r="334">
      <c r="E334" s="46"/>
      <c r="F334" s="67"/>
      <c r="G334" s="67"/>
    </row>
    <row r="335">
      <c r="E335" s="46"/>
      <c r="F335" s="67"/>
      <c r="G335" s="67"/>
    </row>
    <row r="336">
      <c r="E336" s="46"/>
      <c r="F336" s="67"/>
      <c r="G336" s="67"/>
    </row>
    <row r="337">
      <c r="E337" s="46"/>
      <c r="F337" s="67"/>
      <c r="G337" s="67"/>
    </row>
    <row r="338">
      <c r="E338" s="46"/>
      <c r="F338" s="67"/>
      <c r="G338" s="67"/>
    </row>
    <row r="339">
      <c r="E339" s="46"/>
      <c r="F339" s="67"/>
      <c r="G339" s="67"/>
    </row>
    <row r="340">
      <c r="E340" s="46"/>
      <c r="F340" s="67"/>
      <c r="G340" s="67"/>
    </row>
    <row r="341">
      <c r="E341" s="46"/>
      <c r="F341" s="67"/>
      <c r="G341" s="67"/>
    </row>
    <row r="342">
      <c r="E342" s="46"/>
      <c r="F342" s="67"/>
      <c r="G342" s="67"/>
    </row>
    <row r="343">
      <c r="E343" s="46"/>
      <c r="F343" s="67"/>
      <c r="G343" s="67"/>
    </row>
    <row r="344">
      <c r="E344" s="46"/>
      <c r="F344" s="67"/>
      <c r="G344" s="67"/>
    </row>
    <row r="345">
      <c r="E345" s="46"/>
      <c r="F345" s="67"/>
      <c r="G345" s="67"/>
    </row>
    <row r="346">
      <c r="E346" s="46"/>
      <c r="F346" s="67"/>
      <c r="G346" s="67"/>
    </row>
    <row r="347">
      <c r="E347" s="46"/>
      <c r="F347" s="67"/>
      <c r="G347" s="67"/>
    </row>
    <row r="348">
      <c r="E348" s="46"/>
      <c r="F348" s="67"/>
      <c r="G348" s="67"/>
    </row>
    <row r="349">
      <c r="E349" s="46"/>
      <c r="F349" s="67"/>
      <c r="G349" s="67"/>
    </row>
    <row r="350">
      <c r="E350" s="46"/>
      <c r="F350" s="67"/>
      <c r="G350" s="67"/>
    </row>
    <row r="351">
      <c r="E351" s="46"/>
      <c r="F351" s="67"/>
      <c r="G351" s="67"/>
    </row>
    <row r="352">
      <c r="E352" s="46"/>
      <c r="F352" s="67"/>
      <c r="G352" s="67"/>
    </row>
    <row r="353">
      <c r="E353" s="46"/>
      <c r="F353" s="67"/>
      <c r="G353" s="67"/>
    </row>
    <row r="354">
      <c r="E354" s="46"/>
      <c r="F354" s="67"/>
      <c r="G354" s="67"/>
    </row>
    <row r="355">
      <c r="E355" s="46"/>
      <c r="F355" s="67"/>
      <c r="G355" s="67"/>
    </row>
    <row r="356">
      <c r="E356" s="46"/>
      <c r="F356" s="67"/>
      <c r="G356" s="67"/>
    </row>
    <row r="357">
      <c r="E357" s="46"/>
      <c r="F357" s="67"/>
      <c r="G357" s="67"/>
    </row>
    <row r="358">
      <c r="E358" s="46"/>
      <c r="F358" s="67"/>
      <c r="G358" s="67"/>
    </row>
    <row r="359">
      <c r="E359" s="46"/>
      <c r="F359" s="67"/>
      <c r="G359" s="67"/>
    </row>
    <row r="360">
      <c r="E360" s="46"/>
      <c r="F360" s="67"/>
      <c r="G360" s="67"/>
    </row>
    <row r="361">
      <c r="E361" s="46"/>
      <c r="F361" s="67"/>
      <c r="G361" s="67"/>
    </row>
    <row r="362">
      <c r="E362" s="46"/>
      <c r="F362" s="67"/>
      <c r="G362" s="67"/>
    </row>
    <row r="363">
      <c r="E363" s="46"/>
      <c r="F363" s="67"/>
      <c r="G363" s="67"/>
    </row>
    <row r="364">
      <c r="E364" s="46"/>
      <c r="F364" s="67"/>
      <c r="G364" s="67"/>
    </row>
    <row r="365">
      <c r="E365" s="46"/>
      <c r="F365" s="67"/>
      <c r="G365" s="67"/>
    </row>
    <row r="366">
      <c r="E366" s="46"/>
      <c r="F366" s="67"/>
      <c r="G366" s="67"/>
    </row>
    <row r="367">
      <c r="E367" s="46"/>
      <c r="F367" s="67"/>
      <c r="G367" s="67"/>
    </row>
    <row r="368">
      <c r="E368" s="46"/>
      <c r="F368" s="67"/>
      <c r="G368" s="67"/>
    </row>
    <row r="369">
      <c r="E369" s="46"/>
      <c r="F369" s="67"/>
      <c r="G369" s="67"/>
    </row>
    <row r="370">
      <c r="E370" s="46"/>
      <c r="F370" s="67"/>
      <c r="G370" s="67"/>
    </row>
    <row r="371">
      <c r="E371" s="46"/>
      <c r="F371" s="67"/>
      <c r="G371" s="67"/>
    </row>
    <row r="372">
      <c r="E372" s="46"/>
      <c r="F372" s="67"/>
      <c r="G372" s="67"/>
    </row>
    <row r="373">
      <c r="E373" s="46"/>
      <c r="F373" s="67"/>
      <c r="G373" s="67"/>
    </row>
    <row r="374">
      <c r="E374" s="46"/>
      <c r="F374" s="67"/>
      <c r="G374" s="67"/>
    </row>
    <row r="375">
      <c r="E375" s="46"/>
      <c r="F375" s="67"/>
      <c r="G375" s="67"/>
    </row>
    <row r="376">
      <c r="E376" s="46"/>
      <c r="F376" s="67"/>
      <c r="G376" s="67"/>
    </row>
    <row r="377">
      <c r="E377" s="46"/>
      <c r="F377" s="67"/>
      <c r="G377" s="67"/>
    </row>
    <row r="378">
      <c r="E378" s="46"/>
      <c r="F378" s="67"/>
      <c r="G378" s="67"/>
    </row>
    <row r="379">
      <c r="E379" s="46"/>
      <c r="F379" s="67"/>
      <c r="G379" s="67"/>
    </row>
    <row r="380">
      <c r="E380" s="46"/>
      <c r="F380" s="67"/>
      <c r="G380" s="67"/>
    </row>
    <row r="381">
      <c r="E381" s="46"/>
      <c r="F381" s="67"/>
      <c r="G381" s="67"/>
    </row>
    <row r="382">
      <c r="E382" s="46"/>
      <c r="F382" s="67"/>
      <c r="G382" s="67"/>
    </row>
    <row r="383">
      <c r="E383" s="46"/>
      <c r="F383" s="67"/>
      <c r="G383" s="67"/>
    </row>
    <row r="384">
      <c r="E384" s="46"/>
      <c r="F384" s="67"/>
      <c r="G384" s="67"/>
    </row>
    <row r="385">
      <c r="E385" s="46"/>
      <c r="F385" s="67"/>
      <c r="G385" s="67"/>
    </row>
    <row r="386">
      <c r="E386" s="46"/>
      <c r="F386" s="67"/>
      <c r="G386" s="67"/>
    </row>
    <row r="387">
      <c r="E387" s="46"/>
      <c r="F387" s="67"/>
      <c r="G387" s="67"/>
    </row>
    <row r="388">
      <c r="E388" s="46"/>
      <c r="F388" s="67"/>
      <c r="G388" s="67"/>
    </row>
    <row r="389">
      <c r="E389" s="46"/>
      <c r="F389" s="67"/>
      <c r="G389" s="67"/>
    </row>
    <row r="390">
      <c r="E390" s="46"/>
      <c r="F390" s="67"/>
      <c r="G390" s="67"/>
    </row>
    <row r="391">
      <c r="E391" s="46"/>
      <c r="F391" s="67"/>
      <c r="G391" s="67"/>
    </row>
    <row r="392">
      <c r="E392" s="46"/>
      <c r="F392" s="67"/>
      <c r="G392" s="67"/>
    </row>
    <row r="393">
      <c r="E393" s="46"/>
      <c r="F393" s="67"/>
      <c r="G393" s="67"/>
    </row>
    <row r="394">
      <c r="E394" s="46"/>
      <c r="F394" s="67"/>
      <c r="G394" s="67"/>
    </row>
    <row r="395">
      <c r="E395" s="46"/>
      <c r="F395" s="67"/>
      <c r="G395" s="67"/>
    </row>
    <row r="396">
      <c r="E396" s="46"/>
      <c r="F396" s="67"/>
      <c r="G396" s="67"/>
    </row>
    <row r="397">
      <c r="E397" s="46"/>
      <c r="F397" s="67"/>
      <c r="G397" s="67"/>
    </row>
    <row r="398">
      <c r="E398" s="46"/>
      <c r="F398" s="67"/>
      <c r="G398" s="67"/>
    </row>
    <row r="399">
      <c r="E399" s="46"/>
      <c r="F399" s="67"/>
      <c r="G399" s="67"/>
    </row>
    <row r="400">
      <c r="E400" s="46"/>
      <c r="F400" s="67"/>
      <c r="G400" s="67"/>
    </row>
    <row r="401">
      <c r="E401" s="46"/>
      <c r="F401" s="67"/>
      <c r="G401" s="67"/>
    </row>
    <row r="402">
      <c r="E402" s="46"/>
      <c r="F402" s="67"/>
      <c r="G402" s="67"/>
    </row>
    <row r="403">
      <c r="E403" s="46"/>
      <c r="F403" s="67"/>
      <c r="G403" s="67"/>
    </row>
    <row r="404">
      <c r="E404" s="46"/>
      <c r="F404" s="67"/>
      <c r="G404" s="67"/>
    </row>
    <row r="405">
      <c r="E405" s="46"/>
      <c r="F405" s="67"/>
      <c r="G405" s="67"/>
    </row>
    <row r="406">
      <c r="E406" s="46"/>
      <c r="F406" s="67"/>
      <c r="G406" s="67"/>
    </row>
    <row r="407">
      <c r="E407" s="46"/>
      <c r="F407" s="67"/>
      <c r="G407" s="67"/>
    </row>
    <row r="408">
      <c r="E408" s="46"/>
      <c r="F408" s="67"/>
      <c r="G408" s="67"/>
    </row>
    <row r="409">
      <c r="E409" s="46"/>
      <c r="F409" s="67"/>
      <c r="G409" s="67"/>
    </row>
    <row r="410">
      <c r="E410" s="46"/>
      <c r="F410" s="67"/>
      <c r="G410" s="67"/>
    </row>
    <row r="411">
      <c r="E411" s="46"/>
      <c r="F411" s="67"/>
      <c r="G411" s="67"/>
    </row>
    <row r="412">
      <c r="E412" s="46"/>
      <c r="F412" s="67"/>
      <c r="G412" s="67"/>
    </row>
    <row r="413">
      <c r="E413" s="46"/>
      <c r="F413" s="67"/>
      <c r="G413" s="67"/>
    </row>
    <row r="414">
      <c r="E414" s="46"/>
      <c r="F414" s="67"/>
      <c r="G414" s="67"/>
    </row>
    <row r="415">
      <c r="E415" s="46"/>
      <c r="F415" s="67"/>
      <c r="G415" s="67"/>
    </row>
    <row r="416">
      <c r="E416" s="46"/>
      <c r="F416" s="67"/>
      <c r="G416" s="67"/>
    </row>
    <row r="417">
      <c r="E417" s="46"/>
      <c r="F417" s="67"/>
      <c r="G417" s="67"/>
    </row>
    <row r="418">
      <c r="E418" s="46"/>
      <c r="F418" s="67"/>
      <c r="G418" s="67"/>
    </row>
    <row r="419">
      <c r="E419" s="46"/>
      <c r="F419" s="67"/>
      <c r="G419" s="67"/>
    </row>
    <row r="420">
      <c r="E420" s="46"/>
      <c r="F420" s="67"/>
      <c r="G420" s="67"/>
    </row>
    <row r="421">
      <c r="E421" s="46"/>
      <c r="F421" s="67"/>
      <c r="G421" s="67"/>
    </row>
    <row r="422">
      <c r="E422" s="46"/>
      <c r="F422" s="67"/>
      <c r="G422" s="67"/>
    </row>
    <row r="423">
      <c r="E423" s="46"/>
      <c r="F423" s="67"/>
      <c r="G423" s="67"/>
    </row>
    <row r="424">
      <c r="E424" s="46"/>
      <c r="F424" s="67"/>
      <c r="G424" s="67"/>
    </row>
    <row r="425">
      <c r="E425" s="46"/>
      <c r="F425" s="67"/>
      <c r="G425" s="67"/>
    </row>
    <row r="426">
      <c r="E426" s="46"/>
      <c r="F426" s="67"/>
      <c r="G426" s="67"/>
    </row>
    <row r="427">
      <c r="E427" s="46"/>
      <c r="F427" s="67"/>
      <c r="G427" s="67"/>
    </row>
    <row r="428">
      <c r="E428" s="46"/>
      <c r="F428" s="67"/>
      <c r="G428" s="67"/>
    </row>
    <row r="429">
      <c r="E429" s="46"/>
      <c r="F429" s="67"/>
      <c r="G429" s="67"/>
    </row>
    <row r="430">
      <c r="E430" s="46"/>
      <c r="F430" s="67"/>
      <c r="G430" s="67"/>
    </row>
    <row r="431">
      <c r="E431" s="46"/>
      <c r="F431" s="67"/>
      <c r="G431" s="67"/>
    </row>
    <row r="432">
      <c r="E432" s="46"/>
      <c r="F432" s="67"/>
      <c r="G432" s="67"/>
    </row>
    <row r="433">
      <c r="E433" s="46"/>
      <c r="F433" s="67"/>
      <c r="G433" s="67"/>
    </row>
    <row r="434">
      <c r="E434" s="46"/>
      <c r="F434" s="67"/>
      <c r="G434" s="67"/>
    </row>
    <row r="435">
      <c r="E435" s="46"/>
      <c r="F435" s="67"/>
      <c r="G435" s="67"/>
    </row>
    <row r="436">
      <c r="E436" s="46"/>
      <c r="F436" s="67"/>
      <c r="G436" s="67"/>
    </row>
    <row r="437">
      <c r="E437" s="46"/>
      <c r="F437" s="67"/>
      <c r="G437" s="67"/>
    </row>
    <row r="438">
      <c r="E438" s="46"/>
      <c r="F438" s="67"/>
      <c r="G438" s="67"/>
    </row>
    <row r="439">
      <c r="E439" s="46"/>
      <c r="F439" s="67"/>
      <c r="G439" s="67"/>
    </row>
    <row r="440">
      <c r="E440" s="46"/>
      <c r="F440" s="67"/>
      <c r="G440" s="67"/>
    </row>
    <row r="441">
      <c r="E441" s="46"/>
      <c r="F441" s="67"/>
      <c r="G441" s="67"/>
    </row>
    <row r="442">
      <c r="E442" s="46"/>
      <c r="F442" s="67"/>
      <c r="G442" s="67"/>
    </row>
    <row r="443">
      <c r="E443" s="46"/>
      <c r="F443" s="67"/>
      <c r="G443" s="67"/>
    </row>
    <row r="444">
      <c r="E444" s="46"/>
      <c r="F444" s="67"/>
      <c r="G444" s="67"/>
    </row>
    <row r="445">
      <c r="E445" s="46"/>
      <c r="F445" s="67"/>
      <c r="G445" s="67"/>
    </row>
    <row r="446">
      <c r="E446" s="46"/>
      <c r="F446" s="67"/>
      <c r="G446" s="67"/>
    </row>
    <row r="447">
      <c r="E447" s="46"/>
      <c r="F447" s="67"/>
      <c r="G447" s="67"/>
    </row>
    <row r="448">
      <c r="E448" s="46"/>
      <c r="F448" s="67"/>
      <c r="G448" s="67"/>
    </row>
    <row r="449">
      <c r="E449" s="46"/>
      <c r="F449" s="67"/>
      <c r="G449" s="67"/>
    </row>
    <row r="450">
      <c r="E450" s="46"/>
      <c r="F450" s="67"/>
      <c r="G450" s="67"/>
    </row>
    <row r="451">
      <c r="E451" s="46"/>
      <c r="F451" s="67"/>
      <c r="G451" s="67"/>
    </row>
    <row r="452">
      <c r="E452" s="46"/>
      <c r="F452" s="67"/>
      <c r="G452" s="67"/>
    </row>
    <row r="453">
      <c r="E453" s="46"/>
      <c r="F453" s="67"/>
      <c r="G453" s="67"/>
    </row>
    <row r="454">
      <c r="E454" s="46"/>
      <c r="F454" s="67"/>
      <c r="G454" s="67"/>
    </row>
    <row r="455">
      <c r="E455" s="46"/>
      <c r="F455" s="67"/>
      <c r="G455" s="67"/>
    </row>
    <row r="456">
      <c r="E456" s="46"/>
      <c r="F456" s="67"/>
      <c r="G456" s="67"/>
    </row>
    <row r="457">
      <c r="E457" s="46"/>
      <c r="F457" s="67"/>
      <c r="G457" s="67"/>
    </row>
    <row r="458">
      <c r="E458" s="46"/>
      <c r="F458" s="67"/>
      <c r="G458" s="67"/>
    </row>
    <row r="459">
      <c r="E459" s="46"/>
      <c r="F459" s="67"/>
      <c r="G459" s="67"/>
    </row>
    <row r="460">
      <c r="E460" s="46"/>
      <c r="F460" s="67"/>
      <c r="G460" s="67"/>
    </row>
    <row r="461">
      <c r="E461" s="46"/>
      <c r="F461" s="67"/>
      <c r="G461" s="67"/>
    </row>
    <row r="462">
      <c r="E462" s="46"/>
      <c r="F462" s="67"/>
      <c r="G462" s="67"/>
    </row>
    <row r="463">
      <c r="E463" s="46"/>
      <c r="F463" s="67"/>
      <c r="G463" s="67"/>
    </row>
    <row r="464">
      <c r="E464" s="46"/>
      <c r="F464" s="67"/>
      <c r="G464" s="67"/>
    </row>
    <row r="465">
      <c r="E465" s="46"/>
      <c r="F465" s="67"/>
      <c r="G465" s="67"/>
    </row>
    <row r="466">
      <c r="E466" s="46"/>
      <c r="F466" s="67"/>
      <c r="G466" s="67"/>
    </row>
    <row r="467">
      <c r="E467" s="46"/>
      <c r="F467" s="67"/>
      <c r="G467" s="67"/>
    </row>
    <row r="468">
      <c r="E468" s="46"/>
      <c r="F468" s="67"/>
      <c r="G468" s="67"/>
    </row>
    <row r="469">
      <c r="E469" s="46"/>
      <c r="F469" s="67"/>
      <c r="G469" s="67"/>
    </row>
    <row r="470">
      <c r="E470" s="46"/>
      <c r="F470" s="67"/>
      <c r="G470" s="67"/>
    </row>
    <row r="471">
      <c r="E471" s="46"/>
      <c r="F471" s="67"/>
      <c r="G471" s="67"/>
    </row>
    <row r="472">
      <c r="E472" s="46"/>
      <c r="F472" s="67"/>
      <c r="G472" s="67"/>
    </row>
    <row r="473">
      <c r="E473" s="46"/>
      <c r="F473" s="67"/>
      <c r="G473" s="67"/>
    </row>
    <row r="474">
      <c r="E474" s="46"/>
      <c r="F474" s="67"/>
      <c r="G474" s="67"/>
    </row>
    <row r="475">
      <c r="E475" s="46"/>
      <c r="F475" s="67"/>
      <c r="G475" s="67"/>
    </row>
    <row r="476">
      <c r="E476" s="46"/>
      <c r="F476" s="67"/>
      <c r="G476" s="67"/>
    </row>
    <row r="477">
      <c r="E477" s="46"/>
      <c r="F477" s="67"/>
      <c r="G477" s="67"/>
    </row>
    <row r="478">
      <c r="E478" s="46"/>
      <c r="F478" s="67"/>
      <c r="G478" s="67"/>
    </row>
    <row r="479">
      <c r="E479" s="46"/>
      <c r="F479" s="67"/>
      <c r="G479" s="67"/>
    </row>
    <row r="480">
      <c r="E480" s="46"/>
      <c r="F480" s="67"/>
      <c r="G480" s="67"/>
    </row>
    <row r="481">
      <c r="E481" s="46"/>
      <c r="F481" s="67"/>
      <c r="G481" s="67"/>
    </row>
    <row r="482">
      <c r="E482" s="46"/>
      <c r="F482" s="67"/>
      <c r="G482" s="67"/>
    </row>
    <row r="483">
      <c r="E483" s="46"/>
      <c r="F483" s="67"/>
      <c r="G483" s="67"/>
    </row>
    <row r="484">
      <c r="E484" s="46"/>
      <c r="F484" s="67"/>
      <c r="G484" s="67"/>
    </row>
    <row r="485">
      <c r="E485" s="46"/>
      <c r="F485" s="67"/>
      <c r="G485" s="67"/>
    </row>
    <row r="486">
      <c r="E486" s="46"/>
      <c r="F486" s="67"/>
      <c r="G486" s="67"/>
    </row>
    <row r="487">
      <c r="E487" s="46"/>
      <c r="F487" s="67"/>
      <c r="G487" s="67"/>
    </row>
    <row r="488">
      <c r="E488" s="46"/>
      <c r="F488" s="67"/>
      <c r="G488" s="67"/>
    </row>
    <row r="489">
      <c r="E489" s="46"/>
      <c r="F489" s="67"/>
      <c r="G489" s="67"/>
    </row>
    <row r="490">
      <c r="E490" s="46"/>
      <c r="F490" s="67"/>
      <c r="G490" s="67"/>
    </row>
    <row r="491">
      <c r="E491" s="46"/>
      <c r="F491" s="67"/>
      <c r="G491" s="67"/>
    </row>
    <row r="492">
      <c r="E492" s="46"/>
      <c r="F492" s="67"/>
      <c r="G492" s="67"/>
    </row>
    <row r="493">
      <c r="E493" s="46"/>
      <c r="F493" s="67"/>
      <c r="G493" s="67"/>
    </row>
    <row r="494">
      <c r="E494" s="46"/>
      <c r="F494" s="67"/>
      <c r="G494" s="67"/>
    </row>
    <row r="495">
      <c r="E495" s="46"/>
      <c r="F495" s="67"/>
      <c r="G495" s="67"/>
    </row>
    <row r="496">
      <c r="E496" s="46"/>
      <c r="F496" s="67"/>
      <c r="G496" s="67"/>
    </row>
    <row r="497">
      <c r="E497" s="46"/>
      <c r="F497" s="67"/>
      <c r="G497" s="67"/>
    </row>
    <row r="498">
      <c r="E498" s="46"/>
      <c r="F498" s="67"/>
      <c r="G498" s="67"/>
    </row>
    <row r="499">
      <c r="E499" s="46"/>
      <c r="F499" s="67"/>
      <c r="G499" s="67"/>
    </row>
    <row r="500">
      <c r="E500" s="46"/>
      <c r="F500" s="67"/>
      <c r="G500" s="67"/>
    </row>
    <row r="501">
      <c r="E501" s="46"/>
      <c r="F501" s="67"/>
      <c r="G501" s="67"/>
    </row>
    <row r="502">
      <c r="E502" s="46"/>
      <c r="F502" s="67"/>
      <c r="G502" s="67"/>
    </row>
    <row r="503">
      <c r="E503" s="46"/>
      <c r="F503" s="67"/>
      <c r="G503" s="67"/>
    </row>
    <row r="504">
      <c r="E504" s="46"/>
      <c r="F504" s="67"/>
      <c r="G504" s="67"/>
    </row>
    <row r="505">
      <c r="E505" s="46"/>
      <c r="F505" s="67"/>
      <c r="G505" s="67"/>
    </row>
    <row r="506">
      <c r="E506" s="46"/>
      <c r="F506" s="67"/>
      <c r="G506" s="67"/>
    </row>
    <row r="507">
      <c r="E507" s="46"/>
      <c r="F507" s="67"/>
      <c r="G507" s="67"/>
    </row>
    <row r="508">
      <c r="E508" s="46"/>
      <c r="F508" s="67"/>
      <c r="G508" s="67"/>
    </row>
    <row r="509">
      <c r="E509" s="46"/>
      <c r="F509" s="67"/>
      <c r="G509" s="67"/>
    </row>
    <row r="510">
      <c r="E510" s="46"/>
      <c r="F510" s="67"/>
      <c r="G510" s="67"/>
    </row>
    <row r="511">
      <c r="E511" s="46"/>
      <c r="F511" s="67"/>
      <c r="G511" s="67"/>
    </row>
    <row r="512">
      <c r="E512" s="46"/>
      <c r="F512" s="67"/>
      <c r="G512" s="67"/>
    </row>
    <row r="513">
      <c r="E513" s="46"/>
      <c r="F513" s="67"/>
      <c r="G513" s="67"/>
    </row>
    <row r="514">
      <c r="E514" s="46"/>
      <c r="F514" s="67"/>
      <c r="G514" s="67"/>
    </row>
    <row r="515">
      <c r="E515" s="46"/>
      <c r="F515" s="67"/>
      <c r="G515" s="67"/>
    </row>
    <row r="516">
      <c r="E516" s="46"/>
      <c r="F516" s="67"/>
      <c r="G516" s="67"/>
    </row>
    <row r="517">
      <c r="E517" s="46"/>
      <c r="F517" s="67"/>
      <c r="G517" s="67"/>
    </row>
    <row r="518">
      <c r="E518" s="46"/>
      <c r="F518" s="67"/>
      <c r="G518" s="67"/>
    </row>
    <row r="519">
      <c r="E519" s="46"/>
      <c r="F519" s="67"/>
      <c r="G519" s="67"/>
    </row>
    <row r="520">
      <c r="E520" s="46"/>
      <c r="F520" s="67"/>
      <c r="G520" s="67"/>
    </row>
    <row r="521">
      <c r="E521" s="46"/>
      <c r="F521" s="67"/>
      <c r="G521" s="67"/>
    </row>
    <row r="522">
      <c r="E522" s="46"/>
      <c r="F522" s="67"/>
      <c r="G522" s="67"/>
    </row>
    <row r="523">
      <c r="E523" s="46"/>
      <c r="F523" s="67"/>
      <c r="G523" s="67"/>
    </row>
    <row r="524">
      <c r="E524" s="46"/>
      <c r="F524" s="67"/>
      <c r="G524" s="67"/>
    </row>
    <row r="525">
      <c r="E525" s="46"/>
      <c r="F525" s="67"/>
      <c r="G525" s="67"/>
    </row>
    <row r="526">
      <c r="E526" s="46"/>
      <c r="F526" s="67"/>
      <c r="G526" s="67"/>
    </row>
    <row r="527">
      <c r="E527" s="46"/>
      <c r="F527" s="67"/>
      <c r="G527" s="67"/>
    </row>
    <row r="528">
      <c r="E528" s="46"/>
      <c r="F528" s="67"/>
      <c r="G528" s="67"/>
    </row>
    <row r="529">
      <c r="E529" s="46"/>
      <c r="F529" s="67"/>
      <c r="G529" s="67"/>
    </row>
    <row r="530">
      <c r="E530" s="46"/>
      <c r="F530" s="67"/>
      <c r="G530" s="67"/>
    </row>
    <row r="531">
      <c r="E531" s="46"/>
      <c r="F531" s="67"/>
      <c r="G531" s="67"/>
    </row>
    <row r="532">
      <c r="E532" s="46"/>
      <c r="F532" s="67"/>
      <c r="G532" s="67"/>
    </row>
    <row r="533">
      <c r="E533" s="46"/>
      <c r="F533" s="67"/>
      <c r="G533" s="67"/>
    </row>
    <row r="534">
      <c r="E534" s="46"/>
      <c r="F534" s="67"/>
      <c r="G534" s="67"/>
    </row>
    <row r="535">
      <c r="E535" s="46"/>
      <c r="F535" s="67"/>
      <c r="G535" s="67"/>
    </row>
    <row r="536">
      <c r="E536" s="46"/>
      <c r="F536" s="67"/>
      <c r="G536" s="67"/>
    </row>
    <row r="537">
      <c r="E537" s="46"/>
      <c r="F537" s="67"/>
      <c r="G537" s="67"/>
    </row>
    <row r="538">
      <c r="E538" s="46"/>
      <c r="F538" s="67"/>
      <c r="G538" s="67"/>
    </row>
    <row r="539">
      <c r="E539" s="46"/>
      <c r="F539" s="67"/>
      <c r="G539" s="67"/>
    </row>
    <row r="540">
      <c r="E540" s="46"/>
      <c r="F540" s="67"/>
      <c r="G540" s="67"/>
    </row>
    <row r="541">
      <c r="E541" s="46"/>
      <c r="F541" s="67"/>
      <c r="G541" s="67"/>
    </row>
    <row r="542">
      <c r="E542" s="46"/>
      <c r="F542" s="67"/>
      <c r="G542" s="67"/>
    </row>
    <row r="543">
      <c r="E543" s="46"/>
      <c r="F543" s="67"/>
      <c r="G543" s="67"/>
    </row>
    <row r="544">
      <c r="E544" s="46"/>
      <c r="F544" s="67"/>
      <c r="G544" s="67"/>
    </row>
    <row r="545">
      <c r="E545" s="46"/>
      <c r="F545" s="67"/>
      <c r="G545" s="67"/>
    </row>
    <row r="546">
      <c r="E546" s="46"/>
      <c r="F546" s="67"/>
      <c r="G546" s="67"/>
    </row>
    <row r="547">
      <c r="E547" s="46"/>
      <c r="F547" s="67"/>
      <c r="G547" s="67"/>
    </row>
    <row r="548">
      <c r="E548" s="46"/>
      <c r="F548" s="67"/>
      <c r="G548" s="67"/>
    </row>
    <row r="549">
      <c r="E549" s="46"/>
      <c r="F549" s="67"/>
      <c r="G549" s="67"/>
    </row>
    <row r="550">
      <c r="E550" s="46"/>
      <c r="F550" s="67"/>
      <c r="G550" s="67"/>
    </row>
    <row r="551">
      <c r="E551" s="46"/>
      <c r="F551" s="67"/>
      <c r="G551" s="67"/>
    </row>
    <row r="552">
      <c r="E552" s="46"/>
      <c r="F552" s="67"/>
      <c r="G552" s="67"/>
    </row>
    <row r="553">
      <c r="E553" s="46"/>
      <c r="F553" s="67"/>
      <c r="G553" s="67"/>
    </row>
    <row r="554">
      <c r="E554" s="46"/>
      <c r="F554" s="67"/>
      <c r="G554" s="67"/>
    </row>
    <row r="555">
      <c r="E555" s="46"/>
      <c r="F555" s="67"/>
      <c r="G555" s="67"/>
    </row>
    <row r="556">
      <c r="E556" s="46"/>
      <c r="F556" s="67"/>
      <c r="G556" s="67"/>
    </row>
    <row r="557">
      <c r="E557" s="46"/>
      <c r="F557" s="67"/>
      <c r="G557" s="67"/>
    </row>
    <row r="558">
      <c r="E558" s="46"/>
      <c r="F558" s="67"/>
      <c r="G558" s="67"/>
    </row>
    <row r="559">
      <c r="E559" s="46"/>
      <c r="F559" s="67"/>
      <c r="G559" s="67"/>
    </row>
    <row r="560">
      <c r="E560" s="46"/>
      <c r="F560" s="67"/>
      <c r="G560" s="67"/>
    </row>
    <row r="561">
      <c r="E561" s="46"/>
      <c r="F561" s="67"/>
      <c r="G561" s="67"/>
    </row>
    <row r="562">
      <c r="E562" s="46"/>
      <c r="F562" s="67"/>
      <c r="G562" s="67"/>
    </row>
    <row r="563">
      <c r="E563" s="46"/>
      <c r="F563" s="67"/>
      <c r="G563" s="67"/>
    </row>
    <row r="564">
      <c r="E564" s="46"/>
      <c r="F564" s="67"/>
      <c r="G564" s="67"/>
    </row>
    <row r="565">
      <c r="E565" s="46"/>
      <c r="F565" s="67"/>
      <c r="G565" s="67"/>
    </row>
    <row r="566">
      <c r="E566" s="46"/>
      <c r="F566" s="67"/>
      <c r="G566" s="67"/>
    </row>
    <row r="567">
      <c r="E567" s="46"/>
      <c r="F567" s="67"/>
      <c r="G567" s="67"/>
    </row>
    <row r="568">
      <c r="E568" s="46"/>
      <c r="F568" s="67"/>
      <c r="G568" s="67"/>
    </row>
    <row r="569">
      <c r="E569" s="46"/>
      <c r="F569" s="67"/>
      <c r="G569" s="67"/>
    </row>
    <row r="570">
      <c r="E570" s="46"/>
      <c r="F570" s="67"/>
      <c r="G570" s="67"/>
    </row>
    <row r="571">
      <c r="E571" s="46"/>
      <c r="F571" s="67"/>
      <c r="G571" s="67"/>
    </row>
    <row r="572">
      <c r="E572" s="46"/>
      <c r="F572" s="67"/>
      <c r="G572" s="67"/>
    </row>
    <row r="573">
      <c r="E573" s="46"/>
      <c r="F573" s="67"/>
      <c r="G573" s="67"/>
    </row>
    <row r="574">
      <c r="E574" s="46"/>
      <c r="F574" s="67"/>
      <c r="G574" s="67"/>
    </row>
    <row r="575">
      <c r="E575" s="46"/>
      <c r="F575" s="67"/>
      <c r="G575" s="67"/>
    </row>
    <row r="576">
      <c r="E576" s="46"/>
      <c r="F576" s="67"/>
      <c r="G576" s="67"/>
    </row>
    <row r="577">
      <c r="E577" s="46"/>
      <c r="F577" s="67"/>
      <c r="G577" s="67"/>
    </row>
    <row r="578">
      <c r="E578" s="46"/>
      <c r="F578" s="67"/>
      <c r="G578" s="67"/>
    </row>
    <row r="579">
      <c r="E579" s="46"/>
      <c r="F579" s="67"/>
      <c r="G579" s="67"/>
    </row>
    <row r="580">
      <c r="E580" s="46"/>
      <c r="F580" s="67"/>
      <c r="G580" s="67"/>
    </row>
    <row r="581">
      <c r="E581" s="46"/>
      <c r="F581" s="67"/>
      <c r="G581" s="67"/>
    </row>
    <row r="582">
      <c r="E582" s="46"/>
      <c r="F582" s="67"/>
      <c r="G582" s="67"/>
    </row>
    <row r="583">
      <c r="E583" s="46"/>
      <c r="F583" s="67"/>
      <c r="G583" s="67"/>
    </row>
    <row r="584">
      <c r="E584" s="46"/>
      <c r="F584" s="67"/>
      <c r="G584" s="67"/>
    </row>
    <row r="585">
      <c r="E585" s="46"/>
      <c r="F585" s="67"/>
      <c r="G585" s="67"/>
    </row>
    <row r="586">
      <c r="E586" s="46"/>
      <c r="F586" s="67"/>
      <c r="G586" s="67"/>
    </row>
    <row r="587">
      <c r="E587" s="46"/>
      <c r="F587" s="67"/>
      <c r="G587" s="67"/>
    </row>
    <row r="588">
      <c r="E588" s="46"/>
      <c r="F588" s="67"/>
      <c r="G588" s="67"/>
    </row>
    <row r="589">
      <c r="E589" s="46"/>
      <c r="F589" s="67"/>
      <c r="G589" s="67"/>
    </row>
    <row r="590">
      <c r="E590" s="46"/>
      <c r="F590" s="67"/>
      <c r="G590" s="67"/>
    </row>
    <row r="591">
      <c r="E591" s="46"/>
      <c r="F591" s="67"/>
      <c r="G591" s="67"/>
    </row>
    <row r="592">
      <c r="E592" s="46"/>
      <c r="F592" s="67"/>
      <c r="G592" s="67"/>
    </row>
    <row r="593">
      <c r="E593" s="46"/>
      <c r="F593" s="67"/>
      <c r="G593" s="67"/>
    </row>
    <row r="594">
      <c r="E594" s="46"/>
      <c r="F594" s="67"/>
      <c r="G594" s="67"/>
    </row>
    <row r="595">
      <c r="E595" s="46"/>
      <c r="F595" s="67"/>
      <c r="G595" s="67"/>
    </row>
    <row r="596">
      <c r="E596" s="46"/>
      <c r="F596" s="67"/>
      <c r="G596" s="67"/>
    </row>
    <row r="597">
      <c r="E597" s="46"/>
      <c r="F597" s="67"/>
      <c r="G597" s="67"/>
    </row>
    <row r="598">
      <c r="E598" s="46"/>
      <c r="F598" s="67"/>
      <c r="G598" s="67"/>
    </row>
    <row r="599">
      <c r="E599" s="46"/>
      <c r="F599" s="67"/>
      <c r="G599" s="67"/>
    </row>
    <row r="600">
      <c r="E600" s="46"/>
      <c r="F600" s="67"/>
      <c r="G600" s="67"/>
    </row>
    <row r="601">
      <c r="E601" s="46"/>
      <c r="F601" s="67"/>
      <c r="G601" s="67"/>
    </row>
    <row r="602">
      <c r="E602" s="46"/>
      <c r="F602" s="67"/>
      <c r="G602" s="67"/>
    </row>
    <row r="603">
      <c r="E603" s="46"/>
      <c r="F603" s="67"/>
      <c r="G603" s="67"/>
    </row>
    <row r="604">
      <c r="E604" s="46"/>
      <c r="F604" s="67"/>
      <c r="G604" s="67"/>
    </row>
    <row r="605">
      <c r="E605" s="46"/>
      <c r="F605" s="67"/>
      <c r="G605" s="67"/>
    </row>
    <row r="606">
      <c r="E606" s="46"/>
      <c r="F606" s="67"/>
      <c r="G606" s="67"/>
    </row>
    <row r="607">
      <c r="E607" s="46"/>
      <c r="F607" s="67"/>
      <c r="G607" s="67"/>
    </row>
    <row r="608">
      <c r="E608" s="46"/>
      <c r="F608" s="67"/>
      <c r="G608" s="67"/>
    </row>
    <row r="609">
      <c r="E609" s="46"/>
      <c r="F609" s="67"/>
      <c r="G609" s="67"/>
    </row>
    <row r="610">
      <c r="E610" s="46"/>
      <c r="F610" s="67"/>
      <c r="G610" s="67"/>
    </row>
    <row r="611">
      <c r="E611" s="46"/>
      <c r="F611" s="67"/>
      <c r="G611" s="67"/>
    </row>
    <row r="612">
      <c r="E612" s="46"/>
      <c r="F612" s="67"/>
      <c r="G612" s="67"/>
    </row>
    <row r="613">
      <c r="E613" s="46"/>
      <c r="F613" s="67"/>
      <c r="G613" s="67"/>
    </row>
    <row r="614">
      <c r="E614" s="46"/>
      <c r="F614" s="67"/>
      <c r="G614" s="67"/>
    </row>
    <row r="615">
      <c r="E615" s="46"/>
      <c r="F615" s="67"/>
      <c r="G615" s="67"/>
    </row>
    <row r="616">
      <c r="E616" s="46"/>
      <c r="F616" s="67"/>
      <c r="G616" s="67"/>
    </row>
    <row r="617">
      <c r="E617" s="46"/>
      <c r="F617" s="67"/>
      <c r="G617" s="67"/>
    </row>
    <row r="618">
      <c r="E618" s="46"/>
      <c r="F618" s="67"/>
      <c r="G618" s="67"/>
    </row>
    <row r="619">
      <c r="E619" s="46"/>
      <c r="F619" s="67"/>
      <c r="G619" s="67"/>
    </row>
    <row r="620">
      <c r="E620" s="46"/>
      <c r="F620" s="67"/>
      <c r="G620" s="67"/>
    </row>
    <row r="621">
      <c r="E621" s="46"/>
      <c r="F621" s="67"/>
      <c r="G621" s="67"/>
    </row>
    <row r="622">
      <c r="E622" s="46"/>
      <c r="F622" s="67"/>
      <c r="G622" s="67"/>
    </row>
    <row r="623">
      <c r="E623" s="46"/>
      <c r="F623" s="67"/>
      <c r="G623" s="67"/>
    </row>
    <row r="624">
      <c r="E624" s="46"/>
      <c r="F624" s="67"/>
      <c r="G624" s="67"/>
    </row>
    <row r="625">
      <c r="E625" s="46"/>
      <c r="F625" s="67"/>
      <c r="G625" s="67"/>
    </row>
    <row r="626">
      <c r="E626" s="46"/>
      <c r="F626" s="67"/>
      <c r="G626" s="67"/>
    </row>
    <row r="627">
      <c r="E627" s="46"/>
      <c r="F627" s="67"/>
      <c r="G627" s="67"/>
    </row>
    <row r="628">
      <c r="E628" s="46"/>
      <c r="F628" s="67"/>
      <c r="G628" s="67"/>
    </row>
    <row r="629">
      <c r="E629" s="46"/>
      <c r="F629" s="67"/>
      <c r="G629" s="67"/>
    </row>
    <row r="630">
      <c r="E630" s="46"/>
      <c r="F630" s="67"/>
      <c r="G630" s="67"/>
    </row>
    <row r="631">
      <c r="E631" s="46"/>
      <c r="F631" s="67"/>
      <c r="G631" s="67"/>
    </row>
    <row r="632">
      <c r="E632" s="46"/>
      <c r="F632" s="67"/>
      <c r="G632" s="67"/>
    </row>
    <row r="633">
      <c r="E633" s="46"/>
      <c r="F633" s="67"/>
      <c r="G633" s="67"/>
    </row>
    <row r="634">
      <c r="E634" s="46"/>
      <c r="F634" s="67"/>
      <c r="G634" s="67"/>
    </row>
    <row r="635">
      <c r="E635" s="46"/>
      <c r="F635" s="67"/>
      <c r="G635" s="67"/>
    </row>
    <row r="636">
      <c r="E636" s="46"/>
      <c r="F636" s="67"/>
      <c r="G636" s="67"/>
    </row>
    <row r="637">
      <c r="E637" s="46"/>
      <c r="F637" s="67"/>
      <c r="G637" s="67"/>
    </row>
    <row r="638">
      <c r="E638" s="46"/>
      <c r="F638" s="67"/>
      <c r="G638" s="67"/>
    </row>
    <row r="639">
      <c r="E639" s="46"/>
      <c r="F639" s="67"/>
      <c r="G639" s="67"/>
    </row>
    <row r="640">
      <c r="E640" s="46"/>
      <c r="F640" s="67"/>
      <c r="G640" s="67"/>
    </row>
    <row r="641">
      <c r="E641" s="46"/>
      <c r="F641" s="67"/>
      <c r="G641" s="67"/>
    </row>
    <row r="642">
      <c r="E642" s="46"/>
      <c r="F642" s="67"/>
      <c r="G642" s="67"/>
    </row>
    <row r="643">
      <c r="E643" s="46"/>
      <c r="F643" s="67"/>
      <c r="G643" s="67"/>
    </row>
    <row r="644">
      <c r="E644" s="46"/>
      <c r="F644" s="67"/>
      <c r="G644" s="67"/>
    </row>
    <row r="645">
      <c r="E645" s="46"/>
      <c r="F645" s="67"/>
      <c r="G645" s="67"/>
    </row>
    <row r="646">
      <c r="E646" s="46"/>
      <c r="F646" s="67"/>
      <c r="G646" s="67"/>
    </row>
    <row r="647">
      <c r="E647" s="46"/>
      <c r="F647" s="67"/>
      <c r="G647" s="67"/>
    </row>
    <row r="648">
      <c r="E648" s="46"/>
      <c r="F648" s="67"/>
      <c r="G648" s="67"/>
    </row>
    <row r="649">
      <c r="E649" s="46"/>
      <c r="F649" s="67"/>
      <c r="G649" s="67"/>
    </row>
    <row r="650">
      <c r="E650" s="46"/>
      <c r="F650" s="67"/>
      <c r="G650" s="67"/>
    </row>
    <row r="651">
      <c r="E651" s="46"/>
      <c r="F651" s="67"/>
      <c r="G651" s="67"/>
    </row>
    <row r="652">
      <c r="E652" s="46"/>
      <c r="F652" s="67"/>
      <c r="G652" s="67"/>
    </row>
    <row r="653">
      <c r="E653" s="46"/>
      <c r="F653" s="67"/>
      <c r="G653" s="67"/>
    </row>
    <row r="654">
      <c r="E654" s="46"/>
      <c r="F654" s="67"/>
      <c r="G654" s="67"/>
    </row>
    <row r="655">
      <c r="E655" s="46"/>
      <c r="F655" s="67"/>
      <c r="G655" s="67"/>
    </row>
    <row r="656">
      <c r="E656" s="46"/>
      <c r="F656" s="67"/>
      <c r="G656" s="67"/>
    </row>
    <row r="657">
      <c r="E657" s="46"/>
      <c r="F657" s="67"/>
      <c r="G657" s="67"/>
    </row>
    <row r="658">
      <c r="E658" s="46"/>
      <c r="F658" s="67"/>
      <c r="G658" s="67"/>
    </row>
    <row r="659">
      <c r="E659" s="46"/>
      <c r="F659" s="67"/>
      <c r="G659" s="67"/>
    </row>
    <row r="660">
      <c r="E660" s="46"/>
      <c r="F660" s="67"/>
      <c r="G660" s="67"/>
    </row>
    <row r="661">
      <c r="E661" s="46"/>
      <c r="F661" s="67"/>
      <c r="G661" s="67"/>
    </row>
    <row r="662">
      <c r="E662" s="46"/>
      <c r="F662" s="67"/>
      <c r="G662" s="67"/>
    </row>
    <row r="663">
      <c r="E663" s="46"/>
      <c r="F663" s="67"/>
      <c r="G663" s="67"/>
    </row>
    <row r="664">
      <c r="E664" s="46"/>
      <c r="F664" s="67"/>
      <c r="G664" s="67"/>
    </row>
    <row r="665">
      <c r="E665" s="46"/>
      <c r="F665" s="67"/>
      <c r="G665" s="67"/>
    </row>
    <row r="666">
      <c r="E666" s="46"/>
      <c r="F666" s="67"/>
      <c r="G666" s="67"/>
    </row>
    <row r="667">
      <c r="E667" s="46"/>
      <c r="F667" s="67"/>
      <c r="G667" s="67"/>
    </row>
    <row r="668">
      <c r="E668" s="46"/>
      <c r="F668" s="67"/>
      <c r="G668" s="67"/>
    </row>
    <row r="669">
      <c r="E669" s="46"/>
      <c r="F669" s="67"/>
      <c r="G669" s="67"/>
    </row>
    <row r="670">
      <c r="E670" s="46"/>
      <c r="F670" s="67"/>
      <c r="G670" s="67"/>
    </row>
    <row r="671">
      <c r="E671" s="46"/>
      <c r="F671" s="67"/>
      <c r="G671" s="67"/>
    </row>
    <row r="672">
      <c r="E672" s="46"/>
      <c r="F672" s="67"/>
      <c r="G672" s="67"/>
    </row>
    <row r="673">
      <c r="E673" s="46"/>
      <c r="F673" s="67"/>
      <c r="G673" s="67"/>
    </row>
    <row r="674">
      <c r="E674" s="46"/>
      <c r="F674" s="67"/>
      <c r="G674" s="67"/>
    </row>
    <row r="675">
      <c r="E675" s="46"/>
      <c r="F675" s="67"/>
      <c r="G675" s="67"/>
    </row>
    <row r="676">
      <c r="E676" s="46"/>
      <c r="F676" s="67"/>
      <c r="G676" s="67"/>
    </row>
    <row r="677">
      <c r="E677" s="46"/>
      <c r="F677" s="67"/>
      <c r="G677" s="67"/>
    </row>
    <row r="678">
      <c r="E678" s="46"/>
      <c r="F678" s="67"/>
      <c r="G678" s="67"/>
    </row>
    <row r="679">
      <c r="E679" s="46"/>
      <c r="F679" s="67"/>
      <c r="G679" s="67"/>
    </row>
    <row r="680">
      <c r="E680" s="46"/>
      <c r="F680" s="67"/>
      <c r="G680" s="67"/>
    </row>
    <row r="681">
      <c r="E681" s="46"/>
      <c r="F681" s="67"/>
      <c r="G681" s="67"/>
    </row>
    <row r="682">
      <c r="E682" s="46"/>
      <c r="F682" s="67"/>
      <c r="G682" s="67"/>
    </row>
    <row r="683">
      <c r="E683" s="46"/>
      <c r="F683" s="67"/>
      <c r="G683" s="67"/>
    </row>
    <row r="684">
      <c r="E684" s="46"/>
      <c r="F684" s="67"/>
      <c r="G684" s="67"/>
    </row>
    <row r="685">
      <c r="E685" s="46"/>
      <c r="F685" s="67"/>
      <c r="G685" s="67"/>
    </row>
    <row r="686">
      <c r="E686" s="46"/>
      <c r="F686" s="67"/>
      <c r="G686" s="67"/>
    </row>
    <row r="687">
      <c r="E687" s="46"/>
      <c r="F687" s="67"/>
      <c r="G687" s="67"/>
    </row>
    <row r="688">
      <c r="E688" s="46"/>
      <c r="F688" s="67"/>
      <c r="G688" s="67"/>
    </row>
    <row r="689">
      <c r="E689" s="46"/>
      <c r="F689" s="67"/>
      <c r="G689" s="67"/>
    </row>
    <row r="690">
      <c r="E690" s="46"/>
      <c r="F690" s="67"/>
      <c r="G690" s="67"/>
    </row>
    <row r="691">
      <c r="E691" s="46"/>
      <c r="F691" s="67"/>
      <c r="G691" s="67"/>
    </row>
    <row r="692">
      <c r="E692" s="46"/>
      <c r="F692" s="67"/>
      <c r="G692" s="67"/>
    </row>
    <row r="693">
      <c r="E693" s="46"/>
      <c r="F693" s="67"/>
      <c r="G693" s="67"/>
    </row>
    <row r="694">
      <c r="E694" s="46"/>
      <c r="F694" s="67"/>
      <c r="G694" s="67"/>
    </row>
    <row r="695">
      <c r="E695" s="46"/>
      <c r="F695" s="67"/>
      <c r="G695" s="67"/>
    </row>
    <row r="696">
      <c r="E696" s="46"/>
      <c r="F696" s="67"/>
      <c r="G696" s="67"/>
    </row>
    <row r="697">
      <c r="E697" s="46"/>
      <c r="F697" s="67"/>
      <c r="G697" s="67"/>
    </row>
    <row r="698">
      <c r="E698" s="46"/>
      <c r="F698" s="67"/>
      <c r="G698" s="67"/>
    </row>
    <row r="699">
      <c r="E699" s="46"/>
      <c r="F699" s="67"/>
      <c r="G699" s="67"/>
    </row>
    <row r="700">
      <c r="E700" s="46"/>
      <c r="F700" s="67"/>
      <c r="G700" s="67"/>
    </row>
    <row r="701">
      <c r="E701" s="46"/>
      <c r="F701" s="67"/>
      <c r="G701" s="67"/>
    </row>
    <row r="702">
      <c r="E702" s="46"/>
      <c r="F702" s="67"/>
      <c r="G702" s="67"/>
    </row>
    <row r="703">
      <c r="E703" s="46"/>
      <c r="F703" s="67"/>
      <c r="G703" s="67"/>
    </row>
    <row r="704">
      <c r="E704" s="46"/>
      <c r="F704" s="67"/>
      <c r="G704" s="67"/>
    </row>
    <row r="705">
      <c r="E705" s="46"/>
      <c r="F705" s="67"/>
      <c r="G705" s="67"/>
    </row>
    <row r="706">
      <c r="E706" s="46"/>
      <c r="F706" s="67"/>
      <c r="G706" s="67"/>
    </row>
    <row r="707">
      <c r="E707" s="46"/>
      <c r="F707" s="67"/>
      <c r="G707" s="67"/>
    </row>
    <row r="708">
      <c r="E708" s="46"/>
      <c r="F708" s="67"/>
      <c r="G708" s="67"/>
    </row>
    <row r="709">
      <c r="E709" s="46"/>
      <c r="F709" s="67"/>
      <c r="G709" s="67"/>
    </row>
    <row r="710">
      <c r="E710" s="46"/>
      <c r="F710" s="67"/>
      <c r="G710" s="67"/>
    </row>
    <row r="711">
      <c r="E711" s="46"/>
      <c r="F711" s="67"/>
      <c r="G711" s="67"/>
    </row>
    <row r="712">
      <c r="E712" s="46"/>
      <c r="F712" s="67"/>
      <c r="G712" s="67"/>
    </row>
    <row r="713">
      <c r="E713" s="46"/>
      <c r="F713" s="67"/>
      <c r="G713" s="67"/>
    </row>
    <row r="714">
      <c r="E714" s="46"/>
      <c r="F714" s="67"/>
      <c r="G714" s="67"/>
    </row>
    <row r="715">
      <c r="E715" s="46"/>
      <c r="F715" s="67"/>
      <c r="G715" s="67"/>
    </row>
    <row r="716">
      <c r="E716" s="46"/>
      <c r="F716" s="67"/>
      <c r="G716" s="67"/>
    </row>
    <row r="717">
      <c r="E717" s="46"/>
      <c r="F717" s="67"/>
      <c r="G717" s="67"/>
    </row>
    <row r="718">
      <c r="E718" s="46"/>
      <c r="F718" s="67"/>
      <c r="G718" s="67"/>
    </row>
    <row r="719">
      <c r="E719" s="46"/>
      <c r="F719" s="67"/>
      <c r="G719" s="67"/>
    </row>
    <row r="720">
      <c r="E720" s="46"/>
      <c r="F720" s="67"/>
      <c r="G720" s="67"/>
    </row>
    <row r="721">
      <c r="E721" s="46"/>
      <c r="F721" s="67"/>
      <c r="G721" s="67"/>
    </row>
    <row r="722">
      <c r="E722" s="46"/>
      <c r="F722" s="67"/>
      <c r="G722" s="67"/>
    </row>
    <row r="723">
      <c r="E723" s="46"/>
      <c r="F723" s="67"/>
      <c r="G723" s="67"/>
    </row>
    <row r="724">
      <c r="E724" s="46"/>
      <c r="F724" s="67"/>
      <c r="G724" s="67"/>
    </row>
    <row r="725">
      <c r="E725" s="46"/>
      <c r="F725" s="67"/>
      <c r="G725" s="67"/>
    </row>
    <row r="726">
      <c r="E726" s="46"/>
      <c r="F726" s="67"/>
      <c r="G726" s="67"/>
    </row>
    <row r="727">
      <c r="E727" s="46"/>
      <c r="F727" s="67"/>
      <c r="G727" s="67"/>
    </row>
    <row r="728">
      <c r="E728" s="46"/>
      <c r="F728" s="67"/>
      <c r="G728" s="67"/>
    </row>
    <row r="729">
      <c r="E729" s="46"/>
      <c r="F729" s="67"/>
      <c r="G729" s="67"/>
    </row>
    <row r="730">
      <c r="E730" s="46"/>
      <c r="F730" s="67"/>
      <c r="G730" s="67"/>
    </row>
    <row r="731">
      <c r="E731" s="46"/>
      <c r="F731" s="67"/>
      <c r="G731" s="67"/>
    </row>
    <row r="732">
      <c r="E732" s="46"/>
      <c r="F732" s="67"/>
      <c r="G732" s="67"/>
    </row>
    <row r="733">
      <c r="E733" s="46"/>
      <c r="F733" s="67"/>
      <c r="G733" s="67"/>
    </row>
    <row r="734">
      <c r="E734" s="46"/>
      <c r="F734" s="67"/>
      <c r="G734" s="67"/>
    </row>
    <row r="735">
      <c r="E735" s="46"/>
      <c r="F735" s="67"/>
      <c r="G735" s="67"/>
    </row>
    <row r="736">
      <c r="E736" s="46"/>
      <c r="F736" s="67"/>
      <c r="G736" s="67"/>
    </row>
    <row r="737">
      <c r="E737" s="46"/>
      <c r="F737" s="67"/>
      <c r="G737" s="67"/>
    </row>
    <row r="738">
      <c r="E738" s="46"/>
      <c r="F738" s="67"/>
      <c r="G738" s="67"/>
    </row>
    <row r="739">
      <c r="E739" s="46"/>
      <c r="F739" s="67"/>
      <c r="G739" s="67"/>
    </row>
    <row r="740">
      <c r="E740" s="46"/>
      <c r="F740" s="67"/>
      <c r="G740" s="67"/>
    </row>
    <row r="741">
      <c r="E741" s="46"/>
      <c r="F741" s="67"/>
      <c r="G741" s="67"/>
    </row>
    <row r="742">
      <c r="E742" s="46"/>
      <c r="F742" s="67"/>
      <c r="G742" s="67"/>
    </row>
    <row r="743">
      <c r="E743" s="46"/>
      <c r="F743" s="67"/>
      <c r="G743" s="67"/>
    </row>
    <row r="744">
      <c r="E744" s="46"/>
      <c r="F744" s="67"/>
      <c r="G744" s="67"/>
    </row>
    <row r="745">
      <c r="E745" s="46"/>
      <c r="F745" s="67"/>
      <c r="G745" s="67"/>
    </row>
    <row r="746">
      <c r="E746" s="46"/>
      <c r="F746" s="67"/>
      <c r="G746" s="67"/>
    </row>
    <row r="747">
      <c r="E747" s="46"/>
      <c r="F747" s="67"/>
      <c r="G747" s="67"/>
    </row>
    <row r="748">
      <c r="E748" s="46"/>
      <c r="F748" s="67"/>
      <c r="G748" s="67"/>
    </row>
    <row r="749">
      <c r="E749" s="46"/>
      <c r="F749" s="67"/>
      <c r="G749" s="67"/>
    </row>
    <row r="750">
      <c r="E750" s="46"/>
      <c r="F750" s="67"/>
      <c r="G750" s="67"/>
    </row>
    <row r="751">
      <c r="E751" s="46"/>
      <c r="F751" s="67"/>
      <c r="G751" s="67"/>
    </row>
    <row r="752">
      <c r="E752" s="46"/>
      <c r="F752" s="67"/>
      <c r="G752" s="67"/>
    </row>
    <row r="753">
      <c r="E753" s="46"/>
      <c r="F753" s="67"/>
      <c r="G753" s="67"/>
    </row>
    <row r="754">
      <c r="E754" s="46"/>
      <c r="F754" s="67"/>
      <c r="G754" s="67"/>
    </row>
    <row r="755">
      <c r="E755" s="46"/>
      <c r="F755" s="67"/>
      <c r="G755" s="67"/>
    </row>
    <row r="756">
      <c r="E756" s="46"/>
      <c r="F756" s="67"/>
      <c r="G756" s="67"/>
    </row>
    <row r="757">
      <c r="E757" s="46"/>
      <c r="F757" s="67"/>
      <c r="G757" s="67"/>
    </row>
    <row r="758">
      <c r="E758" s="46"/>
      <c r="F758" s="67"/>
      <c r="G758" s="67"/>
    </row>
    <row r="759">
      <c r="E759" s="46"/>
      <c r="F759" s="67"/>
      <c r="G759" s="67"/>
    </row>
    <row r="760">
      <c r="E760" s="46"/>
      <c r="F760" s="67"/>
      <c r="G760" s="67"/>
    </row>
    <row r="761">
      <c r="E761" s="46"/>
      <c r="F761" s="67"/>
      <c r="G761" s="67"/>
    </row>
    <row r="762">
      <c r="E762" s="46"/>
      <c r="F762" s="67"/>
      <c r="G762" s="67"/>
    </row>
    <row r="763">
      <c r="E763" s="46"/>
      <c r="F763" s="67"/>
      <c r="G763" s="67"/>
    </row>
    <row r="764">
      <c r="E764" s="46"/>
      <c r="F764" s="67"/>
      <c r="G764" s="67"/>
    </row>
    <row r="765">
      <c r="E765" s="46"/>
      <c r="F765" s="67"/>
      <c r="G765" s="67"/>
    </row>
    <row r="766">
      <c r="E766" s="46"/>
      <c r="F766" s="67"/>
      <c r="G766" s="67"/>
    </row>
    <row r="767">
      <c r="E767" s="46"/>
      <c r="F767" s="67"/>
      <c r="G767" s="67"/>
    </row>
    <row r="768">
      <c r="E768" s="46"/>
      <c r="F768" s="67"/>
      <c r="G768" s="67"/>
    </row>
    <row r="769">
      <c r="E769" s="46"/>
      <c r="F769" s="67"/>
      <c r="G769" s="67"/>
    </row>
    <row r="770">
      <c r="E770" s="46"/>
      <c r="F770" s="67"/>
      <c r="G770" s="67"/>
    </row>
    <row r="771">
      <c r="E771" s="46"/>
      <c r="F771" s="67"/>
      <c r="G771" s="67"/>
    </row>
    <row r="772">
      <c r="E772" s="46"/>
      <c r="F772" s="67"/>
      <c r="G772" s="67"/>
    </row>
    <row r="773">
      <c r="E773" s="46"/>
      <c r="F773" s="67"/>
      <c r="G773" s="67"/>
    </row>
    <row r="774">
      <c r="E774" s="46"/>
      <c r="F774" s="67"/>
      <c r="G774" s="67"/>
    </row>
    <row r="775">
      <c r="E775" s="46"/>
      <c r="F775" s="67"/>
      <c r="G775" s="67"/>
    </row>
    <row r="776">
      <c r="E776" s="46"/>
      <c r="F776" s="67"/>
      <c r="G776" s="67"/>
    </row>
    <row r="777">
      <c r="E777" s="46"/>
      <c r="F777" s="67"/>
      <c r="G777" s="67"/>
    </row>
    <row r="778">
      <c r="E778" s="46"/>
      <c r="F778" s="67"/>
      <c r="G778" s="67"/>
    </row>
    <row r="779">
      <c r="E779" s="46"/>
      <c r="F779" s="67"/>
      <c r="G779" s="67"/>
    </row>
    <row r="780">
      <c r="E780" s="46"/>
      <c r="F780" s="67"/>
      <c r="G780" s="67"/>
    </row>
    <row r="781">
      <c r="E781" s="46"/>
      <c r="F781" s="67"/>
      <c r="G781" s="67"/>
    </row>
    <row r="782">
      <c r="E782" s="46"/>
      <c r="F782" s="67"/>
      <c r="G782" s="67"/>
    </row>
    <row r="783">
      <c r="E783" s="46"/>
      <c r="F783" s="67"/>
      <c r="G783" s="67"/>
    </row>
    <row r="784">
      <c r="E784" s="46"/>
      <c r="F784" s="67"/>
      <c r="G784" s="67"/>
    </row>
    <row r="785">
      <c r="E785" s="46"/>
      <c r="F785" s="67"/>
      <c r="G785" s="67"/>
    </row>
    <row r="786">
      <c r="E786" s="46"/>
      <c r="F786" s="67"/>
      <c r="G786" s="67"/>
    </row>
    <row r="787">
      <c r="E787" s="46"/>
      <c r="F787" s="67"/>
      <c r="G787" s="67"/>
    </row>
    <row r="788">
      <c r="E788" s="46"/>
      <c r="F788" s="67"/>
      <c r="G788" s="67"/>
    </row>
    <row r="789">
      <c r="E789" s="46"/>
      <c r="F789" s="67"/>
      <c r="G789" s="67"/>
    </row>
    <row r="790">
      <c r="E790" s="46"/>
      <c r="F790" s="67"/>
      <c r="G790" s="67"/>
    </row>
    <row r="791">
      <c r="E791" s="46"/>
      <c r="F791" s="67"/>
      <c r="G791" s="67"/>
    </row>
    <row r="792">
      <c r="E792" s="46"/>
      <c r="F792" s="67"/>
      <c r="G792" s="67"/>
    </row>
    <row r="793">
      <c r="E793" s="46"/>
      <c r="F793" s="67"/>
      <c r="G793" s="67"/>
    </row>
    <row r="794">
      <c r="E794" s="46"/>
      <c r="F794" s="67"/>
      <c r="G794" s="67"/>
    </row>
    <row r="795">
      <c r="E795" s="46"/>
      <c r="F795" s="67"/>
      <c r="G795" s="67"/>
    </row>
    <row r="796">
      <c r="E796" s="46"/>
      <c r="F796" s="67"/>
      <c r="G796" s="67"/>
    </row>
    <row r="797">
      <c r="E797" s="46"/>
      <c r="F797" s="67"/>
      <c r="G797" s="67"/>
    </row>
    <row r="798">
      <c r="E798" s="46"/>
      <c r="F798" s="67"/>
      <c r="G798" s="67"/>
    </row>
    <row r="799">
      <c r="E799" s="46"/>
      <c r="F799" s="67"/>
      <c r="G799" s="67"/>
    </row>
    <row r="800">
      <c r="E800" s="46"/>
      <c r="F800" s="67"/>
      <c r="G800" s="67"/>
    </row>
    <row r="801">
      <c r="E801" s="46"/>
      <c r="F801" s="67"/>
      <c r="G801" s="67"/>
    </row>
    <row r="802">
      <c r="E802" s="46"/>
      <c r="F802" s="67"/>
      <c r="G802" s="67"/>
    </row>
    <row r="803">
      <c r="E803" s="46"/>
      <c r="F803" s="67"/>
      <c r="G803" s="67"/>
    </row>
    <row r="804">
      <c r="E804" s="46"/>
      <c r="F804" s="67"/>
      <c r="G804" s="67"/>
    </row>
    <row r="805">
      <c r="E805" s="46"/>
      <c r="F805" s="67"/>
      <c r="G805" s="67"/>
    </row>
    <row r="806">
      <c r="E806" s="46"/>
      <c r="F806" s="67"/>
      <c r="G806" s="67"/>
    </row>
    <row r="807">
      <c r="E807" s="46"/>
      <c r="F807" s="67"/>
      <c r="G807" s="67"/>
    </row>
    <row r="808">
      <c r="E808" s="46"/>
      <c r="F808" s="67"/>
      <c r="G808" s="67"/>
    </row>
    <row r="809">
      <c r="E809" s="46"/>
      <c r="F809" s="67"/>
      <c r="G809" s="67"/>
    </row>
    <row r="810">
      <c r="E810" s="46"/>
      <c r="F810" s="67"/>
      <c r="G810" s="67"/>
    </row>
    <row r="811">
      <c r="E811" s="46"/>
      <c r="F811" s="67"/>
      <c r="G811" s="67"/>
    </row>
    <row r="812">
      <c r="E812" s="46"/>
      <c r="F812" s="67"/>
      <c r="G812" s="67"/>
    </row>
    <row r="813">
      <c r="E813" s="46"/>
      <c r="F813" s="67"/>
      <c r="G813" s="67"/>
    </row>
    <row r="814">
      <c r="E814" s="46"/>
      <c r="F814" s="67"/>
      <c r="G814" s="67"/>
    </row>
    <row r="815">
      <c r="E815" s="46"/>
      <c r="F815" s="67"/>
      <c r="G815" s="67"/>
    </row>
    <row r="816">
      <c r="E816" s="46"/>
      <c r="F816" s="67"/>
      <c r="G816" s="67"/>
    </row>
    <row r="817">
      <c r="E817" s="46"/>
      <c r="F817" s="67"/>
      <c r="G817" s="67"/>
    </row>
    <row r="818">
      <c r="E818" s="46"/>
      <c r="F818" s="67"/>
      <c r="G818" s="67"/>
    </row>
    <row r="819">
      <c r="E819" s="46"/>
      <c r="F819" s="67"/>
      <c r="G819" s="67"/>
    </row>
    <row r="820">
      <c r="E820" s="46"/>
      <c r="F820" s="67"/>
      <c r="G820" s="67"/>
    </row>
    <row r="821">
      <c r="E821" s="46"/>
      <c r="F821" s="67"/>
      <c r="G821" s="67"/>
    </row>
    <row r="822">
      <c r="E822" s="46"/>
      <c r="F822" s="67"/>
      <c r="G822" s="67"/>
    </row>
    <row r="823">
      <c r="E823" s="46"/>
      <c r="F823" s="67"/>
      <c r="G823" s="67"/>
    </row>
    <row r="824">
      <c r="E824" s="46"/>
      <c r="F824" s="67"/>
      <c r="G824" s="67"/>
    </row>
    <row r="825">
      <c r="E825" s="46"/>
      <c r="F825" s="67"/>
      <c r="G825" s="67"/>
    </row>
    <row r="826">
      <c r="E826" s="46"/>
      <c r="F826" s="67"/>
      <c r="G826" s="67"/>
    </row>
    <row r="827">
      <c r="E827" s="46"/>
      <c r="F827" s="67"/>
      <c r="G827" s="67"/>
    </row>
    <row r="828">
      <c r="E828" s="46"/>
      <c r="F828" s="67"/>
      <c r="G828" s="67"/>
    </row>
    <row r="829">
      <c r="E829" s="46"/>
      <c r="F829" s="67"/>
      <c r="G829" s="67"/>
    </row>
    <row r="830">
      <c r="E830" s="46"/>
      <c r="F830" s="67"/>
      <c r="G830" s="67"/>
    </row>
    <row r="831">
      <c r="E831" s="46"/>
      <c r="F831" s="67"/>
      <c r="G831" s="67"/>
    </row>
    <row r="832">
      <c r="E832" s="46"/>
      <c r="F832" s="67"/>
      <c r="G832" s="67"/>
    </row>
    <row r="833">
      <c r="E833" s="46"/>
      <c r="F833" s="67"/>
      <c r="G833" s="67"/>
    </row>
    <row r="834">
      <c r="E834" s="46"/>
      <c r="F834" s="67"/>
      <c r="G834" s="67"/>
    </row>
    <row r="835">
      <c r="E835" s="46"/>
      <c r="F835" s="67"/>
      <c r="G835" s="67"/>
    </row>
    <row r="836">
      <c r="E836" s="46"/>
      <c r="F836" s="67"/>
      <c r="G836" s="67"/>
    </row>
    <row r="837">
      <c r="E837" s="46"/>
      <c r="F837" s="67"/>
      <c r="G837" s="67"/>
    </row>
    <row r="838">
      <c r="E838" s="46"/>
      <c r="F838" s="67"/>
      <c r="G838" s="67"/>
    </row>
    <row r="839">
      <c r="E839" s="46"/>
      <c r="F839" s="67"/>
      <c r="G839" s="67"/>
    </row>
    <row r="840">
      <c r="E840" s="46"/>
      <c r="F840" s="67"/>
      <c r="G840" s="67"/>
    </row>
    <row r="841">
      <c r="E841" s="46"/>
      <c r="F841" s="67"/>
      <c r="G841" s="67"/>
    </row>
    <row r="842">
      <c r="E842" s="46"/>
      <c r="F842" s="67"/>
      <c r="G842" s="67"/>
    </row>
    <row r="843">
      <c r="E843" s="46"/>
      <c r="F843" s="67"/>
      <c r="G843" s="67"/>
    </row>
    <row r="844">
      <c r="E844" s="46"/>
      <c r="F844" s="67"/>
      <c r="G844" s="67"/>
    </row>
    <row r="845">
      <c r="E845" s="46"/>
      <c r="F845" s="67"/>
      <c r="G845" s="67"/>
    </row>
    <row r="846">
      <c r="E846" s="46"/>
      <c r="F846" s="67"/>
      <c r="G846" s="67"/>
    </row>
    <row r="847">
      <c r="E847" s="46"/>
      <c r="F847" s="67"/>
      <c r="G847" s="67"/>
    </row>
    <row r="848">
      <c r="E848" s="46"/>
      <c r="F848" s="67"/>
      <c r="G848" s="67"/>
    </row>
    <row r="849">
      <c r="E849" s="46"/>
      <c r="F849" s="67"/>
      <c r="G849" s="67"/>
    </row>
    <row r="850">
      <c r="E850" s="46"/>
      <c r="F850" s="67"/>
      <c r="G850" s="67"/>
    </row>
    <row r="851">
      <c r="E851" s="46"/>
      <c r="F851" s="67"/>
      <c r="G851" s="67"/>
    </row>
    <row r="852">
      <c r="E852" s="46"/>
      <c r="F852" s="67"/>
      <c r="G852" s="67"/>
    </row>
    <row r="853">
      <c r="E853" s="46"/>
      <c r="F853" s="67"/>
      <c r="G853" s="67"/>
    </row>
    <row r="854">
      <c r="E854" s="46"/>
      <c r="F854" s="67"/>
      <c r="G854" s="67"/>
    </row>
    <row r="855">
      <c r="E855" s="46"/>
      <c r="F855" s="67"/>
      <c r="G855" s="67"/>
    </row>
    <row r="856">
      <c r="E856" s="46"/>
      <c r="F856" s="67"/>
      <c r="G856" s="67"/>
    </row>
    <row r="857">
      <c r="E857" s="46"/>
      <c r="F857" s="67"/>
      <c r="G857" s="67"/>
    </row>
    <row r="858">
      <c r="E858" s="46"/>
      <c r="F858" s="67"/>
      <c r="G858" s="67"/>
    </row>
    <row r="859">
      <c r="E859" s="46"/>
      <c r="F859" s="67"/>
      <c r="G859" s="67"/>
    </row>
    <row r="860">
      <c r="E860" s="46"/>
      <c r="F860" s="67"/>
      <c r="G860" s="67"/>
    </row>
    <row r="861">
      <c r="E861" s="46"/>
      <c r="F861" s="67"/>
      <c r="G861" s="67"/>
    </row>
    <row r="862">
      <c r="E862" s="46"/>
      <c r="F862" s="67"/>
      <c r="G862" s="67"/>
    </row>
    <row r="863">
      <c r="E863" s="46"/>
      <c r="F863" s="67"/>
      <c r="G863" s="67"/>
    </row>
    <row r="864">
      <c r="E864" s="46"/>
      <c r="F864" s="67"/>
      <c r="G864" s="67"/>
    </row>
    <row r="865">
      <c r="E865" s="46"/>
      <c r="F865" s="67"/>
      <c r="G865" s="67"/>
    </row>
    <row r="866">
      <c r="E866" s="46"/>
      <c r="F866" s="67"/>
      <c r="G866" s="67"/>
    </row>
    <row r="867">
      <c r="E867" s="46"/>
      <c r="F867" s="67"/>
      <c r="G867" s="67"/>
    </row>
    <row r="868">
      <c r="E868" s="46"/>
      <c r="F868" s="67"/>
      <c r="G868" s="67"/>
    </row>
    <row r="869">
      <c r="E869" s="46"/>
      <c r="F869" s="67"/>
      <c r="G869" s="67"/>
    </row>
    <row r="870">
      <c r="E870" s="46"/>
      <c r="F870" s="67"/>
      <c r="G870" s="67"/>
    </row>
    <row r="871">
      <c r="E871" s="46"/>
      <c r="F871" s="67"/>
      <c r="G871" s="67"/>
    </row>
    <row r="872">
      <c r="E872" s="46"/>
      <c r="F872" s="67"/>
      <c r="G872" s="67"/>
    </row>
    <row r="873">
      <c r="E873" s="46"/>
      <c r="F873" s="67"/>
      <c r="G873" s="67"/>
    </row>
    <row r="874">
      <c r="E874" s="46"/>
      <c r="F874" s="67"/>
      <c r="G874" s="67"/>
    </row>
    <row r="875">
      <c r="E875" s="46"/>
      <c r="F875" s="67"/>
      <c r="G875" s="67"/>
    </row>
    <row r="876">
      <c r="E876" s="46"/>
      <c r="F876" s="67"/>
      <c r="G876" s="67"/>
    </row>
    <row r="877">
      <c r="E877" s="46"/>
      <c r="F877" s="67"/>
      <c r="G877" s="67"/>
    </row>
    <row r="878">
      <c r="E878" s="46"/>
      <c r="F878" s="67"/>
      <c r="G878" s="67"/>
    </row>
    <row r="879">
      <c r="E879" s="46"/>
      <c r="F879" s="67"/>
      <c r="G879" s="67"/>
    </row>
    <row r="880">
      <c r="E880" s="46"/>
      <c r="F880" s="67"/>
      <c r="G880" s="67"/>
    </row>
    <row r="881">
      <c r="E881" s="46"/>
      <c r="F881" s="67"/>
      <c r="G881" s="67"/>
    </row>
    <row r="882">
      <c r="E882" s="46"/>
      <c r="F882" s="67"/>
      <c r="G882" s="67"/>
    </row>
    <row r="883">
      <c r="E883" s="46"/>
      <c r="F883" s="67"/>
      <c r="G883" s="67"/>
    </row>
    <row r="884">
      <c r="E884" s="46"/>
      <c r="F884" s="67"/>
      <c r="G884" s="67"/>
    </row>
    <row r="885">
      <c r="E885" s="46"/>
      <c r="F885" s="67"/>
      <c r="G885" s="67"/>
    </row>
    <row r="886">
      <c r="E886" s="46"/>
      <c r="F886" s="67"/>
      <c r="G886" s="67"/>
    </row>
    <row r="887">
      <c r="E887" s="46"/>
      <c r="F887" s="67"/>
      <c r="G887" s="67"/>
    </row>
    <row r="888">
      <c r="E888" s="46"/>
      <c r="F888" s="67"/>
      <c r="G888" s="67"/>
    </row>
    <row r="889">
      <c r="E889" s="46"/>
      <c r="F889" s="67"/>
      <c r="G889" s="67"/>
    </row>
    <row r="890">
      <c r="E890" s="46"/>
      <c r="F890" s="67"/>
      <c r="G890" s="67"/>
    </row>
    <row r="891">
      <c r="E891" s="46"/>
      <c r="F891" s="67"/>
      <c r="G891" s="67"/>
    </row>
    <row r="892">
      <c r="E892" s="46"/>
      <c r="F892" s="67"/>
      <c r="G892" s="67"/>
    </row>
    <row r="893">
      <c r="E893" s="46"/>
      <c r="F893" s="67"/>
      <c r="G893" s="67"/>
    </row>
    <row r="894">
      <c r="E894" s="46"/>
      <c r="F894" s="67"/>
      <c r="G894" s="67"/>
    </row>
    <row r="895">
      <c r="E895" s="46"/>
      <c r="F895" s="67"/>
      <c r="G895" s="67"/>
    </row>
    <row r="896">
      <c r="E896" s="46"/>
      <c r="F896" s="67"/>
      <c r="G896" s="67"/>
    </row>
    <row r="897">
      <c r="E897" s="46"/>
      <c r="F897" s="67"/>
      <c r="G897" s="67"/>
    </row>
    <row r="898">
      <c r="E898" s="46"/>
      <c r="F898" s="67"/>
      <c r="G898" s="67"/>
    </row>
    <row r="899">
      <c r="E899" s="46"/>
      <c r="F899" s="67"/>
      <c r="G899" s="67"/>
    </row>
    <row r="900">
      <c r="E900" s="46"/>
      <c r="F900" s="67"/>
      <c r="G900" s="67"/>
    </row>
    <row r="901">
      <c r="E901" s="46"/>
      <c r="F901" s="67"/>
      <c r="G901" s="67"/>
    </row>
    <row r="902">
      <c r="E902" s="46"/>
      <c r="F902" s="67"/>
      <c r="G902" s="67"/>
    </row>
    <row r="903">
      <c r="E903" s="46"/>
      <c r="F903" s="67"/>
      <c r="G903" s="67"/>
    </row>
    <row r="904">
      <c r="E904" s="46"/>
      <c r="F904" s="67"/>
      <c r="G904" s="67"/>
    </row>
    <row r="905">
      <c r="E905" s="46"/>
      <c r="F905" s="67"/>
      <c r="G905" s="67"/>
    </row>
    <row r="906">
      <c r="E906" s="46"/>
      <c r="F906" s="67"/>
      <c r="G906" s="67"/>
    </row>
    <row r="907">
      <c r="E907" s="46"/>
      <c r="F907" s="67"/>
      <c r="G907" s="67"/>
    </row>
    <row r="908">
      <c r="E908" s="46"/>
      <c r="F908" s="67"/>
      <c r="G908" s="67"/>
    </row>
    <row r="909">
      <c r="E909" s="46"/>
      <c r="F909" s="67"/>
      <c r="G909" s="67"/>
    </row>
    <row r="910">
      <c r="E910" s="46"/>
      <c r="F910" s="67"/>
      <c r="G910" s="67"/>
    </row>
    <row r="911">
      <c r="E911" s="46"/>
      <c r="F911" s="67"/>
      <c r="G911" s="67"/>
    </row>
    <row r="912">
      <c r="E912" s="46"/>
      <c r="F912" s="67"/>
      <c r="G912" s="67"/>
    </row>
    <row r="913">
      <c r="E913" s="46"/>
      <c r="F913" s="67"/>
      <c r="G913" s="67"/>
    </row>
    <row r="914">
      <c r="E914" s="46"/>
      <c r="F914" s="67"/>
      <c r="G914" s="67"/>
    </row>
    <row r="915">
      <c r="E915" s="46"/>
      <c r="F915" s="67"/>
      <c r="G915" s="67"/>
    </row>
    <row r="916">
      <c r="E916" s="46"/>
      <c r="F916" s="67"/>
      <c r="G916" s="67"/>
    </row>
    <row r="917">
      <c r="E917" s="46"/>
      <c r="F917" s="67"/>
      <c r="G917" s="67"/>
    </row>
    <row r="918">
      <c r="E918" s="46"/>
      <c r="F918" s="67"/>
      <c r="G918" s="67"/>
    </row>
    <row r="919">
      <c r="E919" s="46"/>
      <c r="F919" s="67"/>
      <c r="G919" s="67"/>
    </row>
    <row r="920">
      <c r="E920" s="46"/>
      <c r="F920" s="67"/>
      <c r="G920" s="67"/>
    </row>
    <row r="921">
      <c r="E921" s="46"/>
      <c r="F921" s="67"/>
      <c r="G921" s="67"/>
    </row>
    <row r="922">
      <c r="E922" s="46"/>
      <c r="F922" s="67"/>
      <c r="G922" s="67"/>
    </row>
    <row r="923">
      <c r="E923" s="46"/>
      <c r="F923" s="67"/>
      <c r="G923" s="67"/>
    </row>
    <row r="924">
      <c r="E924" s="46"/>
      <c r="F924" s="67"/>
      <c r="G924" s="67"/>
    </row>
    <row r="925">
      <c r="E925" s="46"/>
      <c r="F925" s="67"/>
      <c r="G925" s="67"/>
    </row>
    <row r="926">
      <c r="E926" s="46"/>
      <c r="F926" s="67"/>
      <c r="G926" s="67"/>
    </row>
    <row r="927">
      <c r="E927" s="46"/>
      <c r="F927" s="67"/>
      <c r="G927" s="67"/>
    </row>
    <row r="928">
      <c r="E928" s="46"/>
      <c r="F928" s="67"/>
      <c r="G928" s="67"/>
    </row>
    <row r="929">
      <c r="E929" s="46"/>
      <c r="F929" s="67"/>
      <c r="G929" s="67"/>
    </row>
    <row r="930">
      <c r="E930" s="46"/>
      <c r="F930" s="67"/>
      <c r="G930" s="67"/>
    </row>
    <row r="931">
      <c r="E931" s="46"/>
      <c r="F931" s="67"/>
      <c r="G931" s="67"/>
    </row>
    <row r="932">
      <c r="E932" s="46"/>
      <c r="F932" s="67"/>
      <c r="G932" s="67"/>
    </row>
    <row r="933">
      <c r="E933" s="46"/>
      <c r="F933" s="67"/>
      <c r="G933" s="67"/>
    </row>
    <row r="934">
      <c r="E934" s="46"/>
      <c r="F934" s="67"/>
      <c r="G934" s="67"/>
    </row>
    <row r="935">
      <c r="E935" s="46"/>
      <c r="F935" s="67"/>
      <c r="G935" s="67"/>
    </row>
    <row r="936">
      <c r="E936" s="46"/>
      <c r="F936" s="67"/>
      <c r="G936" s="67"/>
    </row>
    <row r="937">
      <c r="E937" s="46"/>
      <c r="F937" s="67"/>
      <c r="G937" s="67"/>
    </row>
    <row r="938">
      <c r="E938" s="46"/>
      <c r="F938" s="67"/>
      <c r="G938" s="67"/>
    </row>
    <row r="939">
      <c r="E939" s="46"/>
      <c r="F939" s="67"/>
      <c r="G939" s="67"/>
    </row>
    <row r="940">
      <c r="E940" s="46"/>
      <c r="F940" s="67"/>
      <c r="G940" s="67"/>
    </row>
    <row r="941">
      <c r="E941" s="46"/>
      <c r="F941" s="67"/>
      <c r="G941" s="67"/>
    </row>
    <row r="942">
      <c r="E942" s="46"/>
      <c r="F942" s="67"/>
      <c r="G942" s="67"/>
    </row>
    <row r="943">
      <c r="E943" s="46"/>
      <c r="F943" s="67"/>
      <c r="G943" s="67"/>
    </row>
    <row r="944">
      <c r="E944" s="46"/>
      <c r="F944" s="67"/>
      <c r="G944" s="67"/>
    </row>
    <row r="945">
      <c r="E945" s="46"/>
      <c r="F945" s="67"/>
      <c r="G945" s="67"/>
    </row>
    <row r="946">
      <c r="E946" s="46"/>
      <c r="F946" s="67"/>
      <c r="G946" s="67"/>
    </row>
    <row r="947">
      <c r="E947" s="46"/>
      <c r="F947" s="67"/>
      <c r="G947" s="67"/>
    </row>
    <row r="948">
      <c r="E948" s="46"/>
      <c r="F948" s="67"/>
      <c r="G948" s="67"/>
    </row>
    <row r="949">
      <c r="E949" s="46"/>
      <c r="F949" s="67"/>
      <c r="G949" s="67"/>
    </row>
    <row r="950">
      <c r="E950" s="46"/>
      <c r="F950" s="67"/>
      <c r="G950" s="67"/>
    </row>
    <row r="951">
      <c r="E951" s="46"/>
      <c r="F951" s="67"/>
      <c r="G951" s="67"/>
    </row>
    <row r="952">
      <c r="E952" s="46"/>
      <c r="F952" s="67"/>
      <c r="G952" s="67"/>
    </row>
    <row r="953">
      <c r="E953" s="46"/>
      <c r="F953" s="67"/>
      <c r="G953" s="67"/>
    </row>
    <row r="954">
      <c r="E954" s="46"/>
      <c r="F954" s="67"/>
      <c r="G954" s="67"/>
    </row>
    <row r="955">
      <c r="E955" s="46"/>
      <c r="F955" s="67"/>
      <c r="G955" s="67"/>
    </row>
    <row r="956">
      <c r="E956" s="46"/>
      <c r="F956" s="67"/>
      <c r="G956" s="67"/>
    </row>
    <row r="957">
      <c r="E957" s="46"/>
      <c r="F957" s="67"/>
      <c r="G957" s="67"/>
    </row>
    <row r="958">
      <c r="E958" s="46"/>
      <c r="F958" s="67"/>
      <c r="G958" s="67"/>
    </row>
    <row r="959">
      <c r="E959" s="46"/>
      <c r="F959" s="67"/>
      <c r="G959" s="67"/>
    </row>
    <row r="960">
      <c r="E960" s="46"/>
      <c r="F960" s="67"/>
      <c r="G960" s="67"/>
    </row>
    <row r="961">
      <c r="E961" s="46"/>
      <c r="F961" s="67"/>
      <c r="G961" s="67"/>
    </row>
    <row r="962">
      <c r="E962" s="46"/>
      <c r="F962" s="67"/>
      <c r="G962" s="67"/>
    </row>
    <row r="963">
      <c r="E963" s="46"/>
      <c r="F963" s="67"/>
      <c r="G963" s="67"/>
    </row>
    <row r="964">
      <c r="E964" s="46"/>
      <c r="F964" s="67"/>
      <c r="G964" s="67"/>
    </row>
    <row r="965">
      <c r="E965" s="46"/>
      <c r="F965" s="67"/>
      <c r="G965" s="67"/>
    </row>
    <row r="966">
      <c r="E966" s="46"/>
      <c r="F966" s="67"/>
      <c r="G966" s="67"/>
    </row>
    <row r="967">
      <c r="E967" s="46"/>
      <c r="F967" s="67"/>
      <c r="G967" s="67"/>
    </row>
    <row r="968">
      <c r="E968" s="46"/>
      <c r="F968" s="67"/>
      <c r="G968" s="67"/>
    </row>
    <row r="969">
      <c r="E969" s="46"/>
      <c r="F969" s="67"/>
      <c r="G969" s="67"/>
    </row>
    <row r="970">
      <c r="E970" s="46"/>
      <c r="F970" s="67"/>
      <c r="G970" s="67"/>
    </row>
    <row r="971">
      <c r="E971" s="46"/>
      <c r="F971" s="67"/>
      <c r="G971" s="67"/>
    </row>
    <row r="972">
      <c r="E972" s="46"/>
      <c r="F972" s="67"/>
      <c r="G972" s="67"/>
    </row>
    <row r="973">
      <c r="E973" s="46"/>
      <c r="F973" s="67"/>
      <c r="G973" s="67"/>
    </row>
    <row r="974">
      <c r="E974" s="46"/>
      <c r="F974" s="67"/>
      <c r="G974" s="67"/>
    </row>
    <row r="975">
      <c r="E975" s="46"/>
      <c r="F975" s="67"/>
      <c r="G975" s="67"/>
    </row>
    <row r="976">
      <c r="E976" s="46"/>
      <c r="F976" s="67"/>
      <c r="G976" s="67"/>
    </row>
    <row r="977">
      <c r="E977" s="46"/>
      <c r="F977" s="67"/>
      <c r="G977" s="67"/>
    </row>
    <row r="978">
      <c r="E978" s="46"/>
      <c r="F978" s="67"/>
      <c r="G978" s="67"/>
    </row>
    <row r="979">
      <c r="E979" s="46"/>
      <c r="F979" s="67"/>
      <c r="G979" s="67"/>
    </row>
    <row r="980">
      <c r="E980" s="46"/>
      <c r="F980" s="67"/>
      <c r="G980" s="67"/>
    </row>
    <row r="981">
      <c r="E981" s="46"/>
      <c r="F981" s="67"/>
      <c r="G981" s="67"/>
    </row>
    <row r="982">
      <c r="E982" s="46"/>
      <c r="F982" s="67"/>
      <c r="G982" s="67"/>
    </row>
    <row r="983">
      <c r="E983" s="46"/>
      <c r="F983" s="67"/>
      <c r="G983" s="67"/>
    </row>
    <row r="984">
      <c r="E984" s="46"/>
      <c r="F984" s="67"/>
      <c r="G984" s="67"/>
    </row>
    <row r="985">
      <c r="E985" s="46"/>
      <c r="F985" s="67"/>
      <c r="G985" s="67"/>
    </row>
    <row r="986">
      <c r="E986" s="46"/>
      <c r="F986" s="67"/>
      <c r="G986" s="67"/>
    </row>
    <row r="987">
      <c r="E987" s="46"/>
      <c r="F987" s="67"/>
      <c r="G987" s="67"/>
    </row>
    <row r="988">
      <c r="E988" s="46"/>
      <c r="F988" s="67"/>
      <c r="G988" s="67"/>
    </row>
    <row r="989">
      <c r="E989" s="46"/>
      <c r="F989" s="67"/>
      <c r="G989" s="67"/>
    </row>
    <row r="990">
      <c r="E990" s="46"/>
      <c r="F990" s="67"/>
      <c r="G990" s="67"/>
    </row>
    <row r="991">
      <c r="E991" s="46"/>
      <c r="F991" s="67"/>
      <c r="G991" s="67"/>
    </row>
    <row r="992">
      <c r="E992" s="46"/>
      <c r="F992" s="67"/>
      <c r="G992" s="67"/>
    </row>
    <row r="993">
      <c r="E993" s="46"/>
      <c r="F993" s="67"/>
      <c r="G993" s="67"/>
    </row>
    <row r="994">
      <c r="E994" s="46"/>
      <c r="F994" s="67"/>
      <c r="G994" s="67"/>
    </row>
    <row r="995">
      <c r="E995" s="46"/>
      <c r="F995" s="67"/>
      <c r="G995" s="67"/>
    </row>
    <row r="996">
      <c r="E996" s="46"/>
      <c r="F996" s="67"/>
      <c r="G996" s="67"/>
    </row>
    <row r="997">
      <c r="E997" s="46"/>
      <c r="F997" s="67"/>
      <c r="G997" s="67"/>
    </row>
    <row r="998">
      <c r="E998" s="46"/>
      <c r="F998" s="67"/>
      <c r="G998" s="67"/>
    </row>
    <row r="999">
      <c r="E999" s="46"/>
      <c r="F999" s="67"/>
      <c r="G999" s="67"/>
    </row>
    <row r="1000">
      <c r="E1000" s="46"/>
      <c r="F1000" s="67"/>
      <c r="G1000" s="67"/>
    </row>
  </sheetData>
  <conditionalFormatting sqref="D1:D1000">
    <cfRule type="cellIs" dxfId="1" priority="1" operator="equal">
      <formula>1</formula>
    </cfRule>
  </conditionalFormatting>
  <conditionalFormatting sqref="E1:E1000">
    <cfRule type="cellIs" dxfId="2" priority="2" operator="equal">
      <formula>1</formula>
    </cfRule>
  </conditionalFormatting>
  <conditionalFormatting sqref="F1:G1000">
    <cfRule type="cellIs" dxfId="3" priority="3" operator="equal">
      <formula>1</formula>
    </cfRule>
  </conditionalFormatting>
  <conditionalFormatting sqref="F1:G1000">
    <cfRule type="cellIs" dxfId="4" priority="4" operator="equal">
      <formula>2</formula>
    </cfRule>
  </conditionalFormatting>
  <conditionalFormatting sqref="F1:G1000">
    <cfRule type="cellIs" dxfId="5" priority="5" operator="equal">
      <formula>3</formula>
    </cfRule>
  </conditionalFormatting>
  <conditionalFormatting sqref="F1:G1000">
    <cfRule type="cellIs" dxfId="6" priority="6" operator="equal">
      <formula>0</formula>
    </cfRule>
  </conditionalFormatting>
  <conditionalFormatting sqref="G1:G1000">
    <cfRule type="notContainsBlanks" dxfId="0" priority="7">
      <formula>LEN(TRIM(G1))&gt;0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5.63"/>
    <col customWidth="1" min="10" max="10" width="25.63"/>
  </cols>
  <sheetData>
    <row r="1">
      <c r="A1" s="80"/>
      <c r="B1" s="81" t="s">
        <v>1510</v>
      </c>
    </row>
    <row r="2">
      <c r="A2" s="80"/>
    </row>
    <row r="3">
      <c r="A3" s="80"/>
      <c r="B3" s="82" t="s">
        <v>1511</v>
      </c>
      <c r="C3" s="83" t="s">
        <v>1512</v>
      </c>
      <c r="D3" s="83" t="s">
        <v>1513</v>
      </c>
      <c r="E3" s="84" t="s">
        <v>1514</v>
      </c>
      <c r="F3" s="84" t="s">
        <v>1515</v>
      </c>
      <c r="G3" s="84" t="s">
        <v>1516</v>
      </c>
      <c r="H3" s="83" t="s">
        <v>1517</v>
      </c>
      <c r="I3" s="85"/>
      <c r="J3" s="82" t="s">
        <v>1511</v>
      </c>
      <c r="K3" s="83" t="s">
        <v>1512</v>
      </c>
      <c r="L3" s="83" t="s">
        <v>1513</v>
      </c>
      <c r="M3" s="84" t="s">
        <v>1514</v>
      </c>
      <c r="N3" s="84" t="s">
        <v>1515</v>
      </c>
      <c r="O3" s="84" t="s">
        <v>1516</v>
      </c>
      <c r="P3" s="83" t="s">
        <v>1517</v>
      </c>
    </row>
    <row r="4">
      <c r="A4" s="80" t="str">
        <f t="array" ref="A4">IFERROR(
  INDEX(Refined_Data!A:A, MATCH(B4, Refined_Data!O:O, FALSE)),
"")</f>
        <v>Aidoud, Nabil</v>
      </c>
      <c r="B4" s="48" t="str">
        <f>IFERROR(__xludf.DUMMYFUNCTION("FILTER(Current_Stats!A3:A1000, Current_Stats!G3:G1000 &gt;= 0.75, Current_Stats!C3:C1000 &gt;= 5)"),"Aidoud, Nabil")</f>
        <v>Aidoud, Nabil</v>
      </c>
      <c r="C4" s="86">
        <f>IFERROR(VLOOKUP(B4, Current_Stats!A:Z, 7, FALSE), "")</f>
        <v>0.803</v>
      </c>
      <c r="D4" s="86">
        <f>IFERROR(VLOOKUP(B4, Previous_Stats!A:Z, 7, FALSE), "")</f>
        <v>0.699</v>
      </c>
      <c r="E4" s="48">
        <f>IFERROR(VLOOKUP(B4, Current_Stats!A:Z, 3, FALSE), "")</f>
        <v>14</v>
      </c>
      <c r="F4" s="48">
        <f>IFERROR(VLOOKUP(B4, Current_Stats!A:Z, 6, FALSE), "")</f>
        <v>880</v>
      </c>
      <c r="G4" s="48">
        <f>IFERROR(VLOOKUP(B4, Current_Stats!A:Z, 11, FALSE), "")</f>
        <v>298</v>
      </c>
      <c r="H4" s="87">
        <f t="shared" ref="H4:H40" si="1">IFERROR(1 - ((F4 - G4) / F4), "")</f>
        <v>0.3386363636</v>
      </c>
      <c r="I4" s="85"/>
      <c r="J4" s="48" t="str">
        <f>IFERROR(__xludf.DUMMYFUNCTION("FILTER(B4:B40, H4:H40 &gt;= 0.5)"),"Borromeo, Ronadell")</f>
        <v>Borromeo, Ronadell</v>
      </c>
      <c r="K4" s="86">
        <f>IFERROR(VLOOKUP(J4, Current_Stats!A:Z, 7, FALSE), "")</f>
        <v>0.839</v>
      </c>
      <c r="L4" s="86">
        <f>IFERROR(VLOOKUP(J4, Previous_Stats!A:Z, 7, FALSE), "")</f>
        <v>0.829</v>
      </c>
      <c r="M4" s="48">
        <f>IFERROR(VLOOKUP(J4, Current_Stats!A:Z, 3, FALSE), "")</f>
        <v>14</v>
      </c>
      <c r="N4" s="48">
        <f>IFERROR(VLOOKUP(J4, Current_Stats!A:Z, 6, FALSE), "")</f>
        <v>1076</v>
      </c>
      <c r="O4" s="48">
        <f>IFERROR(VLOOKUP(J4, Current_Stats!A:Z, 11, FALSE), "")</f>
        <v>732</v>
      </c>
      <c r="P4" s="86">
        <f t="shared" ref="P4:P40" si="2">IFERROR(1 - ((N4 - O4) / N4), "")</f>
        <v>0.6802973978</v>
      </c>
    </row>
    <row r="5">
      <c r="A5" s="80" t="str">
        <f t="array" ref="A5">IFERROR(
  INDEX(Refined_Data!A:A, MATCH(B5, Refined_Data!O:O, FALSE)),
"")</f>
        <v>Audet, Dominic</v>
      </c>
      <c r="B5" s="48" t="str">
        <f>IFERROR(__xludf.DUMMYFUNCTION("""COMPUTED_VALUE"""),"Audet, Dominic")</f>
        <v>Audet, Dominic</v>
      </c>
      <c r="C5" s="86">
        <f>IFERROR(VLOOKUP(B5, Current_Stats!A:Z, 7, FALSE), "")</f>
        <v>0.921</v>
      </c>
      <c r="D5" s="86">
        <f>IFERROR(VLOOKUP(B5, Previous_Stats!A:Z, 7, FALSE), "")</f>
        <v>0.906</v>
      </c>
      <c r="E5" s="48">
        <f>IFERROR(VLOOKUP(B5, Current_Stats!A:Z, 3, FALSE), "")</f>
        <v>22</v>
      </c>
      <c r="F5" s="48">
        <f>IFERROR(VLOOKUP(B5, Current_Stats!A:Z, 6, FALSE), "")</f>
        <v>1208</v>
      </c>
      <c r="G5" s="48">
        <f>IFERROR(VLOOKUP(B5, Current_Stats!A:Z, 11, FALSE), "")</f>
        <v>128</v>
      </c>
      <c r="H5" s="87">
        <f t="shared" si="1"/>
        <v>0.1059602649</v>
      </c>
      <c r="I5" s="85"/>
      <c r="J5" s="48" t="str">
        <f>IFERROR(__xludf.DUMMYFUNCTION("""COMPUTED_VALUE"""),"Ndjiapanda, Arlette")</f>
        <v>Ndjiapanda, Arlette</v>
      </c>
      <c r="K5" s="86">
        <f>IFERROR(VLOOKUP(J5, Current_Stats!A:Z, 7, FALSE), "")</f>
        <v>0.835</v>
      </c>
      <c r="L5" s="86">
        <f>IFERROR(VLOOKUP(J5, Previous_Stats!A:Z, 7, FALSE), "")</f>
        <v>0.773</v>
      </c>
      <c r="M5" s="48">
        <f>IFERROR(VLOOKUP(J5, Current_Stats!A:Z, 3, FALSE), "")</f>
        <v>14</v>
      </c>
      <c r="N5" s="48">
        <f>IFERROR(VLOOKUP(J5, Current_Stats!A:Z, 6, FALSE), "")</f>
        <v>406</v>
      </c>
      <c r="O5" s="48">
        <f>IFERROR(VLOOKUP(J5, Current_Stats!A:Z, 11, FALSE), "")</f>
        <v>207</v>
      </c>
      <c r="P5" s="86">
        <f t="shared" si="2"/>
        <v>0.5098522167</v>
      </c>
    </row>
    <row r="6">
      <c r="A6" s="80" t="str">
        <f t="array" ref="A6">IFERROR(
  INDEX(Refined_Data!A:A, MATCH(B6, Refined_Data!O:O, FALSE)),
"")</f>
        <v/>
      </c>
      <c r="B6" s="48" t="str">
        <f>IFERROR(__xludf.DUMMYFUNCTION("""COMPUTED_VALUE"""),"Borromeo, Ronadell")</f>
        <v>Borromeo, Ronadell</v>
      </c>
      <c r="C6" s="86">
        <f>IFERROR(VLOOKUP(B6, Current_Stats!A:Z, 7, FALSE), "")</f>
        <v>0.839</v>
      </c>
      <c r="D6" s="86">
        <f>IFERROR(VLOOKUP(B6, Previous_Stats!A:Z, 7, FALSE), "")</f>
        <v>0.829</v>
      </c>
      <c r="E6" s="48">
        <f>IFERROR(VLOOKUP(B6, Current_Stats!A:Z, 3, FALSE), "")</f>
        <v>14</v>
      </c>
      <c r="F6" s="48">
        <f>IFERROR(VLOOKUP(B6, Current_Stats!A:Z, 6, FALSE), "")</f>
        <v>1076</v>
      </c>
      <c r="G6" s="48">
        <f>IFERROR(VLOOKUP(B6, Current_Stats!A:Z, 11, FALSE), "")</f>
        <v>732</v>
      </c>
      <c r="H6" s="87">
        <f t="shared" si="1"/>
        <v>0.6802973978</v>
      </c>
      <c r="I6" s="85"/>
      <c r="J6" s="48" t="str">
        <f>IFERROR(__xludf.DUMMYFUNCTION("""COMPUTED_VALUE"""),"Senechal, Manon")</f>
        <v>Senechal, Manon</v>
      </c>
      <c r="K6" s="86">
        <f>IFERROR(VLOOKUP(J6, Current_Stats!A:Z, 7, FALSE), "")</f>
        <v>0.879</v>
      </c>
      <c r="L6" s="86">
        <f>IFERROR(VLOOKUP(J6, Previous_Stats!A:Z, 7, FALSE), "")</f>
        <v>0.909</v>
      </c>
      <c r="M6" s="48">
        <f>IFERROR(VLOOKUP(J6, Current_Stats!A:Z, 3, FALSE), "")</f>
        <v>13</v>
      </c>
      <c r="N6" s="48">
        <f>IFERROR(VLOOKUP(J6, Current_Stats!A:Z, 6, FALSE), "")</f>
        <v>799</v>
      </c>
      <c r="O6" s="48">
        <f>IFERROR(VLOOKUP(J6, Current_Stats!A:Z, 11, FALSE), "")</f>
        <v>467</v>
      </c>
      <c r="P6" s="86">
        <f t="shared" si="2"/>
        <v>0.5844806008</v>
      </c>
    </row>
    <row r="7">
      <c r="A7" s="80" t="str">
        <f t="array" ref="A7">IFERROR(
  INDEX(Refined_Data!A:A, MATCH(B7, Refined_Data!O:O, FALSE)),
"")</f>
        <v>Carvajal-Yiptong, Diego Armando</v>
      </c>
      <c r="B7" s="48" t="str">
        <f>IFERROR(__xludf.DUMMYFUNCTION("""COMPUTED_VALUE"""),"Carvajal Yiptong, Diego Armando")</f>
        <v>Carvajal Yiptong, Diego Armando</v>
      </c>
      <c r="C7" s="86">
        <f>IFERROR(VLOOKUP(B7, Current_Stats!A:Z, 7, FALSE), "")</f>
        <v>0.857</v>
      </c>
      <c r="D7" s="86">
        <f>IFERROR(VLOOKUP(B7, Previous_Stats!A:Z, 7, FALSE), "")</f>
        <v>0.937</v>
      </c>
      <c r="E7" s="48">
        <f>IFERROR(VLOOKUP(B7, Current_Stats!A:Z, 3, FALSE), "")</f>
        <v>13</v>
      </c>
      <c r="F7" s="48">
        <f>IFERROR(VLOOKUP(B7, Current_Stats!A:Z, 6, FALSE), "")</f>
        <v>1070</v>
      </c>
      <c r="G7" s="48">
        <f>IFERROR(VLOOKUP(B7, Current_Stats!A:Z, 11, FALSE), "")</f>
        <v>461</v>
      </c>
      <c r="H7" s="87">
        <f t="shared" si="1"/>
        <v>0.4308411215</v>
      </c>
      <c r="I7" s="85"/>
      <c r="J7" s="48"/>
      <c r="K7" s="86" t="str">
        <f>IFERROR(VLOOKUP(J7, Current_Stats!A:Z, 7, FALSE), "")</f>
        <v/>
      </c>
      <c r="L7" s="86" t="str">
        <f>IFERROR(VLOOKUP(J7, Previous_Stats!A:Z, 7, FALSE), "")</f>
        <v/>
      </c>
      <c r="M7" s="48" t="str">
        <f>IFERROR(VLOOKUP(J7, Current_Stats!A:Z, 3, FALSE), "")</f>
        <v/>
      </c>
      <c r="N7" s="48" t="str">
        <f>IFERROR(VLOOKUP(J7, Current_Stats!A:Z, 6, FALSE), "")</f>
        <v/>
      </c>
      <c r="O7" s="48" t="str">
        <f>IFERROR(VLOOKUP(J7, Current_Stats!A:Z, 11, FALSE), "")</f>
        <v/>
      </c>
      <c r="P7" s="86" t="str">
        <f t="shared" si="2"/>
        <v/>
      </c>
    </row>
    <row r="8">
      <c r="A8" s="80" t="str">
        <f t="array" ref="A8">IFERROR(
  INDEX(Refined_Data!A:A, MATCH(B8, Refined_Data!O:O, FALSE)),
"")</f>
        <v>Desjardins, Lucie</v>
      </c>
      <c r="B8" s="48" t="str">
        <f>IFERROR(__xludf.DUMMYFUNCTION("""COMPUTED_VALUE"""),"Desjardins, Lucie")</f>
        <v>Desjardins, Lucie</v>
      </c>
      <c r="C8" s="86">
        <f>IFERROR(VLOOKUP(B8, Current_Stats!A:Z, 7, FALSE), "")</f>
        <v>0.887</v>
      </c>
      <c r="D8" s="86">
        <f>IFERROR(VLOOKUP(B8, Previous_Stats!A:Z, 7, FALSE), "")</f>
        <v>0.936</v>
      </c>
      <c r="E8" s="48">
        <f>IFERROR(VLOOKUP(B8, Current_Stats!A:Z, 3, FALSE), "")</f>
        <v>19</v>
      </c>
      <c r="F8" s="48">
        <f>IFERROR(VLOOKUP(B8, Current_Stats!A:Z, 6, FALSE), "")</f>
        <v>2217</v>
      </c>
      <c r="G8" s="48">
        <f>IFERROR(VLOOKUP(B8, Current_Stats!A:Z, 11, FALSE), "")</f>
        <v>126</v>
      </c>
      <c r="H8" s="87">
        <f t="shared" si="1"/>
        <v>0.05683355886</v>
      </c>
      <c r="I8" s="85"/>
      <c r="J8" s="48"/>
      <c r="K8" s="86" t="str">
        <f>IFERROR(VLOOKUP(J8, Current_Stats!A:Z, 7, FALSE), "")</f>
        <v/>
      </c>
      <c r="L8" s="86" t="str">
        <f>IFERROR(VLOOKUP(J8, Previous_Stats!A:Z, 7, FALSE), "")</f>
        <v/>
      </c>
      <c r="M8" s="48" t="str">
        <f>IFERROR(VLOOKUP(J8, Current_Stats!A:Z, 3, FALSE), "")</f>
        <v/>
      </c>
      <c r="N8" s="48" t="str">
        <f>IFERROR(VLOOKUP(J8, Current_Stats!A:Z, 6, FALSE), "")</f>
        <v/>
      </c>
      <c r="O8" s="48" t="str">
        <f>IFERROR(VLOOKUP(J8, Current_Stats!A:Z, 11, FALSE), "")</f>
        <v/>
      </c>
      <c r="P8" s="86" t="str">
        <f t="shared" si="2"/>
        <v/>
      </c>
    </row>
    <row r="9">
      <c r="A9" s="80" t="str">
        <f t="array" ref="A9">IFERROR(
  INDEX(Refined_Data!A:A, MATCH(B9, Refined_Data!O:O, FALSE)),
"")</f>
        <v>Dupuis, Joanie</v>
      </c>
      <c r="B9" s="48" t="str">
        <f>IFERROR(__xludf.DUMMYFUNCTION("""COMPUTED_VALUE"""),"Dupuis, Joanie")</f>
        <v>Dupuis, Joanie</v>
      </c>
      <c r="C9" s="86">
        <f>IFERROR(VLOOKUP(B9, Current_Stats!A:Z, 7, FALSE), "")</f>
        <v>0.919</v>
      </c>
      <c r="D9" s="86">
        <f>IFERROR(VLOOKUP(B9, Previous_Stats!A:Z, 7, FALSE), "")</f>
        <v>0.867</v>
      </c>
      <c r="E9" s="48">
        <f>IFERROR(VLOOKUP(B9, Current_Stats!A:Z, 3, FALSE), "")</f>
        <v>8</v>
      </c>
      <c r="F9" s="48">
        <f>IFERROR(VLOOKUP(B9, Current_Stats!A:Z, 6, FALSE), "")</f>
        <v>655</v>
      </c>
      <c r="G9" s="48">
        <f>IFERROR(VLOOKUP(B9, Current_Stats!A:Z, 11, FALSE), "")</f>
        <v>243</v>
      </c>
      <c r="H9" s="87">
        <f t="shared" si="1"/>
        <v>0.3709923664</v>
      </c>
      <c r="I9" s="85"/>
      <c r="J9" s="48"/>
      <c r="K9" s="86" t="str">
        <f>IFERROR(VLOOKUP(J9, Current_Stats!A:Z, 7, FALSE), "")</f>
        <v/>
      </c>
      <c r="L9" s="86" t="str">
        <f>IFERROR(VLOOKUP(J9, Previous_Stats!A:Z, 7, FALSE), "")</f>
        <v/>
      </c>
      <c r="M9" s="48" t="str">
        <f>IFERROR(VLOOKUP(J9, Current_Stats!A:Z, 3, FALSE), "")</f>
        <v/>
      </c>
      <c r="N9" s="48" t="str">
        <f>IFERROR(VLOOKUP(J9, Current_Stats!A:Z, 6, FALSE), "")</f>
        <v/>
      </c>
      <c r="O9" s="48" t="str">
        <f>IFERROR(VLOOKUP(J9, Current_Stats!A:Z, 11, FALSE), "")</f>
        <v/>
      </c>
      <c r="P9" s="86" t="str">
        <f t="shared" si="2"/>
        <v/>
      </c>
    </row>
    <row r="10">
      <c r="A10" s="80" t="str">
        <f t="array" ref="A10">IFERROR(
  INDEX(Refined_Data!A:A, MATCH(B10, Refined_Data!O:O, FALSE)),
"")</f>
        <v>Fakhfakh, Souleymen</v>
      </c>
      <c r="B10" s="48" t="str">
        <f>IFERROR(__xludf.DUMMYFUNCTION("""COMPUTED_VALUE"""),"Fakhfakh, Souleymen")</f>
        <v>Fakhfakh, Souleymen</v>
      </c>
      <c r="C10" s="86">
        <f>IFERROR(VLOOKUP(B10, Current_Stats!A:Z, 7, FALSE), "")</f>
        <v>0.964</v>
      </c>
      <c r="D10" s="86">
        <f>IFERROR(VLOOKUP(B10, Previous_Stats!A:Z, 7, FALSE), "")</f>
        <v>0.948</v>
      </c>
      <c r="E10" s="48">
        <f>IFERROR(VLOOKUP(B10, Current_Stats!A:Z, 3, FALSE), "")</f>
        <v>18</v>
      </c>
      <c r="F10" s="48">
        <f>IFERROR(VLOOKUP(B10, Current_Stats!A:Z, 6, FALSE), "")</f>
        <v>838</v>
      </c>
      <c r="G10" s="48">
        <f>IFERROR(VLOOKUP(B10, Current_Stats!A:Z, 11, FALSE), "")</f>
        <v>250</v>
      </c>
      <c r="H10" s="87">
        <f t="shared" si="1"/>
        <v>0.2983293556</v>
      </c>
      <c r="I10" s="85"/>
      <c r="J10" s="48"/>
      <c r="K10" s="86" t="str">
        <f>IFERROR(VLOOKUP(J10, Current_Stats!A:Z, 7, FALSE), "")</f>
        <v/>
      </c>
      <c r="L10" s="86" t="str">
        <f>IFERROR(VLOOKUP(J10, Previous_Stats!A:Z, 7, FALSE), "")</f>
        <v/>
      </c>
      <c r="M10" s="48" t="str">
        <f>IFERROR(VLOOKUP(J10, Current_Stats!A:Z, 3, FALSE), "")</f>
        <v/>
      </c>
      <c r="N10" s="48" t="str">
        <f>IFERROR(VLOOKUP(J10, Current_Stats!A:Z, 6, FALSE), "")</f>
        <v/>
      </c>
      <c r="O10" s="48" t="str">
        <f>IFERROR(VLOOKUP(J10, Current_Stats!A:Z, 11, FALSE), "")</f>
        <v/>
      </c>
      <c r="P10" s="86" t="str">
        <f t="shared" si="2"/>
        <v/>
      </c>
    </row>
    <row r="11">
      <c r="A11" s="80" t="str">
        <f t="array" ref="A11">IFERROR(
  INDEX(Refined_Data!A:A, MATCH(B11, Refined_Data!O:O, FALSE)),
"")</f>
        <v>Gabriel, Gamelyn</v>
      </c>
      <c r="B11" s="48" t="str">
        <f>IFERROR(__xludf.DUMMYFUNCTION("""COMPUTED_VALUE"""),"Gabriel, Gamelyn")</f>
        <v>Gabriel, Gamelyn</v>
      </c>
      <c r="C11" s="86">
        <f>IFERROR(VLOOKUP(B11, Current_Stats!A:Z, 7, FALSE), "")</f>
        <v>0.829</v>
      </c>
      <c r="D11" s="86">
        <f>IFERROR(VLOOKUP(B11, Previous_Stats!A:Z, 7, FALSE), "")</f>
        <v>0.868</v>
      </c>
      <c r="E11" s="48">
        <f>IFERROR(VLOOKUP(B11, Current_Stats!A:Z, 3, FALSE), "")</f>
        <v>9</v>
      </c>
      <c r="F11" s="48">
        <f>IFERROR(VLOOKUP(B11, Current_Stats!A:Z, 6, FALSE), "")</f>
        <v>206</v>
      </c>
      <c r="G11" s="48">
        <f>IFERROR(VLOOKUP(B11, Current_Stats!A:Z, 11, FALSE), "")</f>
        <v>49</v>
      </c>
      <c r="H11" s="87">
        <f t="shared" si="1"/>
        <v>0.2378640777</v>
      </c>
      <c r="I11" s="85"/>
      <c r="J11" s="48"/>
      <c r="K11" s="86" t="str">
        <f>IFERROR(VLOOKUP(J11, Current_Stats!A:Z, 7, FALSE), "")</f>
        <v/>
      </c>
      <c r="L11" s="86" t="str">
        <f>IFERROR(VLOOKUP(J11, Previous_Stats!A:Z, 7, FALSE), "")</f>
        <v/>
      </c>
      <c r="M11" s="48" t="str">
        <f>IFERROR(VLOOKUP(J11, Current_Stats!A:Z, 3, FALSE), "")</f>
        <v/>
      </c>
      <c r="N11" s="48" t="str">
        <f>IFERROR(VLOOKUP(J11, Current_Stats!A:Z, 6, FALSE), "")</f>
        <v/>
      </c>
      <c r="O11" s="48" t="str">
        <f>IFERROR(VLOOKUP(J11, Current_Stats!A:Z, 11, FALSE), "")</f>
        <v/>
      </c>
      <c r="P11" s="86" t="str">
        <f t="shared" si="2"/>
        <v/>
      </c>
    </row>
    <row r="12">
      <c r="A12" s="80" t="str">
        <f t="array" ref="A12">IFERROR(
  INDEX(Refined_Data!A:A, MATCH(B12, Refined_Data!O:O, FALSE)),
"")</f>
        <v>Gagnon, Nancy</v>
      </c>
      <c r="B12" s="48" t="str">
        <f>IFERROR(__xludf.DUMMYFUNCTION("""COMPUTED_VALUE"""),"Gagnon, Nancy")</f>
        <v>Gagnon, Nancy</v>
      </c>
      <c r="C12" s="86">
        <f>IFERROR(VLOOKUP(B12, Current_Stats!A:Z, 7, FALSE), "")</f>
        <v>0.765</v>
      </c>
      <c r="D12" s="86">
        <f>IFERROR(VLOOKUP(B12, Previous_Stats!A:Z, 7, FALSE), "")</f>
        <v>0.693</v>
      </c>
      <c r="E12" s="48">
        <f>IFERROR(VLOOKUP(B12, Current_Stats!A:Z, 3, FALSE), "")</f>
        <v>18</v>
      </c>
      <c r="F12" s="48">
        <f>IFERROR(VLOOKUP(B12, Current_Stats!A:Z, 6, FALSE), "")</f>
        <v>823</v>
      </c>
      <c r="G12" s="48">
        <f>IFERROR(VLOOKUP(B12, Current_Stats!A:Z, 11, FALSE), "")</f>
        <v>184</v>
      </c>
      <c r="H12" s="87">
        <f t="shared" si="1"/>
        <v>0.2235722965</v>
      </c>
      <c r="I12" s="85"/>
      <c r="J12" s="48"/>
      <c r="K12" s="86" t="str">
        <f>IFERROR(VLOOKUP(J12, Current_Stats!A:Z, 7, FALSE), "")</f>
        <v/>
      </c>
      <c r="L12" s="86" t="str">
        <f>IFERROR(VLOOKUP(J12, Previous_Stats!A:Z, 7, FALSE), "")</f>
        <v/>
      </c>
      <c r="M12" s="48" t="str">
        <f>IFERROR(VLOOKUP(J12, Current_Stats!A:Z, 3, FALSE), "")</f>
        <v/>
      </c>
      <c r="N12" s="48" t="str">
        <f>IFERROR(VLOOKUP(J12, Current_Stats!A:Z, 6, FALSE), "")</f>
        <v/>
      </c>
      <c r="O12" s="48" t="str">
        <f>IFERROR(VLOOKUP(J12, Current_Stats!A:Z, 11, FALSE), "")</f>
        <v/>
      </c>
      <c r="P12" s="86" t="str">
        <f t="shared" si="2"/>
        <v/>
      </c>
    </row>
    <row r="13">
      <c r="A13" s="80" t="str">
        <f t="array" ref="A13">IFERROR(
  INDEX(Refined_Data!A:A, MATCH(B13, Refined_Data!O:O, FALSE)),
"")</f>
        <v>Gil Cervino, Henrique Alexandre</v>
      </c>
      <c r="B13" s="48" t="str">
        <f>IFERROR(__xludf.DUMMYFUNCTION("""COMPUTED_VALUE"""),"Gil Cervino, Henrique Alexandre")</f>
        <v>Gil Cervino, Henrique Alexandre</v>
      </c>
      <c r="C13" s="86">
        <f>IFERROR(VLOOKUP(B13, Current_Stats!A:Z, 7, FALSE), "")</f>
        <v>0.845</v>
      </c>
      <c r="D13" s="86">
        <f>IFERROR(VLOOKUP(B13, Previous_Stats!A:Z, 7, FALSE), "")</f>
        <v>0.855</v>
      </c>
      <c r="E13" s="48">
        <f>IFERROR(VLOOKUP(B13, Current_Stats!A:Z, 3, FALSE), "")</f>
        <v>9</v>
      </c>
      <c r="F13" s="48">
        <f>IFERROR(VLOOKUP(B13, Current_Stats!A:Z, 6, FALSE), "")</f>
        <v>123</v>
      </c>
      <c r="G13" s="48">
        <f>IFERROR(VLOOKUP(B13, Current_Stats!A:Z, 11, FALSE), "")</f>
        <v>25</v>
      </c>
      <c r="H13" s="87">
        <f t="shared" si="1"/>
        <v>0.2032520325</v>
      </c>
      <c r="I13" s="85"/>
      <c r="J13" s="48"/>
      <c r="K13" s="86" t="str">
        <f>IFERROR(VLOOKUP(J13, Current_Stats!A:Z, 7, FALSE), "")</f>
        <v/>
      </c>
      <c r="L13" s="86" t="str">
        <f>IFERROR(VLOOKUP(J13, Previous_Stats!A:Z, 7, FALSE), "")</f>
        <v/>
      </c>
      <c r="M13" s="48" t="str">
        <f>IFERROR(VLOOKUP(J13, Current_Stats!A:Z, 3, FALSE), "")</f>
        <v/>
      </c>
      <c r="N13" s="48" t="str">
        <f>IFERROR(VLOOKUP(J13, Current_Stats!A:Z, 6, FALSE), "")</f>
        <v/>
      </c>
      <c r="O13" s="48" t="str">
        <f>IFERROR(VLOOKUP(J13, Current_Stats!A:Z, 11, FALSE), "")</f>
        <v/>
      </c>
      <c r="P13" s="86" t="str">
        <f t="shared" si="2"/>
        <v/>
      </c>
    </row>
    <row r="14">
      <c r="A14" s="80" t="str">
        <f t="array" ref="A14">IFERROR(
  INDEX(Refined_Data!A:A, MATCH(B14, Refined_Data!O:O, FALSE)),
"")</f>
        <v>Adrien, Goddard</v>
      </c>
      <c r="B14" s="48" t="str">
        <f>IFERROR(__xludf.DUMMYFUNCTION("""COMPUTED_VALUE"""),"Goddard, Adrien")</f>
        <v>Goddard, Adrien</v>
      </c>
      <c r="C14" s="86">
        <f>IFERROR(VLOOKUP(B14, Current_Stats!A:Z, 7, FALSE), "")</f>
        <v>1</v>
      </c>
      <c r="D14" s="86">
        <f>IFERROR(VLOOKUP(B14, Previous_Stats!A:Z, 7, FALSE), "")</f>
        <v>1</v>
      </c>
      <c r="E14" s="48">
        <f>IFERROR(VLOOKUP(B14, Current_Stats!A:Z, 3, FALSE), "")</f>
        <v>12</v>
      </c>
      <c r="F14" s="48">
        <f>IFERROR(VLOOKUP(B14, Current_Stats!A:Z, 6, FALSE), "")</f>
        <v>1089</v>
      </c>
      <c r="G14" s="48">
        <f>IFERROR(VLOOKUP(B14, Current_Stats!A:Z, 11, FALSE), "")</f>
        <v>156</v>
      </c>
      <c r="H14" s="87">
        <f t="shared" si="1"/>
        <v>0.1432506887</v>
      </c>
      <c r="I14" s="85"/>
      <c r="J14" s="48"/>
      <c r="K14" s="86" t="str">
        <f>IFERROR(VLOOKUP(J14, Current_Stats!A:Z, 7, FALSE), "")</f>
        <v/>
      </c>
      <c r="L14" s="86" t="str">
        <f>IFERROR(VLOOKUP(J14, Previous_Stats!A:Z, 7, FALSE), "")</f>
        <v/>
      </c>
      <c r="M14" s="48" t="str">
        <f>IFERROR(VLOOKUP(J14, Current_Stats!A:Z, 3, FALSE), "")</f>
        <v/>
      </c>
      <c r="N14" s="48" t="str">
        <f>IFERROR(VLOOKUP(J14, Current_Stats!A:Z, 6, FALSE), "")</f>
        <v/>
      </c>
      <c r="O14" s="48" t="str">
        <f>IFERROR(VLOOKUP(J14, Current_Stats!A:Z, 11, FALSE), "")</f>
        <v/>
      </c>
      <c r="P14" s="86" t="str">
        <f t="shared" si="2"/>
        <v/>
      </c>
    </row>
    <row r="15">
      <c r="A15" s="80" t="str">
        <f t="array" ref="A15">IFERROR(
  INDEX(Refined_Data!A:A, MATCH(B15, Refined_Data!O:O, FALSE)),
"")</f>
        <v>Kaur, Manpreet</v>
      </c>
      <c r="B15" s="48" t="str">
        <f>IFERROR(__xludf.DUMMYFUNCTION("""COMPUTED_VALUE"""),"Kaur, Manpreet")</f>
        <v>Kaur, Manpreet</v>
      </c>
      <c r="C15" s="86">
        <f>IFERROR(VLOOKUP(B15, Current_Stats!A:Z, 7, FALSE), "")</f>
        <v>0.84</v>
      </c>
      <c r="D15" s="86">
        <f>IFERROR(VLOOKUP(B15, Previous_Stats!A:Z, 7, FALSE), "")</f>
        <v>0.833</v>
      </c>
      <c r="E15" s="48">
        <f>IFERROR(VLOOKUP(B15, Current_Stats!A:Z, 3, FALSE), "")</f>
        <v>21</v>
      </c>
      <c r="F15" s="48">
        <f>IFERROR(VLOOKUP(B15, Current_Stats!A:Z, 6, FALSE), "")</f>
        <v>571</v>
      </c>
      <c r="G15" s="48">
        <f>IFERROR(VLOOKUP(B15, Current_Stats!A:Z, 11, FALSE), "")</f>
        <v>181</v>
      </c>
      <c r="H15" s="87">
        <f t="shared" si="1"/>
        <v>0.3169877408</v>
      </c>
      <c r="I15" s="85"/>
      <c r="J15" s="48"/>
      <c r="K15" s="86" t="str">
        <f>IFERROR(VLOOKUP(J15, Current_Stats!A:Z, 7, FALSE), "")</f>
        <v/>
      </c>
      <c r="L15" s="86" t="str">
        <f>IFERROR(VLOOKUP(J15, Previous_Stats!A:Z, 7, FALSE), "")</f>
        <v/>
      </c>
      <c r="M15" s="48" t="str">
        <f>IFERROR(VLOOKUP(J15, Current_Stats!A:Z, 3, FALSE), "")</f>
        <v/>
      </c>
      <c r="N15" s="48" t="str">
        <f>IFERROR(VLOOKUP(J15, Current_Stats!A:Z, 6, FALSE), "")</f>
        <v/>
      </c>
      <c r="O15" s="48" t="str">
        <f>IFERROR(VLOOKUP(J15, Current_Stats!A:Z, 11, FALSE), "")</f>
        <v/>
      </c>
      <c r="P15" s="86" t="str">
        <f t="shared" si="2"/>
        <v/>
      </c>
    </row>
    <row r="16">
      <c r="A16" s="80" t="str">
        <f t="array" ref="A16">IFERROR(
  INDEX(Refined_Data!A:A, MATCH(B16, Refined_Data!O:O, FALSE)),
"")</f>
        <v>Khattabi, Mohammed Najib</v>
      </c>
      <c r="B16" s="48" t="str">
        <f>IFERROR(__xludf.DUMMYFUNCTION("""COMPUTED_VALUE"""),"Khattabi, Mohammed Najib")</f>
        <v>Khattabi, Mohammed Najib</v>
      </c>
      <c r="C16" s="86">
        <f>IFERROR(VLOOKUP(B16, Current_Stats!A:Z, 7, FALSE), "")</f>
        <v>0.93</v>
      </c>
      <c r="D16" s="86">
        <f>IFERROR(VLOOKUP(B16, Previous_Stats!A:Z, 7, FALSE), "")</f>
        <v>0.894</v>
      </c>
      <c r="E16" s="48">
        <f>IFERROR(VLOOKUP(B16, Current_Stats!A:Z, 3, FALSE), "")</f>
        <v>24</v>
      </c>
      <c r="F16" s="48">
        <f>IFERROR(VLOOKUP(B16, Current_Stats!A:Z, 6, FALSE), "")</f>
        <v>1913</v>
      </c>
      <c r="G16" s="48">
        <f>IFERROR(VLOOKUP(B16, Current_Stats!A:Z, 11, FALSE), "")</f>
        <v>580</v>
      </c>
      <c r="H16" s="87">
        <f t="shared" si="1"/>
        <v>0.3031887088</v>
      </c>
      <c r="I16" s="85"/>
      <c r="J16" s="48"/>
      <c r="K16" s="86" t="str">
        <f>IFERROR(VLOOKUP(J16, Current_Stats!A:Z, 7, FALSE), "")</f>
        <v/>
      </c>
      <c r="L16" s="86" t="str">
        <f>IFERROR(VLOOKUP(J16, Previous_Stats!A:Z, 7, FALSE), "")</f>
        <v/>
      </c>
      <c r="M16" s="48" t="str">
        <f>IFERROR(VLOOKUP(J16, Current_Stats!A:Z, 3, FALSE), "")</f>
        <v/>
      </c>
      <c r="N16" s="48" t="str">
        <f>IFERROR(VLOOKUP(J16, Current_Stats!A:Z, 6, FALSE), "")</f>
        <v/>
      </c>
      <c r="O16" s="48" t="str">
        <f>IFERROR(VLOOKUP(J16, Current_Stats!A:Z, 11, FALSE), "")</f>
        <v/>
      </c>
      <c r="P16" s="86" t="str">
        <f t="shared" si="2"/>
        <v/>
      </c>
    </row>
    <row r="17">
      <c r="A17" s="80" t="str">
        <f t="array" ref="A17">IFERROR(
  INDEX(Refined_Data!A:A, MATCH(B17, Refined_Data!O:O, FALSE)),
"")</f>
        <v>Kaur Mann, Talwinder</v>
      </c>
      <c r="B17" s="48" t="str">
        <f>IFERROR(__xludf.DUMMYFUNCTION("""COMPUTED_VALUE"""),"Mann, Talwinder")</f>
        <v>Mann, Talwinder</v>
      </c>
      <c r="C17" s="86">
        <f>IFERROR(VLOOKUP(B17, Current_Stats!A:Z, 7, FALSE), "")</f>
        <v>0.769</v>
      </c>
      <c r="D17" s="86">
        <f>IFERROR(VLOOKUP(B17, Previous_Stats!A:Z, 7, FALSE), "")</f>
        <v>0.837</v>
      </c>
      <c r="E17" s="48">
        <f>IFERROR(VLOOKUP(B17, Current_Stats!A:Z, 3, FALSE), "")</f>
        <v>8</v>
      </c>
      <c r="F17" s="48">
        <f>IFERROR(VLOOKUP(B17, Current_Stats!A:Z, 6, FALSE), "")</f>
        <v>613</v>
      </c>
      <c r="G17" s="48">
        <f>IFERROR(VLOOKUP(B17, Current_Stats!A:Z, 11, FALSE), "")</f>
        <v>299</v>
      </c>
      <c r="H17" s="87">
        <f t="shared" si="1"/>
        <v>0.4877650897</v>
      </c>
      <c r="I17" s="85"/>
      <c r="K17" s="86" t="str">
        <f>IFERROR(VLOOKUP(J17, Current_Stats!A:Z, 7, FALSE), "")</f>
        <v/>
      </c>
      <c r="L17" s="86" t="str">
        <f>IFERROR(VLOOKUP(J17, Previous_Stats!A:Z, 7, FALSE), "")</f>
        <v/>
      </c>
      <c r="M17" s="48" t="str">
        <f>IFERROR(VLOOKUP(J17, Current_Stats!A:Z, 3, FALSE), "")</f>
        <v/>
      </c>
      <c r="N17" s="48" t="str">
        <f>IFERROR(VLOOKUP(J17, Current_Stats!A:Z, 6, FALSE), "")</f>
        <v/>
      </c>
      <c r="O17" s="48" t="str">
        <f>IFERROR(VLOOKUP(J17, Current_Stats!A:Z, 11, FALSE), "")</f>
        <v/>
      </c>
      <c r="P17" s="86" t="str">
        <f t="shared" si="2"/>
        <v/>
      </c>
    </row>
    <row r="18">
      <c r="A18" s="80" t="str">
        <f t="array" ref="A18">IFERROR(
  INDEX(Refined_Data!A:A, MATCH(B18, Refined_Data!O:O, FALSE)),
"")</f>
        <v>Miclisse-Polat, Lorenzo Misael</v>
      </c>
      <c r="B18" s="48" t="str">
        <f>IFERROR(__xludf.DUMMYFUNCTION("""COMPUTED_VALUE"""),"Miclisse-Polat, Lorenzo Misael")</f>
        <v>Miclisse-Polat, Lorenzo Misael</v>
      </c>
      <c r="C18" s="86">
        <f>IFERROR(VLOOKUP(B18, Current_Stats!A:Z, 7, FALSE), "")</f>
        <v>0.867</v>
      </c>
      <c r="D18" s="86">
        <f>IFERROR(VLOOKUP(B18, Previous_Stats!A:Z, 7, FALSE), "")</f>
        <v>0.909</v>
      </c>
      <c r="E18" s="48">
        <f>IFERROR(VLOOKUP(B18, Current_Stats!A:Z, 3, FALSE), "")</f>
        <v>16</v>
      </c>
      <c r="F18" s="48">
        <f>IFERROR(VLOOKUP(B18, Current_Stats!A:Z, 6, FALSE), "")</f>
        <v>1349</v>
      </c>
      <c r="G18" s="48">
        <f>IFERROR(VLOOKUP(B18, Current_Stats!A:Z, 11, FALSE), "")</f>
        <v>301</v>
      </c>
      <c r="H18" s="87">
        <f t="shared" si="1"/>
        <v>0.2231282431</v>
      </c>
      <c r="I18" s="85"/>
      <c r="K18" s="86" t="str">
        <f>IFERROR(VLOOKUP(J18, Current_Stats!A:Z, 7, FALSE), "")</f>
        <v/>
      </c>
      <c r="L18" s="86" t="str">
        <f>IFERROR(VLOOKUP(J18, Previous_Stats!A:Z, 7, FALSE), "")</f>
        <v/>
      </c>
      <c r="M18" s="48" t="str">
        <f>IFERROR(VLOOKUP(J18, Current_Stats!A:Z, 3, FALSE), "")</f>
        <v/>
      </c>
      <c r="N18" s="48" t="str">
        <f>IFERROR(VLOOKUP(J18, Current_Stats!A:Z, 6, FALSE), "")</f>
        <v/>
      </c>
      <c r="O18" s="48" t="str">
        <f>IFERROR(VLOOKUP(J18, Current_Stats!A:Z, 11, FALSE), "")</f>
        <v/>
      </c>
      <c r="P18" s="86" t="str">
        <f t="shared" si="2"/>
        <v/>
      </c>
    </row>
    <row r="19">
      <c r="A19" s="80" t="str">
        <f t="array" ref="A19">IFERROR(
  INDEX(Refined_Data!A:A, MATCH(B19, Refined_Data!O:O, FALSE)),
"")</f>
        <v>Ndihokubwayo, Twahiba</v>
      </c>
      <c r="B19" s="48" t="str">
        <f>IFERROR(__xludf.DUMMYFUNCTION("""COMPUTED_VALUE"""),"Ndihokubwayo, Twahiba Kashe")</f>
        <v>Ndihokubwayo, Twahiba Kashe</v>
      </c>
      <c r="C19" s="86">
        <f>IFERROR(VLOOKUP(B19, Current_Stats!A:Z, 7, FALSE), "")</f>
        <v>0.917</v>
      </c>
      <c r="D19" s="86">
        <f>IFERROR(VLOOKUP(B19, Previous_Stats!A:Z, 7, FALSE), "")</f>
        <v>0.96</v>
      </c>
      <c r="E19" s="48">
        <f>IFERROR(VLOOKUP(B19, Current_Stats!A:Z, 3, FALSE), "")</f>
        <v>14</v>
      </c>
      <c r="F19" s="48">
        <f>IFERROR(VLOOKUP(B19, Current_Stats!A:Z, 6, FALSE), "")</f>
        <v>681</v>
      </c>
      <c r="G19" s="48">
        <f>IFERROR(VLOOKUP(B19, Current_Stats!A:Z, 11, FALSE), "")</f>
        <v>276</v>
      </c>
      <c r="H19" s="87">
        <f t="shared" si="1"/>
        <v>0.4052863436</v>
      </c>
      <c r="I19" s="85"/>
      <c r="K19" s="86" t="str">
        <f>IFERROR(VLOOKUP(J19, Current_Stats!A:Z, 7, FALSE), "")</f>
        <v/>
      </c>
      <c r="L19" s="86" t="str">
        <f>IFERROR(VLOOKUP(J19, Previous_Stats!A:Z, 7, FALSE), "")</f>
        <v/>
      </c>
      <c r="M19" s="48" t="str">
        <f>IFERROR(VLOOKUP(J19, Current_Stats!A:Z, 3, FALSE), "")</f>
        <v/>
      </c>
      <c r="N19" s="48" t="str">
        <f>IFERROR(VLOOKUP(J19, Current_Stats!A:Z, 6, FALSE), "")</f>
        <v/>
      </c>
      <c r="O19" s="48" t="str">
        <f>IFERROR(VLOOKUP(J19, Current_Stats!A:Z, 11, FALSE), "")</f>
        <v/>
      </c>
      <c r="P19" s="86" t="str">
        <f t="shared" si="2"/>
        <v/>
      </c>
    </row>
    <row r="20">
      <c r="A20" s="80" t="str">
        <f t="array" ref="A20">IFERROR(
  INDEX(Refined_Data!A:A, MATCH(B20, Refined_Data!O:O, FALSE)),
"")</f>
        <v>Ndjiapanda, Arlette</v>
      </c>
      <c r="B20" s="48" t="str">
        <f>IFERROR(__xludf.DUMMYFUNCTION("""COMPUTED_VALUE"""),"Ndjiapanda, Arlette")</f>
        <v>Ndjiapanda, Arlette</v>
      </c>
      <c r="C20" s="86">
        <f>IFERROR(VLOOKUP(B20, Current_Stats!A:Z, 7, FALSE), "")</f>
        <v>0.835</v>
      </c>
      <c r="D20" s="86">
        <f>IFERROR(VLOOKUP(B20, Previous_Stats!A:Z, 7, FALSE), "")</f>
        <v>0.773</v>
      </c>
      <c r="E20" s="48">
        <f>IFERROR(VLOOKUP(B20, Current_Stats!A:Z, 3, FALSE), "")</f>
        <v>14</v>
      </c>
      <c r="F20" s="48">
        <f>IFERROR(VLOOKUP(B20, Current_Stats!A:Z, 6, FALSE), "")</f>
        <v>406</v>
      </c>
      <c r="G20" s="48">
        <f>IFERROR(VLOOKUP(B20, Current_Stats!A:Z, 11, FALSE), "")</f>
        <v>207</v>
      </c>
      <c r="H20" s="87">
        <f t="shared" si="1"/>
        <v>0.5098522167</v>
      </c>
      <c r="I20" s="85"/>
      <c r="K20" s="86" t="str">
        <f>IFERROR(VLOOKUP(J20, Current_Stats!A:Z, 7, FALSE), "")</f>
        <v/>
      </c>
      <c r="L20" s="86" t="str">
        <f>IFERROR(VLOOKUP(J20, Previous_Stats!A:Z, 7, FALSE), "")</f>
        <v/>
      </c>
      <c r="M20" s="48" t="str">
        <f>IFERROR(VLOOKUP(J20, Current_Stats!A:Z, 3, FALSE), "")</f>
        <v/>
      </c>
      <c r="N20" s="48" t="str">
        <f>IFERROR(VLOOKUP(J20, Current_Stats!A:Z, 6, FALSE), "")</f>
        <v/>
      </c>
      <c r="O20" s="48" t="str">
        <f>IFERROR(VLOOKUP(J20, Current_Stats!A:Z, 11, FALSE), "")</f>
        <v/>
      </c>
      <c r="P20" s="86" t="str">
        <f t="shared" si="2"/>
        <v/>
      </c>
    </row>
    <row r="21">
      <c r="A21" s="80" t="str">
        <f t="array" ref="A21">IFERROR(
  INDEX(Refined_Data!A:A, MATCH(B21, Refined_Data!O:O, FALSE)),
"")</f>
        <v>Ouchchane, Myriam</v>
      </c>
      <c r="B21" s="48" t="str">
        <f>IFERROR(__xludf.DUMMYFUNCTION("""COMPUTED_VALUE"""),"Ouchchane, Myriam")</f>
        <v>Ouchchane, Myriam</v>
      </c>
      <c r="C21" s="86">
        <f>IFERROR(VLOOKUP(B21, Current_Stats!A:Z, 7, FALSE), "")</f>
        <v>0.959</v>
      </c>
      <c r="D21" s="86">
        <f>IFERROR(VLOOKUP(B21, Previous_Stats!A:Z, 7, FALSE), "")</f>
        <v>0.954</v>
      </c>
      <c r="E21" s="48">
        <f>IFERROR(VLOOKUP(B21, Current_Stats!A:Z, 3, FALSE), "")</f>
        <v>24</v>
      </c>
      <c r="F21" s="48">
        <f>IFERROR(VLOOKUP(B21, Current_Stats!A:Z, 6, FALSE), "")</f>
        <v>1307</v>
      </c>
      <c r="G21" s="48">
        <f>IFERROR(VLOOKUP(B21, Current_Stats!A:Z, 11, FALSE), "")</f>
        <v>284</v>
      </c>
      <c r="H21" s="87">
        <f t="shared" si="1"/>
        <v>0.2172915073</v>
      </c>
      <c r="I21" s="85"/>
      <c r="K21" s="86" t="str">
        <f>IFERROR(VLOOKUP(J21, Current_Stats!A:Z, 7, FALSE), "")</f>
        <v/>
      </c>
      <c r="L21" s="86" t="str">
        <f>IFERROR(VLOOKUP(J21, Previous_Stats!A:Z, 7, FALSE), "")</f>
        <v/>
      </c>
      <c r="M21" s="48" t="str">
        <f>IFERROR(VLOOKUP(J21, Current_Stats!A:Z, 3, FALSE), "")</f>
        <v/>
      </c>
      <c r="N21" s="48" t="str">
        <f>IFERROR(VLOOKUP(J21, Current_Stats!A:Z, 6, FALSE), "")</f>
        <v/>
      </c>
      <c r="O21" s="48" t="str">
        <f>IFERROR(VLOOKUP(J21, Current_Stats!A:Z, 11, FALSE), "")</f>
        <v/>
      </c>
      <c r="P21" s="86" t="str">
        <f t="shared" si="2"/>
        <v/>
      </c>
    </row>
    <row r="22">
      <c r="A22" s="80" t="str">
        <f t="array" ref="A22">IFERROR(
  INDEX(Refined_Data!A:A, MATCH(B22, Refined_Data!O:O, FALSE)),
"")</f>
        <v>Paquette, Adam</v>
      </c>
      <c r="B22" s="48" t="str">
        <f>IFERROR(__xludf.DUMMYFUNCTION("""COMPUTED_VALUE"""),"Paquette, Adam")</f>
        <v>Paquette, Adam</v>
      </c>
      <c r="C22" s="86">
        <f>IFERROR(VLOOKUP(B22, Current_Stats!A:Z, 7, FALSE), "")</f>
        <v>0.916</v>
      </c>
      <c r="D22" s="86">
        <f>IFERROR(VLOOKUP(B22, Previous_Stats!A:Z, 7, FALSE), "")</f>
        <v>0.958</v>
      </c>
      <c r="E22" s="48">
        <f>IFERROR(VLOOKUP(B22, Current_Stats!A:Z, 3, FALSE), "")</f>
        <v>15</v>
      </c>
      <c r="F22" s="48">
        <f>IFERROR(VLOOKUP(B22, Current_Stats!A:Z, 6, FALSE), "")</f>
        <v>836</v>
      </c>
      <c r="G22" s="48">
        <f>IFERROR(VLOOKUP(B22, Current_Stats!A:Z, 11, FALSE), "")</f>
        <v>172</v>
      </c>
      <c r="H22" s="87">
        <f t="shared" si="1"/>
        <v>0.2057416268</v>
      </c>
      <c r="I22" s="85"/>
      <c r="K22" s="86" t="str">
        <f>IFERROR(VLOOKUP(J22, Current_Stats!A:Z, 7, FALSE), "")</f>
        <v/>
      </c>
      <c r="L22" s="86" t="str">
        <f>IFERROR(VLOOKUP(J22, Previous_Stats!A:Z, 7, FALSE), "")</f>
        <v/>
      </c>
      <c r="M22" s="48" t="str">
        <f>IFERROR(VLOOKUP(J22, Current_Stats!A:Z, 3, FALSE), "")</f>
        <v/>
      </c>
      <c r="N22" s="48" t="str">
        <f>IFERROR(VLOOKUP(J22, Current_Stats!A:Z, 6, FALSE), "")</f>
        <v/>
      </c>
      <c r="O22" s="48" t="str">
        <f>IFERROR(VLOOKUP(J22, Current_Stats!A:Z, 11, FALSE), "")</f>
        <v/>
      </c>
      <c r="P22" s="86" t="str">
        <f t="shared" si="2"/>
        <v/>
      </c>
    </row>
    <row r="23">
      <c r="A23" s="80" t="str">
        <f t="array" ref="A23">IFERROR(
  INDEX(Refined_Data!A:A, MATCH(B23, Refined_Data!O:O, FALSE)),
"")</f>
        <v>Pierre, Christopher</v>
      </c>
      <c r="B23" s="48" t="str">
        <f>IFERROR(__xludf.DUMMYFUNCTION("""COMPUTED_VALUE"""),"Pierre, Christopher")</f>
        <v>Pierre, Christopher</v>
      </c>
      <c r="C23" s="86">
        <f>IFERROR(VLOOKUP(B23, Current_Stats!A:Z, 7, FALSE), "")</f>
        <v>0.756</v>
      </c>
      <c r="D23" s="86">
        <f>IFERROR(VLOOKUP(B23, Previous_Stats!A:Z, 7, FALSE), "")</f>
        <v>0.813</v>
      </c>
      <c r="E23" s="48">
        <f>IFERROR(VLOOKUP(B23, Current_Stats!A:Z, 3, FALSE), "")</f>
        <v>16</v>
      </c>
      <c r="F23" s="48">
        <f>IFERROR(VLOOKUP(B23, Current_Stats!A:Z, 6, FALSE), "")</f>
        <v>2401</v>
      </c>
      <c r="G23" s="48">
        <f>IFERROR(VLOOKUP(B23, Current_Stats!A:Z, 11, FALSE), "")</f>
        <v>418</v>
      </c>
      <c r="H23" s="87">
        <f t="shared" si="1"/>
        <v>0.1740941274</v>
      </c>
      <c r="I23" s="85"/>
      <c r="K23" s="86" t="str">
        <f>IFERROR(VLOOKUP(J23, Current_Stats!A:Z, 7, FALSE), "")</f>
        <v/>
      </c>
      <c r="L23" s="86" t="str">
        <f>IFERROR(VLOOKUP(J23, Previous_Stats!A:Z, 7, FALSE), "")</f>
        <v/>
      </c>
      <c r="M23" s="48" t="str">
        <f>IFERROR(VLOOKUP(J23, Current_Stats!A:Z, 3, FALSE), "")</f>
        <v/>
      </c>
      <c r="N23" s="48" t="str">
        <f>IFERROR(VLOOKUP(J23, Current_Stats!A:Z, 6, FALSE), "")</f>
        <v/>
      </c>
      <c r="O23" s="48" t="str">
        <f>IFERROR(VLOOKUP(J23, Current_Stats!A:Z, 11, FALSE), "")</f>
        <v/>
      </c>
      <c r="P23" s="86" t="str">
        <f t="shared" si="2"/>
        <v/>
      </c>
    </row>
    <row r="24">
      <c r="A24" s="80" t="str">
        <f t="array" ref="A24">IFERROR(
  INDEX(Refined_Data!A:A, MATCH(B24, Refined_Data!O:O, FALSE)),
"")</f>
        <v>Popovic, Jessica</v>
      </c>
      <c r="B24" s="48" t="str">
        <f>IFERROR(__xludf.DUMMYFUNCTION("""COMPUTED_VALUE"""),"Popovic, Jessica")</f>
        <v>Popovic, Jessica</v>
      </c>
      <c r="C24" s="86">
        <f>IFERROR(VLOOKUP(B24, Current_Stats!A:Z, 7, FALSE), "")</f>
        <v>0.823</v>
      </c>
      <c r="D24" s="86">
        <f>IFERROR(VLOOKUP(B24, Previous_Stats!A:Z, 7, FALSE), "")</f>
        <v>0.887</v>
      </c>
      <c r="E24" s="48">
        <f>IFERROR(VLOOKUP(B24, Current_Stats!A:Z, 3, FALSE), "")</f>
        <v>16</v>
      </c>
      <c r="F24" s="48">
        <f>IFERROR(VLOOKUP(B24, Current_Stats!A:Z, 6, FALSE), "")</f>
        <v>585</v>
      </c>
      <c r="G24" s="48">
        <f>IFERROR(VLOOKUP(B24, Current_Stats!A:Z, 11, FALSE), "")</f>
        <v>193</v>
      </c>
      <c r="H24" s="87">
        <f t="shared" si="1"/>
        <v>0.3299145299</v>
      </c>
      <c r="I24" s="85"/>
      <c r="K24" s="86" t="str">
        <f>IFERROR(VLOOKUP(J24, Current_Stats!A:Z, 7, FALSE), "")</f>
        <v/>
      </c>
      <c r="L24" s="86" t="str">
        <f>IFERROR(VLOOKUP(J24, Previous_Stats!A:Z, 7, FALSE), "")</f>
        <v/>
      </c>
      <c r="M24" s="48" t="str">
        <f>IFERROR(VLOOKUP(J24, Current_Stats!A:Z, 3, FALSE), "")</f>
        <v/>
      </c>
      <c r="N24" s="48" t="str">
        <f>IFERROR(VLOOKUP(J24, Current_Stats!A:Z, 6, FALSE), "")</f>
        <v/>
      </c>
      <c r="O24" s="48" t="str">
        <f>IFERROR(VLOOKUP(J24, Current_Stats!A:Z, 11, FALSE), "")</f>
        <v/>
      </c>
      <c r="P24" s="86" t="str">
        <f t="shared" si="2"/>
        <v/>
      </c>
    </row>
    <row r="25">
      <c r="A25" s="80" t="str">
        <f t="array" ref="A25">IFERROR(
  INDEX(Refined_Data!A:A, MATCH(B25, Refined_Data!O:O, FALSE)),
"")</f>
        <v>Rea, Shannon</v>
      </c>
      <c r="B25" s="48" t="str">
        <f>IFERROR(__xludf.DUMMYFUNCTION("""COMPUTED_VALUE"""),"Rea, Shannon")</f>
        <v>Rea, Shannon</v>
      </c>
      <c r="C25" s="86">
        <f>IFERROR(VLOOKUP(B25, Current_Stats!A:Z, 7, FALSE), "")</f>
        <v>0.832</v>
      </c>
      <c r="D25" s="86">
        <f>IFERROR(VLOOKUP(B25, Previous_Stats!A:Z, 7, FALSE), "")</f>
        <v>0.778</v>
      </c>
      <c r="E25" s="48">
        <f>IFERROR(VLOOKUP(B25, Current_Stats!A:Z, 3, FALSE), "")</f>
        <v>16</v>
      </c>
      <c r="F25" s="48">
        <f>IFERROR(VLOOKUP(B25, Current_Stats!A:Z, 6, FALSE), "")</f>
        <v>1587</v>
      </c>
      <c r="G25" s="48">
        <f>IFERROR(VLOOKUP(B25, Current_Stats!A:Z, 11, FALSE), "")</f>
        <v>248</v>
      </c>
      <c r="H25" s="87">
        <f t="shared" si="1"/>
        <v>0.1562696912</v>
      </c>
      <c r="I25" s="85"/>
      <c r="K25" s="86" t="str">
        <f>IFERROR(VLOOKUP(J25, Current_Stats!A:Z, 7, FALSE), "")</f>
        <v/>
      </c>
      <c r="L25" s="86" t="str">
        <f>IFERROR(VLOOKUP(J25, Previous_Stats!A:Z, 7, FALSE), "")</f>
        <v/>
      </c>
      <c r="M25" s="48" t="str">
        <f>IFERROR(VLOOKUP(J25, Current_Stats!A:Z, 3, FALSE), "")</f>
        <v/>
      </c>
      <c r="N25" s="48" t="str">
        <f>IFERROR(VLOOKUP(J25, Current_Stats!A:Z, 6, FALSE), "")</f>
        <v/>
      </c>
      <c r="O25" s="48" t="str">
        <f>IFERROR(VLOOKUP(J25, Current_Stats!A:Z, 11, FALSE), "")</f>
        <v/>
      </c>
      <c r="P25" s="86" t="str">
        <f t="shared" si="2"/>
        <v/>
      </c>
    </row>
    <row r="26">
      <c r="A26" s="80" t="str">
        <f t="array" ref="A26">IFERROR(
  INDEX(Refined_Data!A:A, MATCH(B26, Refined_Data!O:O, FALSE)),
"")</f>
        <v>Rennie, Vida</v>
      </c>
      <c r="B26" s="48" t="str">
        <f>IFERROR(__xludf.DUMMYFUNCTION("""COMPUTED_VALUE"""),"Rennie, Vida")</f>
        <v>Rennie, Vida</v>
      </c>
      <c r="C26" s="86">
        <f>IFERROR(VLOOKUP(B26, Current_Stats!A:Z, 7, FALSE), "")</f>
        <v>0.794</v>
      </c>
      <c r="D26" s="86">
        <f>IFERROR(VLOOKUP(B26, Previous_Stats!A:Z, 7, FALSE), "")</f>
        <v>0.699</v>
      </c>
      <c r="E26" s="48">
        <f>IFERROR(VLOOKUP(B26, Current_Stats!A:Z, 3, FALSE), "")</f>
        <v>12</v>
      </c>
      <c r="F26" s="48">
        <f>IFERROR(VLOOKUP(B26, Current_Stats!A:Z, 6, FALSE), "")</f>
        <v>547</v>
      </c>
      <c r="G26" s="48">
        <f>IFERROR(VLOOKUP(B26, Current_Stats!A:Z, 11, FALSE), "")</f>
        <v>216</v>
      </c>
      <c r="H26" s="87">
        <f t="shared" si="1"/>
        <v>0.39488117</v>
      </c>
      <c r="I26" s="85"/>
      <c r="K26" s="86" t="str">
        <f>IFERROR(VLOOKUP(J26, Current_Stats!A:Z, 7, FALSE), "")</f>
        <v/>
      </c>
      <c r="L26" s="86" t="str">
        <f>IFERROR(VLOOKUP(J26, Previous_Stats!A:Z, 7, FALSE), "")</f>
        <v/>
      </c>
      <c r="M26" s="48" t="str">
        <f>IFERROR(VLOOKUP(J26, Current_Stats!A:Z, 3, FALSE), "")</f>
        <v/>
      </c>
      <c r="N26" s="48" t="str">
        <f>IFERROR(VLOOKUP(J26, Current_Stats!A:Z, 6, FALSE), "")</f>
        <v/>
      </c>
      <c r="O26" s="48" t="str">
        <f>IFERROR(VLOOKUP(J26, Current_Stats!A:Z, 11, FALSE), "")</f>
        <v/>
      </c>
      <c r="P26" s="86" t="str">
        <f t="shared" si="2"/>
        <v/>
      </c>
    </row>
    <row r="27">
      <c r="A27" s="80" t="str">
        <f t="array" ref="A27">IFERROR(
  INDEX(Refined_Data!A:A, MATCH(B27, Refined_Data!O:O, FALSE)),
"")</f>
        <v>Senechal, Manon</v>
      </c>
      <c r="B27" s="48" t="str">
        <f>IFERROR(__xludf.DUMMYFUNCTION("""COMPUTED_VALUE"""),"Senechal, Manon")</f>
        <v>Senechal, Manon</v>
      </c>
      <c r="C27" s="86">
        <f>IFERROR(VLOOKUP(B27, Current_Stats!A:Z, 7, FALSE), "")</f>
        <v>0.879</v>
      </c>
      <c r="D27" s="86">
        <f>IFERROR(VLOOKUP(B27, Previous_Stats!A:Z, 7, FALSE), "")</f>
        <v>0.909</v>
      </c>
      <c r="E27" s="48">
        <f>IFERROR(VLOOKUP(B27, Current_Stats!A:Z, 3, FALSE), "")</f>
        <v>13</v>
      </c>
      <c r="F27" s="48">
        <f>IFERROR(VLOOKUP(B27, Current_Stats!A:Z, 6, FALSE), "")</f>
        <v>799</v>
      </c>
      <c r="G27" s="48">
        <f>IFERROR(VLOOKUP(B27, Current_Stats!A:Z, 11, FALSE), "")</f>
        <v>467</v>
      </c>
      <c r="H27" s="87">
        <f t="shared" si="1"/>
        <v>0.5844806008</v>
      </c>
      <c r="I27" s="85"/>
      <c r="K27" s="86" t="str">
        <f>IFERROR(VLOOKUP(J27, Current_Stats!A:Z, 7, FALSE), "")</f>
        <v/>
      </c>
      <c r="L27" s="86" t="str">
        <f>IFERROR(VLOOKUP(J27, Previous_Stats!A:Z, 7, FALSE), "")</f>
        <v/>
      </c>
      <c r="M27" s="48" t="str">
        <f>IFERROR(VLOOKUP(J27, Current_Stats!A:Z, 3, FALSE), "")</f>
        <v/>
      </c>
      <c r="N27" s="48" t="str">
        <f>IFERROR(VLOOKUP(J27, Current_Stats!A:Z, 6, FALSE), "")</f>
        <v/>
      </c>
      <c r="O27" s="48" t="str">
        <f>IFERROR(VLOOKUP(J27, Current_Stats!A:Z, 11, FALSE), "")</f>
        <v/>
      </c>
      <c r="P27" s="86" t="str">
        <f t="shared" si="2"/>
        <v/>
      </c>
    </row>
    <row r="28">
      <c r="A28" s="80" t="str">
        <f t="array" ref="A28">IFERROR(
  INDEX(Refined_Data!A:A, MATCH(B28, Refined_Data!O:O, FALSE)),
"")</f>
        <v>Tredwell, Chris</v>
      </c>
      <c r="B28" s="48" t="str">
        <f>IFERROR(__xludf.DUMMYFUNCTION("""COMPUTED_VALUE"""),"Tredwell, Chris")</f>
        <v>Tredwell, Chris</v>
      </c>
      <c r="C28" s="86">
        <f>IFERROR(VLOOKUP(B28, Current_Stats!A:Z, 7, FALSE), "")</f>
        <v>0.816</v>
      </c>
      <c r="D28" s="86">
        <f>IFERROR(VLOOKUP(B28, Previous_Stats!A:Z, 7, FALSE), "")</f>
        <v>0.646</v>
      </c>
      <c r="E28" s="48">
        <f>IFERROR(VLOOKUP(B28, Current_Stats!A:Z, 3, FALSE), "")</f>
        <v>12</v>
      </c>
      <c r="F28" s="48">
        <f>IFERROR(VLOOKUP(B28, Current_Stats!A:Z, 6, FALSE), "")</f>
        <v>526</v>
      </c>
      <c r="G28" s="48">
        <f>IFERROR(VLOOKUP(B28, Current_Stats!A:Z, 11, FALSE), "")</f>
        <v>99</v>
      </c>
      <c r="H28" s="87">
        <f t="shared" si="1"/>
        <v>0.1882129278</v>
      </c>
      <c r="I28" s="85"/>
      <c r="K28" s="86" t="str">
        <f>IFERROR(VLOOKUP(J28, Current_Stats!A:Z, 7, FALSE), "")</f>
        <v/>
      </c>
      <c r="L28" s="86" t="str">
        <f>IFERROR(VLOOKUP(J28, Previous_Stats!A:Z, 7, FALSE), "")</f>
        <v/>
      </c>
      <c r="M28" s="48" t="str">
        <f>IFERROR(VLOOKUP(J28, Current_Stats!A:Z, 3, FALSE), "")</f>
        <v/>
      </c>
      <c r="N28" s="48" t="str">
        <f>IFERROR(VLOOKUP(J28, Current_Stats!A:Z, 6, FALSE), "")</f>
        <v/>
      </c>
      <c r="O28" s="48" t="str">
        <f>IFERROR(VLOOKUP(J28, Current_Stats!A:Z, 11, FALSE), "")</f>
        <v/>
      </c>
      <c r="P28" s="86" t="str">
        <f t="shared" si="2"/>
        <v/>
      </c>
    </row>
    <row r="29">
      <c r="A29" s="80" t="str">
        <f t="array" ref="A29">IFERROR(
  INDEX(Refined_Data!A:A, MATCH(B29, Refined_Data!O:O, FALSE)),
"")</f>
        <v>Tsan, Senh</v>
      </c>
      <c r="B29" s="48" t="str">
        <f>IFERROR(__xludf.DUMMYFUNCTION("""COMPUTED_VALUE"""),"Tsan, Senh")</f>
        <v>Tsan, Senh</v>
      </c>
      <c r="C29" s="86">
        <f>IFERROR(VLOOKUP(B29, Current_Stats!A:Z, 7, FALSE), "")</f>
        <v>0.811</v>
      </c>
      <c r="D29" s="86">
        <f>IFERROR(VLOOKUP(B29, Previous_Stats!A:Z, 7, FALSE), "")</f>
        <v>0.711</v>
      </c>
      <c r="E29" s="48">
        <f>IFERROR(VLOOKUP(B29, Current_Stats!A:Z, 3, FALSE), "")</f>
        <v>16</v>
      </c>
      <c r="F29" s="48">
        <f>IFERROR(VLOOKUP(B29, Current_Stats!A:Z, 6, FALSE), "")</f>
        <v>1479</v>
      </c>
      <c r="G29" s="48">
        <f>IFERROR(VLOOKUP(B29, Current_Stats!A:Z, 11, FALSE), "")</f>
        <v>403</v>
      </c>
      <c r="H29" s="87">
        <f t="shared" si="1"/>
        <v>0.2724814064</v>
      </c>
      <c r="I29" s="85"/>
      <c r="K29" s="86" t="str">
        <f>IFERROR(VLOOKUP(J29, Current_Stats!A:Z, 7, FALSE), "")</f>
        <v/>
      </c>
      <c r="L29" s="86" t="str">
        <f>IFERROR(VLOOKUP(J29, Previous_Stats!A:Z, 7, FALSE), "")</f>
        <v/>
      </c>
      <c r="M29" s="48" t="str">
        <f>IFERROR(VLOOKUP(J29, Current_Stats!A:Z, 3, FALSE), "")</f>
        <v/>
      </c>
      <c r="N29" s="48" t="str">
        <f>IFERROR(VLOOKUP(J29, Current_Stats!A:Z, 6, FALSE), "")</f>
        <v/>
      </c>
      <c r="O29" s="48" t="str">
        <f>IFERROR(VLOOKUP(J29, Current_Stats!A:Z, 11, FALSE), "")</f>
        <v/>
      </c>
      <c r="P29" s="86" t="str">
        <f t="shared" si="2"/>
        <v/>
      </c>
    </row>
    <row r="30">
      <c r="A30" s="80" t="str">
        <f t="array" ref="A30">IFERROR(
  INDEX(Refined_Data!A:A, MATCH(B30, Refined_Data!O:O, FALSE)),
"")</f>
        <v>Vachon, Genevieve</v>
      </c>
      <c r="B30" s="48" t="str">
        <f>IFERROR(__xludf.DUMMYFUNCTION("""COMPUTED_VALUE"""),"Vachon, Genevieve")</f>
        <v>Vachon, Genevieve</v>
      </c>
      <c r="C30" s="86">
        <f>IFERROR(VLOOKUP(B30, Current_Stats!A:Z, 7, FALSE), "")</f>
        <v>0.78</v>
      </c>
      <c r="D30" s="86">
        <f>IFERROR(VLOOKUP(B30, Previous_Stats!A:Z, 7, FALSE), "")</f>
        <v>0.737</v>
      </c>
      <c r="E30" s="48">
        <f>IFERROR(VLOOKUP(B30, Current_Stats!A:Z, 3, FALSE), "")</f>
        <v>19</v>
      </c>
      <c r="F30" s="48">
        <f>IFERROR(VLOOKUP(B30, Current_Stats!A:Z, 6, FALSE), "")</f>
        <v>745</v>
      </c>
      <c r="G30" s="48">
        <f>IFERROR(VLOOKUP(B30, Current_Stats!A:Z, 11, FALSE), "")</f>
        <v>167</v>
      </c>
      <c r="H30" s="87">
        <f t="shared" si="1"/>
        <v>0.2241610738</v>
      </c>
      <c r="I30" s="85"/>
      <c r="K30" s="86" t="str">
        <f>IFERROR(VLOOKUP(J30, Current_Stats!A:Z, 7, FALSE), "")</f>
        <v/>
      </c>
      <c r="L30" s="86" t="str">
        <f>IFERROR(VLOOKUP(J30, Previous_Stats!A:Z, 7, FALSE), "")</f>
        <v/>
      </c>
      <c r="M30" s="48" t="str">
        <f>IFERROR(VLOOKUP(J30, Current_Stats!A:Z, 3, FALSE), "")</f>
        <v/>
      </c>
      <c r="N30" s="48" t="str">
        <f>IFERROR(VLOOKUP(J30, Current_Stats!A:Z, 6, FALSE), "")</f>
        <v/>
      </c>
      <c r="O30" s="48" t="str">
        <f>IFERROR(VLOOKUP(J30, Current_Stats!A:Z, 11, FALSE), "")</f>
        <v/>
      </c>
      <c r="P30" s="86" t="str">
        <f t="shared" si="2"/>
        <v/>
      </c>
    </row>
    <row r="31">
      <c r="A31" s="80" t="str">
        <f t="array" ref="A31">IFERROR(
  INDEX(Refined_Data!A:A, MATCH(B31, Refined_Data!O:O, FALSE)),
"")</f>
        <v/>
      </c>
      <c r="C31" s="86" t="str">
        <f>IFERROR(VLOOKUP(B31, Current_Stats!A:Z, 7, FALSE), "")</f>
        <v/>
      </c>
      <c r="D31" s="86" t="str">
        <f>IFERROR(VLOOKUP(B31, Previous_Stats!A:Z, 7, FALSE), "")</f>
        <v/>
      </c>
      <c r="E31" s="48" t="str">
        <f>IFERROR(VLOOKUP(B31, Current_Stats!A:Z, 3, FALSE), "")</f>
        <v/>
      </c>
      <c r="F31" s="48" t="str">
        <f>IFERROR(VLOOKUP(B31, Current_Stats!A:Z, 6, FALSE), "")</f>
        <v/>
      </c>
      <c r="G31" s="48" t="str">
        <f>IFERROR(VLOOKUP(B31, Current_Stats!A:Z, 11, FALSE), "")</f>
        <v/>
      </c>
      <c r="H31" s="87" t="str">
        <f t="shared" si="1"/>
        <v/>
      </c>
      <c r="I31" s="85"/>
      <c r="K31" s="86" t="str">
        <f>IFERROR(VLOOKUP(J31, Current_Stats!A:Z, 7, FALSE), "")</f>
        <v/>
      </c>
      <c r="L31" s="86" t="str">
        <f>IFERROR(VLOOKUP(J31, Previous_Stats!A:Z, 7, FALSE), "")</f>
        <v/>
      </c>
      <c r="M31" s="48" t="str">
        <f>IFERROR(VLOOKUP(J31, Current_Stats!A:Z, 3, FALSE), "")</f>
        <v/>
      </c>
      <c r="N31" s="48" t="str">
        <f>IFERROR(VLOOKUP(J31, Current_Stats!A:Z, 6, FALSE), "")</f>
        <v/>
      </c>
      <c r="O31" s="48" t="str">
        <f>IFERROR(VLOOKUP(J31, Current_Stats!A:Z, 11, FALSE), "")</f>
        <v/>
      </c>
      <c r="P31" s="86" t="str">
        <f t="shared" si="2"/>
        <v/>
      </c>
    </row>
    <row r="32">
      <c r="A32" s="80" t="str">
        <f t="array" ref="A32">IFERROR(
  INDEX(Refined_Data!A:A, MATCH(B32, Refined_Data!O:O, FALSE)),
"")</f>
        <v/>
      </c>
      <c r="C32" s="86" t="str">
        <f>IFERROR(VLOOKUP(B32, Current_Stats!A:Z, 7, FALSE), "")</f>
        <v/>
      </c>
      <c r="D32" s="86" t="str">
        <f>IFERROR(VLOOKUP(B32, Previous_Stats!A:Z, 7, FALSE), "")</f>
        <v/>
      </c>
      <c r="E32" s="48" t="str">
        <f>IFERROR(VLOOKUP(B32, Current_Stats!A:Z, 3, FALSE), "")</f>
        <v/>
      </c>
      <c r="F32" s="48" t="str">
        <f>IFERROR(VLOOKUP(B32, Current_Stats!A:Z, 6, FALSE), "")</f>
        <v/>
      </c>
      <c r="G32" s="48" t="str">
        <f>IFERROR(VLOOKUP(B32, Current_Stats!A:Z, 11, FALSE), "")</f>
        <v/>
      </c>
      <c r="H32" s="87" t="str">
        <f t="shared" si="1"/>
        <v/>
      </c>
      <c r="I32" s="85"/>
      <c r="K32" s="86" t="str">
        <f>IFERROR(VLOOKUP(J32, Current_Stats!A:Z, 7, FALSE), "")</f>
        <v/>
      </c>
      <c r="L32" s="86" t="str">
        <f>IFERROR(VLOOKUP(J32, Previous_Stats!A:Z, 7, FALSE), "")</f>
        <v/>
      </c>
      <c r="M32" s="48" t="str">
        <f>IFERROR(VLOOKUP(J32, Current_Stats!A:Z, 3, FALSE), "")</f>
        <v/>
      </c>
      <c r="N32" s="48" t="str">
        <f>IFERROR(VLOOKUP(J32, Current_Stats!A:Z, 6, FALSE), "")</f>
        <v/>
      </c>
      <c r="O32" s="48" t="str">
        <f>IFERROR(VLOOKUP(J32, Current_Stats!A:Z, 11, FALSE), "")</f>
        <v/>
      </c>
      <c r="P32" s="86" t="str">
        <f t="shared" si="2"/>
        <v/>
      </c>
    </row>
    <row r="33">
      <c r="A33" s="80" t="str">
        <f t="array" ref="A33">IFERROR(
  INDEX(Refined_Data!A:A, MATCH(B33, Refined_Data!O:O, FALSE)),
"")</f>
        <v/>
      </c>
      <c r="C33" s="86" t="str">
        <f>IFERROR(VLOOKUP(B33, Current_Stats!A:Z, 7, FALSE), "")</f>
        <v/>
      </c>
      <c r="D33" s="86" t="str">
        <f>IFERROR(VLOOKUP(B33, Previous_Stats!A:Z, 7, FALSE), "")</f>
        <v/>
      </c>
      <c r="E33" s="48" t="str">
        <f>IFERROR(VLOOKUP(B33, Current_Stats!A:Z, 3, FALSE), "")</f>
        <v/>
      </c>
      <c r="F33" s="48" t="str">
        <f>IFERROR(VLOOKUP(B33, Current_Stats!A:Z, 6, FALSE), "")</f>
        <v/>
      </c>
      <c r="G33" s="48" t="str">
        <f>IFERROR(VLOOKUP(B33, Current_Stats!A:Z, 11, FALSE), "")</f>
        <v/>
      </c>
      <c r="H33" s="87" t="str">
        <f t="shared" si="1"/>
        <v/>
      </c>
      <c r="I33" s="85"/>
      <c r="K33" s="86" t="str">
        <f>IFERROR(VLOOKUP(J33, Current_Stats!A:Z, 7, FALSE), "")</f>
        <v/>
      </c>
      <c r="L33" s="86" t="str">
        <f>IFERROR(VLOOKUP(J33, Previous_Stats!A:Z, 7, FALSE), "")</f>
        <v/>
      </c>
      <c r="M33" s="48" t="str">
        <f>IFERROR(VLOOKUP(J33, Current_Stats!A:Z, 3, FALSE), "")</f>
        <v/>
      </c>
      <c r="N33" s="48" t="str">
        <f>IFERROR(VLOOKUP(J33, Current_Stats!A:Z, 6, FALSE), "")</f>
        <v/>
      </c>
      <c r="O33" s="48" t="str">
        <f>IFERROR(VLOOKUP(J33, Current_Stats!A:Z, 11, FALSE), "")</f>
        <v/>
      </c>
      <c r="P33" s="86" t="str">
        <f t="shared" si="2"/>
        <v/>
      </c>
    </row>
    <row r="34">
      <c r="A34" s="80" t="str">
        <f t="array" ref="A34">IFERROR(
  INDEX(Refined_Data!A:A, MATCH(B34, Refined_Data!O:O, FALSE)),
"")</f>
        <v/>
      </c>
      <c r="C34" s="86" t="str">
        <f>IFERROR(VLOOKUP(B34, Current_Stats!A:Z, 7, FALSE), "")</f>
        <v/>
      </c>
      <c r="D34" s="86" t="str">
        <f>IFERROR(VLOOKUP(B34, Previous_Stats!A:Z, 7, FALSE), "")</f>
        <v/>
      </c>
      <c r="E34" s="48" t="str">
        <f>IFERROR(VLOOKUP(B34, Current_Stats!A:Z, 3, FALSE), "")</f>
        <v/>
      </c>
      <c r="F34" s="48" t="str">
        <f>IFERROR(VLOOKUP(B34, Current_Stats!A:Z, 6, FALSE), "")</f>
        <v/>
      </c>
      <c r="G34" s="48" t="str">
        <f>IFERROR(VLOOKUP(B34, Current_Stats!A:Z, 11, FALSE), "")</f>
        <v/>
      </c>
      <c r="H34" s="87" t="str">
        <f t="shared" si="1"/>
        <v/>
      </c>
      <c r="I34" s="85"/>
      <c r="K34" s="86" t="str">
        <f>IFERROR(VLOOKUP(J34, Current_Stats!A:Z, 7, FALSE), "")</f>
        <v/>
      </c>
      <c r="L34" s="86" t="str">
        <f>IFERROR(VLOOKUP(J34, Previous_Stats!A:Z, 7, FALSE), "")</f>
        <v/>
      </c>
      <c r="M34" s="48" t="str">
        <f>IFERROR(VLOOKUP(J34, Current_Stats!A:Z, 3, FALSE), "")</f>
        <v/>
      </c>
      <c r="N34" s="48" t="str">
        <f>IFERROR(VLOOKUP(J34, Current_Stats!A:Z, 6, FALSE), "")</f>
        <v/>
      </c>
      <c r="O34" s="48" t="str">
        <f>IFERROR(VLOOKUP(J34, Current_Stats!A:Z, 11, FALSE), "")</f>
        <v/>
      </c>
      <c r="P34" s="86" t="str">
        <f t="shared" si="2"/>
        <v/>
      </c>
    </row>
    <row r="35">
      <c r="A35" s="80" t="str">
        <f t="array" ref="A35">IFERROR(
  INDEX(Refined_Data!A:A, MATCH(B35, Refined_Data!O:O, FALSE)),
"")</f>
        <v/>
      </c>
      <c r="C35" s="86" t="str">
        <f>IFERROR(VLOOKUP(B35, Current_Stats!A:Z, 7, FALSE), "")</f>
        <v/>
      </c>
      <c r="D35" s="86" t="str">
        <f>IFERROR(VLOOKUP(B35, Previous_Stats!A:Z, 7, FALSE), "")</f>
        <v/>
      </c>
      <c r="E35" s="48" t="str">
        <f>IFERROR(VLOOKUP(B35, Current_Stats!A:Z, 3, FALSE), "")</f>
        <v/>
      </c>
      <c r="F35" s="48" t="str">
        <f>IFERROR(VLOOKUP(B35, Current_Stats!A:Z, 6, FALSE), "")</f>
        <v/>
      </c>
      <c r="G35" s="48" t="str">
        <f>IFERROR(VLOOKUP(B35, Current_Stats!A:Z, 11, FALSE), "")</f>
        <v/>
      </c>
      <c r="H35" s="87" t="str">
        <f t="shared" si="1"/>
        <v/>
      </c>
      <c r="I35" s="85"/>
      <c r="K35" s="86" t="str">
        <f>IFERROR(VLOOKUP(J35, Current_Stats!A:Z, 7, FALSE), "")</f>
        <v/>
      </c>
      <c r="L35" s="86" t="str">
        <f>IFERROR(VLOOKUP(J35, Previous_Stats!A:Z, 7, FALSE), "")</f>
        <v/>
      </c>
      <c r="M35" s="48" t="str">
        <f>IFERROR(VLOOKUP(J35, Current_Stats!A:Z, 3, FALSE), "")</f>
        <v/>
      </c>
      <c r="N35" s="48" t="str">
        <f>IFERROR(VLOOKUP(J35, Current_Stats!A:Z, 6, FALSE), "")</f>
        <v/>
      </c>
      <c r="O35" s="48" t="str">
        <f>IFERROR(VLOOKUP(J35, Current_Stats!A:Z, 11, FALSE), "")</f>
        <v/>
      </c>
      <c r="P35" s="86" t="str">
        <f t="shared" si="2"/>
        <v/>
      </c>
    </row>
    <row r="36">
      <c r="A36" s="80" t="str">
        <f t="array" ref="A36">IFERROR(
  INDEX(Refined_Data!A:A, MATCH(B36, Refined_Data!O:O, FALSE)),
"")</f>
        <v/>
      </c>
      <c r="C36" s="86" t="str">
        <f>IFERROR(VLOOKUP(B36, Current_Stats!A:Z, 7, FALSE), "")</f>
        <v/>
      </c>
      <c r="D36" s="86" t="str">
        <f>IFERROR(VLOOKUP(B36, Previous_Stats!A:Z, 7, FALSE), "")</f>
        <v/>
      </c>
      <c r="E36" s="48" t="str">
        <f>IFERROR(VLOOKUP(B36, Current_Stats!A:Z, 3, FALSE), "")</f>
        <v/>
      </c>
      <c r="F36" s="48" t="str">
        <f>IFERROR(VLOOKUP(B36, Current_Stats!A:Z, 6, FALSE), "")</f>
        <v/>
      </c>
      <c r="G36" s="48" t="str">
        <f>IFERROR(VLOOKUP(B36, Current_Stats!A:Z, 11, FALSE), "")</f>
        <v/>
      </c>
      <c r="H36" s="87" t="str">
        <f t="shared" si="1"/>
        <v/>
      </c>
      <c r="I36" s="85"/>
      <c r="K36" s="86" t="str">
        <f>IFERROR(VLOOKUP(J36, Current_Stats!A:Z, 7, FALSE), "")</f>
        <v/>
      </c>
      <c r="L36" s="86" t="str">
        <f>IFERROR(VLOOKUP(J36, Previous_Stats!A:Z, 7, FALSE), "")</f>
        <v/>
      </c>
      <c r="M36" s="48" t="str">
        <f>IFERROR(VLOOKUP(J36, Current_Stats!A:Z, 3, FALSE), "")</f>
        <v/>
      </c>
      <c r="N36" s="48" t="str">
        <f>IFERROR(VLOOKUP(J36, Current_Stats!A:Z, 6, FALSE), "")</f>
        <v/>
      </c>
      <c r="O36" s="48" t="str">
        <f>IFERROR(VLOOKUP(J36, Current_Stats!A:Z, 11, FALSE), "")</f>
        <v/>
      </c>
      <c r="P36" s="86" t="str">
        <f t="shared" si="2"/>
        <v/>
      </c>
    </row>
    <row r="37">
      <c r="A37" s="80" t="str">
        <f t="array" ref="A37">IFERROR(
  INDEX(Refined_Data!A:A, MATCH(B37, Refined_Data!O:O, FALSE)),
"")</f>
        <v/>
      </c>
      <c r="C37" s="86" t="str">
        <f>IFERROR(VLOOKUP(B37, Current_Stats!A:Z, 7, FALSE), "")</f>
        <v/>
      </c>
      <c r="D37" s="86" t="str">
        <f>IFERROR(VLOOKUP(B37, Previous_Stats!A:Z, 7, FALSE), "")</f>
        <v/>
      </c>
      <c r="E37" s="48" t="str">
        <f>IFERROR(VLOOKUP(B37, Current_Stats!A:Z, 3, FALSE), "")</f>
        <v/>
      </c>
      <c r="F37" s="48" t="str">
        <f>IFERROR(VLOOKUP(B37, Current_Stats!A:Z, 6, FALSE), "")</f>
        <v/>
      </c>
      <c r="G37" s="48" t="str">
        <f>IFERROR(VLOOKUP(B37, Current_Stats!A:Z, 11, FALSE), "")</f>
        <v/>
      </c>
      <c r="H37" s="87" t="str">
        <f t="shared" si="1"/>
        <v/>
      </c>
      <c r="I37" s="85"/>
      <c r="K37" s="86" t="str">
        <f>IFERROR(VLOOKUP(J37, Current_Stats!A:Z, 7, FALSE), "")</f>
        <v/>
      </c>
      <c r="L37" s="86" t="str">
        <f>IFERROR(VLOOKUP(J37, Previous_Stats!A:Z, 7, FALSE), "")</f>
        <v/>
      </c>
      <c r="M37" s="48" t="str">
        <f>IFERROR(VLOOKUP(J37, Current_Stats!A:Z, 3, FALSE), "")</f>
        <v/>
      </c>
      <c r="N37" s="48" t="str">
        <f>IFERROR(VLOOKUP(J37, Current_Stats!A:Z, 6, FALSE), "")</f>
        <v/>
      </c>
      <c r="O37" s="48" t="str">
        <f>IFERROR(VLOOKUP(J37, Current_Stats!A:Z, 11, FALSE), "")</f>
        <v/>
      </c>
      <c r="P37" s="86" t="str">
        <f t="shared" si="2"/>
        <v/>
      </c>
    </row>
    <row r="38">
      <c r="A38" s="80" t="str">
        <f t="array" ref="A38">IFERROR(
  INDEX(Refined_Data!A:A, MATCH(B38, Refined_Data!O:O, FALSE)),
"")</f>
        <v/>
      </c>
      <c r="C38" s="86" t="str">
        <f>IFERROR(VLOOKUP(B38, Current_Stats!A:Z, 7, FALSE), "")</f>
        <v/>
      </c>
      <c r="D38" s="86" t="str">
        <f>IFERROR(VLOOKUP(B38, Previous_Stats!A:Z, 7, FALSE), "")</f>
        <v/>
      </c>
      <c r="E38" s="48" t="str">
        <f>IFERROR(VLOOKUP(B38, Current_Stats!A:Z, 3, FALSE), "")</f>
        <v/>
      </c>
      <c r="F38" s="48" t="str">
        <f>IFERROR(VLOOKUP(B38, Current_Stats!A:Z, 6, FALSE), "")</f>
        <v/>
      </c>
      <c r="G38" s="48" t="str">
        <f>IFERROR(VLOOKUP(B38, Current_Stats!A:Z, 11, FALSE), "")</f>
        <v/>
      </c>
      <c r="H38" s="87" t="str">
        <f t="shared" si="1"/>
        <v/>
      </c>
      <c r="I38" s="85"/>
      <c r="K38" s="86" t="str">
        <f>IFERROR(VLOOKUP(J38, Current_Stats!A:Z, 7, FALSE), "")</f>
        <v/>
      </c>
      <c r="L38" s="86" t="str">
        <f>IFERROR(VLOOKUP(J38, Previous_Stats!A:Z, 7, FALSE), "")</f>
        <v/>
      </c>
      <c r="M38" s="48" t="str">
        <f>IFERROR(VLOOKUP(J38, Current_Stats!A:Z, 3, FALSE), "")</f>
        <v/>
      </c>
      <c r="N38" s="48" t="str">
        <f>IFERROR(VLOOKUP(J38, Current_Stats!A:Z, 6, FALSE), "")</f>
        <v/>
      </c>
      <c r="O38" s="48" t="str">
        <f>IFERROR(VLOOKUP(J38, Current_Stats!A:Z, 11, FALSE), "")</f>
        <v/>
      </c>
      <c r="P38" s="86" t="str">
        <f t="shared" si="2"/>
        <v/>
      </c>
    </row>
    <row r="39">
      <c r="A39" s="80" t="str">
        <f t="array" ref="A39">IFERROR(
  INDEX(Refined_Data!A:A, MATCH(B39, Refined_Data!O:O, FALSE)),
"")</f>
        <v/>
      </c>
      <c r="C39" s="86" t="str">
        <f>IFERROR(VLOOKUP(B39, Current_Stats!A:Z, 7, FALSE), "")</f>
        <v/>
      </c>
      <c r="D39" s="86" t="str">
        <f>IFERROR(VLOOKUP(B39, Previous_Stats!A:Z, 7, FALSE), "")</f>
        <v/>
      </c>
      <c r="E39" s="48" t="str">
        <f>IFERROR(VLOOKUP(B39, Current_Stats!A:Z, 3, FALSE), "")</f>
        <v/>
      </c>
      <c r="F39" s="48" t="str">
        <f>IFERROR(VLOOKUP(B39, Current_Stats!A:Z, 6, FALSE), "")</f>
        <v/>
      </c>
      <c r="G39" s="48" t="str">
        <f>IFERROR(VLOOKUP(B39, Current_Stats!A:Z, 11, FALSE), "")</f>
        <v/>
      </c>
      <c r="H39" s="87" t="str">
        <f t="shared" si="1"/>
        <v/>
      </c>
      <c r="I39" s="85"/>
      <c r="K39" s="86" t="str">
        <f>IFERROR(VLOOKUP(J39, Current_Stats!A:Z, 7, FALSE), "")</f>
        <v/>
      </c>
      <c r="L39" s="86" t="str">
        <f>IFERROR(VLOOKUP(J39, Previous_Stats!A:Z, 7, FALSE), "")</f>
        <v/>
      </c>
      <c r="M39" s="48" t="str">
        <f>IFERROR(VLOOKUP(J39, Current_Stats!A:Z, 3, FALSE), "")</f>
        <v/>
      </c>
      <c r="N39" s="48" t="str">
        <f>IFERROR(VLOOKUP(J39, Current_Stats!A:Z, 6, FALSE), "")</f>
        <v/>
      </c>
      <c r="O39" s="48" t="str">
        <f>IFERROR(VLOOKUP(J39, Current_Stats!A:Z, 11, FALSE), "")</f>
        <v/>
      </c>
      <c r="P39" s="86" t="str">
        <f t="shared" si="2"/>
        <v/>
      </c>
    </row>
    <row r="40">
      <c r="A40" s="80" t="str">
        <f t="array" ref="A40">IFERROR(
  INDEX(Refined_Data!A:A, MATCH(B40, Refined_Data!O:O, FALSE)),
"")</f>
        <v/>
      </c>
      <c r="C40" s="86" t="str">
        <f>IFERROR(VLOOKUP(B40, Current_Stats!A:Z, 7, FALSE), "")</f>
        <v/>
      </c>
      <c r="D40" s="86" t="str">
        <f>IFERROR(VLOOKUP(B40, Previous_Stats!A:Z, 7, FALSE), "")</f>
        <v/>
      </c>
      <c r="E40" s="48" t="str">
        <f>IFERROR(VLOOKUP(B40, Current_Stats!A:Z, 3, FALSE), "")</f>
        <v/>
      </c>
      <c r="F40" s="48" t="str">
        <f>IFERROR(VLOOKUP(B40, Current_Stats!A:Z, 6, FALSE), "")</f>
        <v/>
      </c>
      <c r="G40" s="48" t="str">
        <f>IFERROR(VLOOKUP(B40, Current_Stats!A:Z, 11, FALSE), "")</f>
        <v/>
      </c>
      <c r="H40" s="87" t="str">
        <f t="shared" si="1"/>
        <v/>
      </c>
      <c r="I40" s="85"/>
      <c r="K40" s="86" t="str">
        <f>IFERROR(VLOOKUP(J40, Current_Stats!A:Z, 7, FALSE), "")</f>
        <v/>
      </c>
      <c r="L40" s="86" t="str">
        <f>IFERROR(VLOOKUP(J40, Previous_Stats!A:Z, 7, FALSE), "")</f>
        <v/>
      </c>
      <c r="M40" s="48" t="str">
        <f>IFERROR(VLOOKUP(J40, Current_Stats!A:Z, 3, FALSE), "")</f>
        <v/>
      </c>
      <c r="N40" s="48" t="str">
        <f>IFERROR(VLOOKUP(J40, Current_Stats!A:Z, 6, FALSE), "")</f>
        <v/>
      </c>
      <c r="O40" s="48" t="str">
        <f>IFERROR(VLOOKUP(J40, Current_Stats!A:Z, 11, FALSE), "")</f>
        <v/>
      </c>
      <c r="P40" s="86" t="str">
        <f t="shared" si="2"/>
        <v/>
      </c>
    </row>
    <row r="41">
      <c r="A41" s="80" t="str">
        <f t="array" ref="A41">IFERROR(
  INDEX(Refined_Data!A:A, MATCH(B41, Refined_Data!O:O, FALSE)),
"")</f>
        <v/>
      </c>
      <c r="B41" s="88" t="s">
        <v>1518</v>
      </c>
      <c r="S41" s="89"/>
      <c r="T41" s="89"/>
      <c r="U41" s="89"/>
      <c r="V41" s="89"/>
      <c r="W41" s="89"/>
      <c r="X41" s="89"/>
    </row>
    <row r="42">
      <c r="A42" s="80" t="str">
        <f t="array" ref="A42">IFERROR(
  INDEX(Refined_Data!A:A, MATCH(B42, Refined_Data!O:O, FALSE)),
"")</f>
        <v/>
      </c>
    </row>
    <row r="43">
      <c r="A43" s="80" t="str">
        <f t="array" ref="A43">IFERROR(
  INDEX(Refined_Data!A:A, MATCH(B43, Refined_Data!O:O, FALSE)),
"")</f>
        <v/>
      </c>
      <c r="B43" s="82" t="s">
        <v>1511</v>
      </c>
      <c r="C43" s="84" t="s">
        <v>1519</v>
      </c>
      <c r="D43" s="84" t="s">
        <v>1520</v>
      </c>
      <c r="E43" s="84" t="s">
        <v>1514</v>
      </c>
      <c r="F43" s="84" t="s">
        <v>10</v>
      </c>
      <c r="G43" s="84"/>
      <c r="H43" s="83"/>
      <c r="I43" s="85"/>
      <c r="J43" s="82" t="s">
        <v>1511</v>
      </c>
      <c r="K43" s="84" t="s">
        <v>1519</v>
      </c>
      <c r="L43" s="84" t="s">
        <v>1520</v>
      </c>
      <c r="M43" s="84" t="s">
        <v>1514</v>
      </c>
      <c r="N43" s="84" t="s">
        <v>10</v>
      </c>
      <c r="O43" s="84"/>
      <c r="P43" s="83"/>
    </row>
    <row r="44">
      <c r="A44" s="80" t="str">
        <f t="array" ref="A44">IFERROR(
  INDEX(Refined_Data!A:A, MATCH(B44, Refined_Data!O:O, FALSE)),
"")</f>
        <v>Kaur Brar, Dilpreet</v>
      </c>
      <c r="B44" s="48" t="str">
        <f>IFERROR(__xludf.DUMMYFUNCTION("FILTER(Current_Stats!A3:A1000, Current_Stats!G3:G1000 &lt;= 0.25, Current_Stats!C3:C1000 &gt;= 5)"),"Brar, Dilpreet Kaur")</f>
        <v>Brar, Dilpreet Kaur</v>
      </c>
      <c r="C44" s="86">
        <f>IFERROR(VLOOKUP(B44, Current_Stats!A:Z, 8, FALSE), "")</f>
        <v>0.778</v>
      </c>
      <c r="D44" s="86">
        <f>IFERROR(VLOOKUP(B44, Previous_Stats!A:Z, 8, FALSE), "")</f>
        <v>1</v>
      </c>
      <c r="E44" s="48">
        <f>IFERROR(VLOOKUP(B44, Current_Stats!A:Z, 3, FALSE), "")</f>
        <v>8</v>
      </c>
      <c r="F44" s="46">
        <f>IFERROR(VLOOKUP(A44, Refined_Data!A:Z, 3, FALSE), "")</f>
        <v>1</v>
      </c>
      <c r="H44" s="86"/>
      <c r="J44" s="48" t="str">
        <f>IFERROR(__xludf.DUMMYFUNCTION("FILTER(B44:B88, ISNUMBER(F44:F88), F44:F88 &gt;= 2, TRIM(SUBSTITUTE(B44:B88, CHAR(160), """")) &lt;&gt; """")"),"Cerdas Calvo, Deyanira")</f>
        <v>Cerdas Calvo, Deyanira</v>
      </c>
      <c r="K44" s="86">
        <f>IFERROR(VLOOKUP(J44, Current_Stats!A:Z, 8, FALSE), "")</f>
        <v>0.787</v>
      </c>
      <c r="L44" s="86">
        <f>IFERROR(VLOOKUP(J44, Previous_Stats!A:Z, 8, FALSE), "")</f>
        <v>0.811</v>
      </c>
      <c r="M44" s="48">
        <f>IFERROR(VLOOKUP(J44, Current_Stats!A:Z, 3, FALSE), "")</f>
        <v>16</v>
      </c>
      <c r="N44" s="48">
        <f>IFERROR(VLOOKUP(O44, Refined_Data!A:Z, 3, FALSE), "")</f>
        <v>2</v>
      </c>
      <c r="O44" s="80" t="str">
        <f t="array" ref="O44">IFERROR(
  INDEX(Refined_Data!A:A, MATCH(J44, Refined_Data!O:O, FALSE)),
"")</f>
        <v>Cerdas Calvo, Deyanira</v>
      </c>
      <c r="P44" s="86"/>
    </row>
    <row r="45">
      <c r="A45" s="80" t="str">
        <f t="array" ref="A45">IFERROR(
  INDEX(Refined_Data!A:A, MATCH(B45, Refined_Data!O:O, FALSE)),
"")</f>
        <v>Cerdas Calvo, Deyanira</v>
      </c>
      <c r="B45" s="48" t="str">
        <f>IFERROR(__xludf.DUMMYFUNCTION("""COMPUTED_VALUE"""),"Cerdas Calvo, Deyanira")</f>
        <v>Cerdas Calvo, Deyanira</v>
      </c>
      <c r="C45" s="86">
        <f>IFERROR(VLOOKUP(B45, Current_Stats!A:Z, 8, FALSE), "")</f>
        <v>0.787</v>
      </c>
      <c r="D45" s="86">
        <f>IFERROR(VLOOKUP(B45, Previous_Stats!A:Z, 8, FALSE), "")</f>
        <v>0.811</v>
      </c>
      <c r="E45" s="48">
        <f>IFERROR(VLOOKUP(B45, Current_Stats!A:Z, 3, FALSE), "")</f>
        <v>16</v>
      </c>
      <c r="F45" s="46">
        <f>IFERROR(VLOOKUP(A45, Refined_Data!A:Z, 3, FALSE), "")</f>
        <v>2</v>
      </c>
      <c r="H45" s="86"/>
      <c r="J45" s="48" t="str">
        <f>IFERROR(__xludf.DUMMYFUNCTION("""COMPUTED_VALUE"""),"Young, Helen")</f>
        <v>Young, Helen</v>
      </c>
      <c r="K45" s="86">
        <f>IFERROR(VLOOKUP(J45, Current_Stats!A:Z, 8, FALSE), "")</f>
        <v>0.845</v>
      </c>
      <c r="L45" s="86">
        <f>IFERROR(VLOOKUP(J45, Previous_Stats!A:Z, 8, FALSE), "")</f>
        <v>0.672</v>
      </c>
      <c r="M45" s="48">
        <f>IFERROR(VLOOKUP(J45, Current_Stats!A:Z, 3, FALSE), "")</f>
        <v>8</v>
      </c>
      <c r="N45" s="48">
        <f>IFERROR(VLOOKUP(O45, Refined_Data!A:Z, 3, FALSE), "")</f>
        <v>2</v>
      </c>
      <c r="O45" s="80" t="str">
        <f t="array" ref="O45">IFERROR(
  INDEX(Refined_Data!A:A, MATCH(J45, Refined_Data!O:O, FALSE)),
"")</f>
        <v>Young, Helen</v>
      </c>
      <c r="P45" s="86"/>
    </row>
    <row r="46">
      <c r="A46" s="80" t="str">
        <f t="array" ref="A46">IFERROR(
  INDEX(Refined_Data!A:A, MATCH(B46, Refined_Data!O:O, FALSE)),
"")</f>
        <v/>
      </c>
      <c r="B46" s="48" t="str">
        <f>IFERROR(__xludf.DUMMYFUNCTION("""COMPUTED_VALUE"""),"Cobrana, Mechille")</f>
        <v>Cobrana, Mechille</v>
      </c>
      <c r="C46" s="86">
        <f>IFERROR(VLOOKUP(B46, Current_Stats!A:Z, 8, FALSE), "")</f>
        <v>1</v>
      </c>
      <c r="D46" s="86" t="str">
        <f>IFERROR(VLOOKUP(B46, Previous_Stats!A:Z, 8, FALSE), "")</f>
        <v/>
      </c>
      <c r="E46" s="48">
        <f>IFERROR(VLOOKUP(B46, Current_Stats!A:Z, 3, FALSE), "")</f>
        <v>7</v>
      </c>
      <c r="F46" s="46" t="str">
        <f>IFERROR(VLOOKUP(A46, Refined_Data!A:Z, 3, FALSE), "")</f>
        <v/>
      </c>
      <c r="H46" s="86"/>
      <c r="K46" s="86" t="str">
        <f>IFERROR(VLOOKUP(J46, Current_Stats!A:Z, 8, FALSE), "")</f>
        <v/>
      </c>
      <c r="L46" s="86" t="str">
        <f>IFERROR(VLOOKUP(J46, Previous_Stats!A:Z, 8, FALSE), "")</f>
        <v/>
      </c>
      <c r="M46" s="48" t="str">
        <f>IFERROR(VLOOKUP(J46, Current_Stats!A:Z, 3, FALSE), "")</f>
        <v/>
      </c>
      <c r="N46" s="48" t="str">
        <f>IFERROR(VLOOKUP(O46, Refined_Data!A:Z, 3, FALSE), "")</f>
        <v/>
      </c>
      <c r="O46" s="80" t="str">
        <f t="array" ref="O46">IFERROR(
  INDEX(Refined_Data!A:A, MATCH(J46, Refined_Data!O:O, FALSE)),
"")</f>
        <v/>
      </c>
      <c r="P46" s="86"/>
    </row>
    <row r="47">
      <c r="A47" s="80" t="str">
        <f t="array" ref="A47">IFERROR(
  INDEX(Refined_Data!A:A, MATCH(B47, Refined_Data!O:O, FALSE)),
"")</f>
        <v>Lee, Robert</v>
      </c>
      <c r="B47" s="48" t="str">
        <f>IFERROR(__xludf.DUMMYFUNCTION("""COMPUTED_VALUE"""),"Lee, Robert")</f>
        <v>Lee, Robert</v>
      </c>
      <c r="C47" s="86">
        <f>IFERROR(VLOOKUP(B47, Current_Stats!A:Z, 8, FALSE), "")</f>
        <v>1</v>
      </c>
      <c r="D47" s="86">
        <f>IFERROR(VLOOKUP(B47, Previous_Stats!A:Z, 8, FALSE), "")</f>
        <v>1</v>
      </c>
      <c r="E47" s="48">
        <f>IFERROR(VLOOKUP(B47, Current_Stats!A:Z, 3, FALSE), "")</f>
        <v>7</v>
      </c>
      <c r="F47" s="46">
        <f>IFERROR(VLOOKUP(A47, Refined_Data!A:Z, 3, FALSE), "")</f>
        <v>1</v>
      </c>
      <c r="H47" s="86"/>
      <c r="K47" s="86" t="str">
        <f>IFERROR(VLOOKUP(J47, Current_Stats!A:Z, 8, FALSE), "")</f>
        <v/>
      </c>
      <c r="L47" s="86" t="str">
        <f>IFERROR(VLOOKUP(J47, Previous_Stats!A:Z, 8, FALSE), "")</f>
        <v/>
      </c>
      <c r="M47" s="48" t="str">
        <f>IFERROR(VLOOKUP(J47, Current_Stats!A:Z, 3, FALSE), "")</f>
        <v/>
      </c>
      <c r="N47" s="48" t="str">
        <f>IFERROR(VLOOKUP(O47, Refined_Data!A:Z, 3, FALSE), "")</f>
        <v/>
      </c>
      <c r="O47" s="80" t="str">
        <f t="array" ref="O47">IFERROR(
  INDEX(Refined_Data!A:A, MATCH(J47, Refined_Data!O:O, FALSE)),
"")</f>
        <v/>
      </c>
      <c r="P47" s="86"/>
    </row>
    <row r="48">
      <c r="A48" s="80" t="str">
        <f t="array" ref="A48">IFERROR(
  INDEX(Refined_Data!A:A, MATCH(B48, Refined_Data!O:O, FALSE)),
"")</f>
        <v>McCrory, Michael</v>
      </c>
      <c r="B48" s="48" t="str">
        <f>IFERROR(__xludf.DUMMYFUNCTION("""COMPUTED_VALUE"""),"McCrory, Michael")</f>
        <v>McCrory, Michael</v>
      </c>
      <c r="C48" s="86">
        <f>IFERROR(VLOOKUP(B48, Current_Stats!A:Z, 8, FALSE), "")</f>
        <v>0.998</v>
      </c>
      <c r="D48" s="86">
        <f>IFERROR(VLOOKUP(B48, Previous_Stats!A:Z, 8, FALSE), "")</f>
        <v>0.958</v>
      </c>
      <c r="E48" s="48">
        <f>IFERROR(VLOOKUP(B48, Current_Stats!A:Z, 3, FALSE), "")</f>
        <v>5</v>
      </c>
      <c r="F48" s="46">
        <f>IFERROR(VLOOKUP(A48, Refined_Data!A:Z, 3, FALSE), "")</f>
        <v>1</v>
      </c>
      <c r="H48" s="86"/>
      <c r="K48" s="86" t="str">
        <f>IFERROR(VLOOKUP(J48, Current_Stats!A:Z, 8, FALSE), "")</f>
        <v/>
      </c>
      <c r="L48" s="86" t="str">
        <f>IFERROR(VLOOKUP(J48, Previous_Stats!A:Z, 8, FALSE), "")</f>
        <v/>
      </c>
      <c r="M48" s="48" t="str">
        <f>IFERROR(VLOOKUP(J48, Current_Stats!A:Z, 3, FALSE), "")</f>
        <v/>
      </c>
      <c r="N48" s="48" t="str">
        <f>IFERROR(VLOOKUP(O48, Refined_Data!A:Z, 3, FALSE), "")</f>
        <v/>
      </c>
      <c r="O48" s="80" t="str">
        <f t="array" ref="O48">IFERROR(
  INDEX(Refined_Data!A:A, MATCH(J48, Refined_Data!O:O, FALSE)),
"")</f>
        <v/>
      </c>
      <c r="P48" s="86"/>
    </row>
    <row r="49">
      <c r="A49" s="80" t="str">
        <f t="array" ref="A49">IFERROR(
  INDEX(Refined_Data!A:A, MATCH(B49, Refined_Data!O:O, FALSE)),
"")</f>
        <v>Philemy, Weetler</v>
      </c>
      <c r="B49" s="48" t="str">
        <f>IFERROR(__xludf.DUMMYFUNCTION("""COMPUTED_VALUE"""),"Philemy, Weetler")</f>
        <v>Philemy, Weetler</v>
      </c>
      <c r="C49" s="86">
        <f>IFERROR(VLOOKUP(B49, Current_Stats!A:Z, 8, FALSE), "")</f>
        <v>1</v>
      </c>
      <c r="D49" s="86">
        <f>IFERROR(VLOOKUP(B49, Previous_Stats!A:Z, 8, FALSE), "")</f>
        <v>1</v>
      </c>
      <c r="E49" s="48">
        <f>IFERROR(VLOOKUP(B49, Current_Stats!A:Z, 3, FALSE), "")</f>
        <v>5</v>
      </c>
      <c r="F49" s="46">
        <f>IFERROR(VLOOKUP(A49, Refined_Data!A:Z, 3, FALSE), "")</f>
        <v>1</v>
      </c>
      <c r="H49" s="86"/>
      <c r="K49" s="86" t="str">
        <f>IFERROR(VLOOKUP(J49, Current_Stats!A:Z, 8, FALSE), "")</f>
        <v/>
      </c>
      <c r="L49" s="86" t="str">
        <f>IFERROR(VLOOKUP(J49, Previous_Stats!A:Z, 8, FALSE), "")</f>
        <v/>
      </c>
      <c r="M49" s="48" t="str">
        <f>IFERROR(VLOOKUP(J49, Current_Stats!A:Z, 3, FALSE), "")</f>
        <v/>
      </c>
      <c r="N49" s="48" t="str">
        <f>IFERROR(VLOOKUP(O49, Refined_Data!A:Z, 3, FALSE), "")</f>
        <v/>
      </c>
      <c r="O49" s="80" t="str">
        <f t="array" ref="O49">IFERROR(
  INDEX(Refined_Data!A:A, MATCH(J49, Refined_Data!O:O, FALSE)),
"")</f>
        <v/>
      </c>
      <c r="P49" s="86"/>
    </row>
    <row r="50">
      <c r="A50" s="80" t="str">
        <f t="array" ref="A50">IFERROR(
  INDEX(Refined_Data!A:A, MATCH(B50, Refined_Data!O:O, FALSE)),
"")</f>
        <v>Saint-Firmin, Alexandra</v>
      </c>
      <c r="B50" s="48" t="str">
        <f>IFERROR(__xludf.DUMMYFUNCTION("""COMPUTED_VALUE"""),"Saint-Firmin, Alexandra")</f>
        <v>Saint-Firmin, Alexandra</v>
      </c>
      <c r="C50" s="86">
        <f>IFERROR(VLOOKUP(B50, Current_Stats!A:Z, 8, FALSE), "")</f>
        <v>0.869</v>
      </c>
      <c r="D50" s="86">
        <f>IFERROR(VLOOKUP(B50, Previous_Stats!A:Z, 8, FALSE), "")</f>
        <v>1</v>
      </c>
      <c r="E50" s="48">
        <f>IFERROR(VLOOKUP(B50, Current_Stats!A:Z, 3, FALSE), "")</f>
        <v>5</v>
      </c>
      <c r="F50" s="46">
        <f>IFERROR(VLOOKUP(A50, Refined_Data!A:Z, 3, FALSE), "")</f>
        <v>1</v>
      </c>
      <c r="H50" s="86"/>
      <c r="K50" s="86" t="str">
        <f>IFERROR(VLOOKUP(J50, Current_Stats!A:Z, 8, FALSE), "")</f>
        <v/>
      </c>
      <c r="L50" s="86" t="str">
        <f>IFERROR(VLOOKUP(J50, Previous_Stats!A:Z, 8, FALSE), "")</f>
        <v/>
      </c>
      <c r="M50" s="48" t="str">
        <f>IFERROR(VLOOKUP(J50, Current_Stats!A:Z, 3, FALSE), "")</f>
        <v/>
      </c>
      <c r="N50" s="48" t="str">
        <f>IFERROR(VLOOKUP(O50, Refined_Data!A:Z, 3, FALSE), "")</f>
        <v/>
      </c>
      <c r="O50" s="80" t="str">
        <f t="array" ref="O50">IFERROR(
  INDEX(Refined_Data!A:A, MATCH(J50, Refined_Data!O:O, FALSE)),
"")</f>
        <v/>
      </c>
      <c r="P50" s="86"/>
    </row>
    <row r="51">
      <c r="A51" s="80" t="str">
        <f t="array" ref="A51">IFERROR(
  INDEX(Refined_Data!A:A, MATCH(B51, Refined_Data!O:O, FALSE)),
"")</f>
        <v>Villanueva, Tara</v>
      </c>
      <c r="B51" s="48" t="str">
        <f>IFERROR(__xludf.DUMMYFUNCTION("""COMPUTED_VALUE"""),"Villanueva, Tara")</f>
        <v>Villanueva, Tara</v>
      </c>
      <c r="C51" s="86">
        <f>IFERROR(VLOOKUP(B51, Current_Stats!A:Z, 8, FALSE), "")</f>
        <v>0.973</v>
      </c>
      <c r="D51" s="86">
        <f>IFERROR(VLOOKUP(B51, Previous_Stats!A:Z, 8, FALSE), "")</f>
        <v>0.98</v>
      </c>
      <c r="E51" s="48">
        <f>IFERROR(VLOOKUP(B51, Current_Stats!A:Z, 3, FALSE), "")</f>
        <v>8</v>
      </c>
      <c r="F51" s="46">
        <f>IFERROR(VLOOKUP(A51, Refined_Data!A:Z, 3, FALSE), "")</f>
        <v>1</v>
      </c>
      <c r="H51" s="86"/>
      <c r="K51" s="86" t="str">
        <f>IFERROR(VLOOKUP(J51, Current_Stats!A:Z, 8, FALSE), "")</f>
        <v/>
      </c>
      <c r="L51" s="86" t="str">
        <f>IFERROR(VLOOKUP(J51, Previous_Stats!A:Z, 8, FALSE), "")</f>
        <v/>
      </c>
      <c r="M51" s="48" t="str">
        <f>IFERROR(VLOOKUP(J51, Current_Stats!A:Z, 3, FALSE), "")</f>
        <v/>
      </c>
      <c r="N51" s="48" t="str">
        <f>IFERROR(VLOOKUP(O51, Refined_Data!A:Z, 3, FALSE), "")</f>
        <v/>
      </c>
      <c r="O51" s="80" t="str">
        <f t="array" ref="O51">IFERROR(
  INDEX(Refined_Data!A:A, MATCH(J51, Refined_Data!O:O, FALSE)),
"")</f>
        <v/>
      </c>
      <c r="P51" s="86"/>
    </row>
    <row r="52">
      <c r="A52" s="80" t="str">
        <f t="array" ref="A52">IFERROR(
  INDEX(Refined_Data!A:A, MATCH(B52, Refined_Data!O:O, FALSE)),
"")</f>
        <v>Young, Helen</v>
      </c>
      <c r="B52" s="48" t="str">
        <f>IFERROR(__xludf.DUMMYFUNCTION("""COMPUTED_VALUE"""),"Young, Helen")</f>
        <v>Young, Helen</v>
      </c>
      <c r="C52" s="86">
        <f>IFERROR(VLOOKUP(B52, Current_Stats!A:Z, 8, FALSE), "")</f>
        <v>0.845</v>
      </c>
      <c r="D52" s="86">
        <f>IFERROR(VLOOKUP(B52, Previous_Stats!A:Z, 8, FALSE), "")</f>
        <v>0.672</v>
      </c>
      <c r="E52" s="48">
        <f>IFERROR(VLOOKUP(B52, Current_Stats!A:Z, 3, FALSE), "")</f>
        <v>8</v>
      </c>
      <c r="F52" s="46">
        <f>IFERROR(VLOOKUP(A52, Refined_Data!A:Z, 3, FALSE), "")</f>
        <v>2</v>
      </c>
      <c r="H52" s="86"/>
      <c r="K52" s="86" t="str">
        <f>IFERROR(VLOOKUP(J52, Current_Stats!A:Z, 8, FALSE), "")</f>
        <v/>
      </c>
      <c r="L52" s="86" t="str">
        <f>IFERROR(VLOOKUP(J52, Previous_Stats!A:Z, 8, FALSE), "")</f>
        <v/>
      </c>
      <c r="M52" s="48" t="str">
        <f>IFERROR(VLOOKUP(J52, Current_Stats!A:Z, 3, FALSE), "")</f>
        <v/>
      </c>
      <c r="N52" s="48" t="str">
        <f>IFERROR(VLOOKUP(O52, Refined_Data!A:Z, 3, FALSE), "")</f>
        <v/>
      </c>
      <c r="O52" s="80" t="str">
        <f t="array" ref="O52">IFERROR(
  INDEX(Refined_Data!A:A, MATCH(J52, Refined_Data!O:O, FALSE)),
"")</f>
        <v/>
      </c>
      <c r="P52" s="86"/>
    </row>
    <row r="53">
      <c r="A53" s="80" t="str">
        <f t="array" ref="A53">IFERROR(
  INDEX(Refined_Data!A:A, MATCH(B53, Refined_Data!O:O, FALSE)),
"")</f>
        <v/>
      </c>
      <c r="C53" s="86" t="str">
        <f>IFERROR(VLOOKUP(B53, Current_Stats!A:Z, 8, FALSE), "")</f>
        <v/>
      </c>
      <c r="D53" s="86" t="str">
        <f>IFERROR(VLOOKUP(B53, Previous_Stats!A:Z, 8, FALSE), "")</f>
        <v/>
      </c>
      <c r="E53" s="48" t="str">
        <f>IFERROR(VLOOKUP(B53, Current_Stats!A:Z, 3, FALSE), "")</f>
        <v/>
      </c>
      <c r="F53" s="46" t="str">
        <f>IFERROR(VLOOKUP(A53, Refined_Data!A:Z, 3, FALSE), "")</f>
        <v/>
      </c>
      <c r="H53" s="86"/>
      <c r="K53" s="86" t="str">
        <f>IFERROR(VLOOKUP(J53, Current_Stats!A:Z, 8, FALSE), "")</f>
        <v/>
      </c>
      <c r="L53" s="86" t="str">
        <f>IFERROR(VLOOKUP(J53, Previous_Stats!A:Z, 8, FALSE), "")</f>
        <v/>
      </c>
      <c r="M53" s="48" t="str">
        <f>IFERROR(VLOOKUP(J53, Current_Stats!A:Z, 3, FALSE), "")</f>
        <v/>
      </c>
      <c r="N53" s="48" t="str">
        <f>IFERROR(VLOOKUP(O53, Refined_Data!A:Z, 3, FALSE), "")</f>
        <v/>
      </c>
      <c r="O53" s="80" t="str">
        <f t="array" ref="O53">IFERROR(
  INDEX(Refined_Data!A:A, MATCH(J53, Refined_Data!O:O, FALSE)),
"")</f>
        <v/>
      </c>
      <c r="P53" s="86"/>
    </row>
    <row r="54">
      <c r="A54" s="80" t="str">
        <f t="array" ref="A54">IFERROR(
  INDEX(Refined_Data!A:A, MATCH(B54, Refined_Data!O:O, FALSE)),
"")</f>
        <v/>
      </c>
      <c r="C54" s="86" t="str">
        <f>IFERROR(VLOOKUP(B54, Current_Stats!A:Z, 8, FALSE), "")</f>
        <v/>
      </c>
      <c r="D54" s="86" t="str">
        <f>IFERROR(VLOOKUP(B54, Previous_Stats!A:Z, 8, FALSE), "")</f>
        <v/>
      </c>
      <c r="E54" s="48" t="str">
        <f>IFERROR(VLOOKUP(B54, Current_Stats!A:Z, 3, FALSE), "")</f>
        <v/>
      </c>
      <c r="F54" s="46" t="str">
        <f>IFERROR(VLOOKUP(A54, Refined_Data!A:Z, 3, FALSE), "")</f>
        <v/>
      </c>
      <c r="H54" s="86"/>
      <c r="K54" s="86" t="str">
        <f>IFERROR(VLOOKUP(J54, Current_Stats!A:Z, 8, FALSE), "")</f>
        <v/>
      </c>
      <c r="L54" s="86" t="str">
        <f>IFERROR(VLOOKUP(J54, Previous_Stats!A:Z, 8, FALSE), "")</f>
        <v/>
      </c>
      <c r="M54" s="48" t="str">
        <f>IFERROR(VLOOKUP(J54, Current_Stats!A:Z, 3, FALSE), "")</f>
        <v/>
      </c>
      <c r="N54" s="48" t="str">
        <f>IFERROR(VLOOKUP(O54, Refined_Data!A:Z, 3, FALSE), "")</f>
        <v/>
      </c>
      <c r="O54" s="80" t="str">
        <f t="array" ref="O54">IFERROR(
  INDEX(Refined_Data!A:A, MATCH(J54, Refined_Data!O:O, FALSE)),
"")</f>
        <v/>
      </c>
      <c r="P54" s="86"/>
    </row>
    <row r="55">
      <c r="A55" s="80" t="str">
        <f t="array" ref="A55">IFERROR(
  INDEX(Refined_Data!A:A, MATCH(B55, Refined_Data!O:O, FALSE)),
"")</f>
        <v/>
      </c>
      <c r="C55" s="86" t="str">
        <f>IFERROR(VLOOKUP(B55, Current_Stats!A:Z, 8, FALSE), "")</f>
        <v/>
      </c>
      <c r="D55" s="86" t="str">
        <f>IFERROR(VLOOKUP(B55, Previous_Stats!A:Z, 8, FALSE), "")</f>
        <v/>
      </c>
      <c r="E55" s="48" t="str">
        <f>IFERROR(VLOOKUP(B55, Current_Stats!A:Z, 3, FALSE), "")</f>
        <v/>
      </c>
      <c r="F55" s="46" t="str">
        <f>IFERROR(VLOOKUP(A55, Refined_Data!A:Z, 3, FALSE), "")</f>
        <v/>
      </c>
      <c r="H55" s="86"/>
      <c r="K55" s="86" t="str">
        <f>IFERROR(VLOOKUP(J55, Current_Stats!A:Z, 8, FALSE), "")</f>
        <v/>
      </c>
      <c r="L55" s="86" t="str">
        <f>IFERROR(VLOOKUP(J55, Previous_Stats!A:Z, 8, FALSE), "")</f>
        <v/>
      </c>
      <c r="M55" s="48" t="str">
        <f>IFERROR(VLOOKUP(J55, Current_Stats!A:Z, 3, FALSE), "")</f>
        <v/>
      </c>
      <c r="N55" s="48" t="str">
        <f>IFERROR(VLOOKUP(O55, Refined_Data!A:Z, 3, FALSE), "")</f>
        <v/>
      </c>
      <c r="O55" s="80" t="str">
        <f t="array" ref="O55">IFERROR(
  INDEX(Refined_Data!A:A, MATCH(J55, Refined_Data!O:O, FALSE)),
"")</f>
        <v/>
      </c>
      <c r="P55" s="86"/>
    </row>
    <row r="56">
      <c r="A56" s="80" t="str">
        <f t="array" ref="A56">IFERROR(
  INDEX(Refined_Data!A:A, MATCH(B56, Refined_Data!O:O, FALSE)),
"")</f>
        <v/>
      </c>
      <c r="C56" s="86" t="str">
        <f>IFERROR(VLOOKUP(B56, Current_Stats!A:Z, 8, FALSE), "")</f>
        <v/>
      </c>
      <c r="D56" s="86" t="str">
        <f>IFERROR(VLOOKUP(B56, Previous_Stats!A:Z, 8, FALSE), "")</f>
        <v/>
      </c>
      <c r="E56" s="48" t="str">
        <f>IFERROR(VLOOKUP(B56, Current_Stats!A:Z, 3, FALSE), "")</f>
        <v/>
      </c>
      <c r="F56" s="46" t="str">
        <f>IFERROR(VLOOKUP(A56, Refined_Data!A:Z, 3, FALSE), "")</f>
        <v/>
      </c>
      <c r="H56" s="86"/>
      <c r="K56" s="86" t="str">
        <f>IFERROR(VLOOKUP(J56, Current_Stats!A:Z, 8, FALSE), "")</f>
        <v/>
      </c>
      <c r="L56" s="86" t="str">
        <f>IFERROR(VLOOKUP(J56, Previous_Stats!A:Z, 8, FALSE), "")</f>
        <v/>
      </c>
      <c r="M56" s="48" t="str">
        <f>IFERROR(VLOOKUP(J56, Current_Stats!A:Z, 3, FALSE), "")</f>
        <v/>
      </c>
      <c r="N56" s="48" t="str">
        <f>IFERROR(VLOOKUP(O56, Refined_Data!A:Z, 3, FALSE), "")</f>
        <v/>
      </c>
      <c r="O56" s="80" t="str">
        <f t="array" ref="O56">IFERROR(
  INDEX(Refined_Data!A:A, MATCH(J56, Refined_Data!O:O, FALSE)),
"")</f>
        <v/>
      </c>
      <c r="P56" s="86"/>
    </row>
    <row r="57">
      <c r="A57" s="80" t="str">
        <f t="array" ref="A57">IFERROR(
  INDEX(Refined_Data!A:A, MATCH(B57, Refined_Data!O:O, FALSE)),
"")</f>
        <v/>
      </c>
      <c r="C57" s="86" t="str">
        <f>IFERROR(VLOOKUP(B57, Current_Stats!A:Z, 8, FALSE), "")</f>
        <v/>
      </c>
      <c r="D57" s="86" t="str">
        <f>IFERROR(VLOOKUP(B57, Previous_Stats!A:Z, 8, FALSE), "")</f>
        <v/>
      </c>
      <c r="E57" s="48" t="str">
        <f>IFERROR(VLOOKUP(B57, Current_Stats!A:Z, 3, FALSE), "")</f>
        <v/>
      </c>
      <c r="F57" s="46" t="str">
        <f>IFERROR(VLOOKUP(A57, Refined_Data!A:Z, 3, FALSE), "")</f>
        <v/>
      </c>
      <c r="H57" s="86"/>
      <c r="K57" s="86" t="str">
        <f>IFERROR(VLOOKUP(J57, Current_Stats!A:Z, 8, FALSE), "")</f>
        <v/>
      </c>
      <c r="L57" s="86" t="str">
        <f>IFERROR(VLOOKUP(J57, Previous_Stats!A:Z, 8, FALSE), "")</f>
        <v/>
      </c>
      <c r="M57" s="48" t="str">
        <f>IFERROR(VLOOKUP(J57, Current_Stats!A:Z, 3, FALSE), "")</f>
        <v/>
      </c>
      <c r="N57" s="48" t="str">
        <f>IFERROR(VLOOKUP(O57, Refined_Data!A:Z, 3, FALSE), "")</f>
        <v/>
      </c>
      <c r="O57" s="80" t="str">
        <f t="array" ref="O57">IFERROR(
  INDEX(Refined_Data!A:A, MATCH(J57, Refined_Data!O:O, FALSE)),
"")</f>
        <v/>
      </c>
      <c r="P57" s="86"/>
    </row>
    <row r="58">
      <c r="A58" s="80" t="str">
        <f t="array" ref="A58">IFERROR(
  INDEX(Refined_Data!A:A, MATCH(B58, Refined_Data!O:O, FALSE)),
"")</f>
        <v/>
      </c>
      <c r="C58" s="86" t="str">
        <f>IFERROR(VLOOKUP(B58, Current_Stats!A:Z, 8, FALSE), "")</f>
        <v/>
      </c>
      <c r="D58" s="86" t="str">
        <f>IFERROR(VLOOKUP(B58, Previous_Stats!A:Z, 8, FALSE), "")</f>
        <v/>
      </c>
      <c r="E58" s="48" t="str">
        <f>IFERROR(VLOOKUP(B58, Current_Stats!A:Z, 3, FALSE), "")</f>
        <v/>
      </c>
      <c r="F58" s="46" t="str">
        <f>IFERROR(VLOOKUP(A58, Refined_Data!A:Z, 3, FALSE), "")</f>
        <v/>
      </c>
      <c r="H58" s="86"/>
      <c r="K58" s="86" t="str">
        <f>IFERROR(VLOOKUP(J58, Current_Stats!A:Z, 8, FALSE), "")</f>
        <v/>
      </c>
      <c r="L58" s="86" t="str">
        <f>IFERROR(VLOOKUP(J58, Previous_Stats!A:Z, 8, FALSE), "")</f>
        <v/>
      </c>
      <c r="M58" s="48" t="str">
        <f>IFERROR(VLOOKUP(J58, Current_Stats!A:Z, 3, FALSE), "")</f>
        <v/>
      </c>
      <c r="N58" s="48" t="str">
        <f>IFERROR(VLOOKUP(O58, Refined_Data!A:Z, 3, FALSE), "")</f>
        <v/>
      </c>
      <c r="O58" s="80" t="str">
        <f t="array" ref="O58">IFERROR(
  INDEX(Refined_Data!A:A, MATCH(J58, Refined_Data!O:O, FALSE)),
"")</f>
        <v/>
      </c>
      <c r="P58" s="86"/>
    </row>
    <row r="59">
      <c r="A59" s="80" t="str">
        <f t="array" ref="A59">IFERROR(
  INDEX(Refined_Data!A:A, MATCH(B59, Refined_Data!O:O, FALSE)),
"")</f>
        <v/>
      </c>
      <c r="C59" s="86" t="str">
        <f>IFERROR(VLOOKUP(B59, Current_Stats!A:Z, 8, FALSE), "")</f>
        <v/>
      </c>
      <c r="D59" s="86" t="str">
        <f>IFERROR(VLOOKUP(B59, Previous_Stats!A:Z, 8, FALSE), "")</f>
        <v/>
      </c>
      <c r="E59" s="48" t="str">
        <f>IFERROR(VLOOKUP(B59, Current_Stats!A:Z, 3, FALSE), "")</f>
        <v/>
      </c>
      <c r="F59" s="46" t="str">
        <f>IFERROR(VLOOKUP(A59, Refined_Data!A:Z, 3, FALSE), "")</f>
        <v/>
      </c>
      <c r="H59" s="86"/>
      <c r="K59" s="86" t="str">
        <f>IFERROR(VLOOKUP(J59, Current_Stats!A:Z, 8, FALSE), "")</f>
        <v/>
      </c>
      <c r="L59" s="86" t="str">
        <f>IFERROR(VLOOKUP(J59, Previous_Stats!A:Z, 8, FALSE), "")</f>
        <v/>
      </c>
      <c r="M59" s="48" t="str">
        <f>IFERROR(VLOOKUP(J59, Current_Stats!A:Z, 3, FALSE), "")</f>
        <v/>
      </c>
      <c r="N59" s="48" t="str">
        <f>IFERROR(VLOOKUP(O59, Refined_Data!A:Z, 3, FALSE), "")</f>
        <v/>
      </c>
      <c r="O59" s="80" t="str">
        <f t="array" ref="O59">IFERROR(
  INDEX(Refined_Data!A:A, MATCH(J59, Refined_Data!O:O, FALSE)),
"")</f>
        <v/>
      </c>
      <c r="P59" s="86"/>
    </row>
    <row r="60">
      <c r="A60" s="80" t="str">
        <f t="array" ref="A60">IFERROR(
  INDEX(Refined_Data!A:A, MATCH(B60, Refined_Data!O:O, FALSE)),
"")</f>
        <v/>
      </c>
      <c r="C60" s="86" t="str">
        <f>IFERROR(VLOOKUP(B60, Current_Stats!A:Z, 8, FALSE), "")</f>
        <v/>
      </c>
      <c r="D60" s="86" t="str">
        <f>IFERROR(VLOOKUP(B60, Previous_Stats!A:Z, 8, FALSE), "")</f>
        <v/>
      </c>
      <c r="E60" s="48" t="str">
        <f>IFERROR(VLOOKUP(B60, Current_Stats!A:Z, 3, FALSE), "")</f>
        <v/>
      </c>
      <c r="F60" s="46" t="str">
        <f>IFERROR(VLOOKUP(A60, Refined_Data!A:Z, 3, FALSE), "")</f>
        <v/>
      </c>
      <c r="H60" s="86"/>
      <c r="K60" s="86" t="str">
        <f>IFERROR(VLOOKUP(J60, Current_Stats!A:Z, 8, FALSE), "")</f>
        <v/>
      </c>
      <c r="L60" s="86" t="str">
        <f>IFERROR(VLOOKUP(J60, Previous_Stats!A:Z, 8, FALSE), "")</f>
        <v/>
      </c>
      <c r="M60" s="48" t="str">
        <f>IFERROR(VLOOKUP(J60, Current_Stats!A:Z, 3, FALSE), "")</f>
        <v/>
      </c>
      <c r="N60" s="48" t="str">
        <f>IFERROR(VLOOKUP(O60, Refined_Data!A:Z, 3, FALSE), "")</f>
        <v/>
      </c>
      <c r="O60" s="80" t="str">
        <f t="array" ref="O60">IFERROR(
  INDEX(Refined_Data!A:A, MATCH(J60, Refined_Data!O:O, FALSE)),
"")</f>
        <v/>
      </c>
      <c r="P60" s="86"/>
    </row>
    <row r="61">
      <c r="A61" s="80" t="str">
        <f t="array" ref="A61">IFERROR(
  INDEX(Refined_Data!A:A, MATCH(B61, Refined_Data!O:O, FALSE)),
"")</f>
        <v/>
      </c>
      <c r="C61" s="86" t="str">
        <f>IFERROR(VLOOKUP(B61, Current_Stats!A:Z, 8, FALSE), "")</f>
        <v/>
      </c>
      <c r="D61" s="86" t="str">
        <f>IFERROR(VLOOKUP(B61, Previous_Stats!A:Z, 8, FALSE), "")</f>
        <v/>
      </c>
      <c r="E61" s="48" t="str">
        <f>IFERROR(VLOOKUP(B61, Current_Stats!A:Z, 3, FALSE), "")</f>
        <v/>
      </c>
      <c r="F61" s="46" t="str">
        <f>IFERROR(VLOOKUP(A61, Refined_Data!A:Z, 3, FALSE), "")</f>
        <v/>
      </c>
      <c r="H61" s="86"/>
      <c r="K61" s="86" t="str">
        <f>IFERROR(VLOOKUP(J61, Current_Stats!A:Z, 8, FALSE), "")</f>
        <v/>
      </c>
      <c r="L61" s="86" t="str">
        <f>IFERROR(VLOOKUP(J61, Previous_Stats!A:Z, 8, FALSE), "")</f>
        <v/>
      </c>
      <c r="M61" s="48" t="str">
        <f>IFERROR(VLOOKUP(J61, Current_Stats!A:Z, 3, FALSE), "")</f>
        <v/>
      </c>
      <c r="N61" s="48" t="str">
        <f>IFERROR(VLOOKUP(O61, Refined_Data!A:Z, 3, FALSE), "")</f>
        <v/>
      </c>
      <c r="O61" s="80" t="str">
        <f t="array" ref="O61">IFERROR(
  INDEX(Refined_Data!A:A, MATCH(J61, Refined_Data!O:O, FALSE)),
"")</f>
        <v/>
      </c>
      <c r="P61" s="86"/>
    </row>
    <row r="62">
      <c r="A62" s="80" t="str">
        <f t="array" ref="A62">IFERROR(
  INDEX(Refined_Data!A:A, MATCH(B62, Refined_Data!O:O, FALSE)),
"")</f>
        <v/>
      </c>
      <c r="C62" s="86" t="str">
        <f>IFERROR(VLOOKUP(B62, Current_Stats!A:Z, 8, FALSE), "")</f>
        <v/>
      </c>
      <c r="D62" s="86" t="str">
        <f>IFERROR(VLOOKUP(B62, Previous_Stats!A:Z, 8, FALSE), "")</f>
        <v/>
      </c>
      <c r="E62" s="48" t="str">
        <f>IFERROR(VLOOKUP(B62, Current_Stats!A:Z, 3, FALSE), "")</f>
        <v/>
      </c>
      <c r="F62" s="46" t="str">
        <f>IFERROR(VLOOKUP(A62, Refined_Data!A:Z, 3, FALSE), "")</f>
        <v/>
      </c>
      <c r="H62" s="86"/>
      <c r="K62" s="86" t="str">
        <f>IFERROR(VLOOKUP(J62, Current_Stats!A:Z, 8, FALSE), "")</f>
        <v/>
      </c>
      <c r="L62" s="86" t="str">
        <f>IFERROR(VLOOKUP(J62, Previous_Stats!A:Z, 8, FALSE), "")</f>
        <v/>
      </c>
      <c r="M62" s="48" t="str">
        <f>IFERROR(VLOOKUP(J62, Current_Stats!A:Z, 3, FALSE), "")</f>
        <v/>
      </c>
      <c r="N62" s="48" t="str">
        <f>IFERROR(VLOOKUP(O62, Refined_Data!A:Z, 3, FALSE), "")</f>
        <v/>
      </c>
      <c r="O62" s="80" t="str">
        <f t="array" ref="O62">IFERROR(
  INDEX(Refined_Data!A:A, MATCH(J62, Refined_Data!O:O, FALSE)),
"")</f>
        <v/>
      </c>
      <c r="P62" s="86"/>
    </row>
    <row r="63">
      <c r="A63" s="80" t="str">
        <f t="array" ref="A63">IFERROR(
  INDEX(Refined_Data!A:A, MATCH(B63, Refined_Data!O:O, FALSE)),
"")</f>
        <v/>
      </c>
      <c r="C63" s="86" t="str">
        <f>IFERROR(VLOOKUP(B63, Current_Stats!A:Z, 8, FALSE), "")</f>
        <v/>
      </c>
      <c r="D63" s="86" t="str">
        <f>IFERROR(VLOOKUP(B63, Previous_Stats!A:Z, 8, FALSE), "")</f>
        <v/>
      </c>
      <c r="E63" s="48" t="str">
        <f>IFERROR(VLOOKUP(B63, Current_Stats!A:Z, 3, FALSE), "")</f>
        <v/>
      </c>
      <c r="F63" s="46" t="str">
        <f>IFERROR(VLOOKUP(A63, Refined_Data!A:Z, 3, FALSE), "")</f>
        <v/>
      </c>
      <c r="H63" s="86"/>
      <c r="K63" s="86" t="str">
        <f>IFERROR(VLOOKUP(J63, Current_Stats!A:Z, 8, FALSE), "")</f>
        <v/>
      </c>
      <c r="L63" s="86" t="str">
        <f>IFERROR(VLOOKUP(J63, Previous_Stats!A:Z, 8, FALSE), "")</f>
        <v/>
      </c>
      <c r="M63" s="48" t="str">
        <f>IFERROR(VLOOKUP(J63, Current_Stats!A:Z, 3, FALSE), "")</f>
        <v/>
      </c>
      <c r="N63" s="48" t="str">
        <f>IFERROR(VLOOKUP(O63, Refined_Data!A:Z, 3, FALSE), "")</f>
        <v/>
      </c>
      <c r="O63" s="80" t="str">
        <f t="array" ref="O63">IFERROR(
  INDEX(Refined_Data!A:A, MATCH(J63, Refined_Data!O:O, FALSE)),
"")</f>
        <v/>
      </c>
      <c r="P63" s="86"/>
    </row>
    <row r="64">
      <c r="A64" s="80" t="str">
        <f t="array" ref="A64">IFERROR(
  INDEX(Refined_Data!A:A, MATCH(B64, Refined_Data!O:O, FALSE)),
"")</f>
        <v/>
      </c>
      <c r="C64" s="86" t="str">
        <f>IFERROR(VLOOKUP(B64, Current_Stats!A:Z, 8, FALSE), "")</f>
        <v/>
      </c>
      <c r="D64" s="86" t="str">
        <f>IFERROR(VLOOKUP(B64, Previous_Stats!A:Z, 8, FALSE), "")</f>
        <v/>
      </c>
      <c r="E64" s="48" t="str">
        <f>IFERROR(VLOOKUP(B64, Current_Stats!A:Z, 3, FALSE), "")</f>
        <v/>
      </c>
      <c r="F64" s="46" t="str">
        <f>IFERROR(VLOOKUP(A64, Refined_Data!A:Z, 3, FALSE), "")</f>
        <v/>
      </c>
      <c r="H64" s="86"/>
      <c r="K64" s="86" t="str">
        <f>IFERROR(VLOOKUP(J64, Current_Stats!A:Z, 8, FALSE), "")</f>
        <v/>
      </c>
      <c r="L64" s="86" t="str">
        <f>IFERROR(VLOOKUP(J64, Previous_Stats!A:Z, 8, FALSE), "")</f>
        <v/>
      </c>
      <c r="M64" s="48" t="str">
        <f>IFERROR(VLOOKUP(J64, Current_Stats!A:Z, 3, FALSE), "")</f>
        <v/>
      </c>
      <c r="N64" s="48" t="str">
        <f>IFERROR(VLOOKUP(O64, Refined_Data!A:Z, 3, FALSE), "")</f>
        <v/>
      </c>
      <c r="O64" s="80" t="str">
        <f t="array" ref="O64">IFERROR(
  INDEX(Refined_Data!A:A, MATCH(J64, Refined_Data!O:O, FALSE)),
"")</f>
        <v/>
      </c>
      <c r="P64" s="86"/>
    </row>
    <row r="65">
      <c r="A65" s="80" t="str">
        <f t="array" ref="A65">IFERROR(
  INDEX(Refined_Data!A:A, MATCH(B65, Refined_Data!O:O, FALSE)),
"")</f>
        <v/>
      </c>
      <c r="C65" s="86" t="str">
        <f>IFERROR(VLOOKUP(B65, Current_Stats!A:Z, 8, FALSE), "")</f>
        <v/>
      </c>
      <c r="D65" s="86" t="str">
        <f>IFERROR(VLOOKUP(B65, Previous_Stats!A:Z, 8, FALSE), "")</f>
        <v/>
      </c>
      <c r="E65" s="48" t="str">
        <f>IFERROR(VLOOKUP(B65, Current_Stats!A:Z, 3, FALSE), "")</f>
        <v/>
      </c>
      <c r="F65" s="46" t="str">
        <f>IFERROR(VLOOKUP(A65, Refined_Data!A:Z, 3, FALSE), "")</f>
        <v/>
      </c>
      <c r="H65" s="86"/>
      <c r="K65" s="86" t="str">
        <f>IFERROR(VLOOKUP(J65, Current_Stats!A:Z, 8, FALSE), "")</f>
        <v/>
      </c>
      <c r="L65" s="86" t="str">
        <f>IFERROR(VLOOKUP(J65, Previous_Stats!A:Z, 8, FALSE), "")</f>
        <v/>
      </c>
      <c r="M65" s="48" t="str">
        <f>IFERROR(VLOOKUP(J65, Current_Stats!A:Z, 3, FALSE), "")</f>
        <v/>
      </c>
      <c r="N65" s="48" t="str">
        <f>IFERROR(VLOOKUP(O65, Refined_Data!A:Z, 3, FALSE), "")</f>
        <v/>
      </c>
      <c r="O65" s="80" t="str">
        <f t="array" ref="O65">IFERROR(
  INDEX(Refined_Data!A:A, MATCH(J65, Refined_Data!O:O, FALSE)),
"")</f>
        <v/>
      </c>
      <c r="P65" s="86"/>
    </row>
    <row r="66">
      <c r="A66" s="80" t="str">
        <f t="array" ref="A66">IFERROR(
  INDEX(Refined_Data!A:A, MATCH(B66, Refined_Data!O:O, FALSE)),
"")</f>
        <v/>
      </c>
      <c r="C66" s="86" t="str">
        <f>IFERROR(VLOOKUP(B66, Current_Stats!A:Z, 8, FALSE), "")</f>
        <v/>
      </c>
      <c r="D66" s="86" t="str">
        <f>IFERROR(VLOOKUP(B66, Previous_Stats!A:Z, 8, FALSE), "")</f>
        <v/>
      </c>
      <c r="E66" s="48" t="str">
        <f>IFERROR(VLOOKUP(B66, Current_Stats!A:Z, 3, FALSE), "")</f>
        <v/>
      </c>
      <c r="F66" s="46" t="str">
        <f>IFERROR(VLOOKUP(A66, Refined_Data!A:Z, 3, FALSE), "")</f>
        <v/>
      </c>
      <c r="H66" s="86"/>
      <c r="K66" s="86" t="str">
        <f>IFERROR(VLOOKUP(J66, Current_Stats!A:Z, 8, FALSE), "")</f>
        <v/>
      </c>
      <c r="L66" s="86" t="str">
        <f>IFERROR(VLOOKUP(J66, Previous_Stats!A:Z, 8, FALSE), "")</f>
        <v/>
      </c>
      <c r="M66" s="48" t="str">
        <f>IFERROR(VLOOKUP(J66, Current_Stats!A:Z, 3, FALSE), "")</f>
        <v/>
      </c>
      <c r="N66" s="48" t="str">
        <f>IFERROR(VLOOKUP(O66, Refined_Data!A:Z, 3, FALSE), "")</f>
        <v/>
      </c>
      <c r="O66" s="80" t="str">
        <f t="array" ref="O66">IFERROR(
  INDEX(Refined_Data!A:A, MATCH(J66, Refined_Data!O:O, FALSE)),
"")</f>
        <v/>
      </c>
      <c r="P66" s="86"/>
    </row>
    <row r="67">
      <c r="A67" s="80" t="str">
        <f t="array" ref="A67">IFERROR(
  INDEX(Refined_Data!A:A, MATCH(B67, Refined_Data!O:O, FALSE)),
"")</f>
        <v/>
      </c>
      <c r="C67" s="86" t="str">
        <f>IFERROR(VLOOKUP(B67, Current_Stats!A:Z, 8, FALSE), "")</f>
        <v/>
      </c>
      <c r="D67" s="86" t="str">
        <f>IFERROR(VLOOKUP(B67, Previous_Stats!A:Z, 8, FALSE), "")</f>
        <v/>
      </c>
      <c r="E67" s="48" t="str">
        <f>IFERROR(VLOOKUP(B67, Current_Stats!A:Z, 3, FALSE), "")</f>
        <v/>
      </c>
      <c r="F67" s="46" t="str">
        <f>IFERROR(VLOOKUP(A67, Refined_Data!A:Z, 3, FALSE), "")</f>
        <v/>
      </c>
      <c r="H67" s="86"/>
      <c r="K67" s="86" t="str">
        <f>IFERROR(VLOOKUP(J67, Current_Stats!A:Z, 8, FALSE), "")</f>
        <v/>
      </c>
      <c r="L67" s="86" t="str">
        <f>IFERROR(VLOOKUP(J67, Previous_Stats!A:Z, 8, FALSE), "")</f>
        <v/>
      </c>
      <c r="M67" s="48" t="str">
        <f>IFERROR(VLOOKUP(J67, Current_Stats!A:Z, 3, FALSE), "")</f>
        <v/>
      </c>
      <c r="N67" s="48" t="str">
        <f>IFERROR(VLOOKUP(O67, Refined_Data!A:Z, 3, FALSE), "")</f>
        <v/>
      </c>
      <c r="O67" s="80" t="str">
        <f t="array" ref="O67">IFERROR(
  INDEX(Refined_Data!A:A, MATCH(J67, Refined_Data!O:O, FALSE)),
"")</f>
        <v/>
      </c>
      <c r="P67" s="86"/>
    </row>
    <row r="68">
      <c r="A68" s="80" t="str">
        <f t="array" ref="A68">IFERROR(
  INDEX(Refined_Data!A:A, MATCH(B68, Refined_Data!O:O, FALSE)),
"")</f>
        <v/>
      </c>
      <c r="C68" s="86" t="str">
        <f>IFERROR(VLOOKUP(B68, Current_Stats!A:Z, 8, FALSE), "")</f>
        <v/>
      </c>
      <c r="D68" s="86" t="str">
        <f>IFERROR(VLOOKUP(B68, Previous_Stats!A:Z, 8, FALSE), "")</f>
        <v/>
      </c>
      <c r="E68" s="48" t="str">
        <f>IFERROR(VLOOKUP(B68, Current_Stats!A:Z, 3, FALSE), "")</f>
        <v/>
      </c>
      <c r="F68" s="46" t="str">
        <f>IFERROR(VLOOKUP(A68, Refined_Data!A:Z, 3, FALSE), "")</f>
        <v/>
      </c>
      <c r="H68" s="86"/>
      <c r="K68" s="86" t="str">
        <f>IFERROR(VLOOKUP(J68, Current_Stats!A:Z, 8, FALSE), "")</f>
        <v/>
      </c>
      <c r="L68" s="86" t="str">
        <f>IFERROR(VLOOKUP(J68, Previous_Stats!A:Z, 8, FALSE), "")</f>
        <v/>
      </c>
      <c r="M68" s="48" t="str">
        <f>IFERROR(VLOOKUP(J68, Current_Stats!A:Z, 3, FALSE), "")</f>
        <v/>
      </c>
      <c r="N68" s="48" t="str">
        <f>IFERROR(VLOOKUP(O68, Refined_Data!A:Z, 3, FALSE), "")</f>
        <v/>
      </c>
      <c r="O68" s="80" t="str">
        <f t="array" ref="O68">IFERROR(
  INDEX(Refined_Data!A:A, MATCH(J68, Refined_Data!O:O, FALSE)),
"")</f>
        <v/>
      </c>
      <c r="P68" s="86"/>
    </row>
    <row r="69">
      <c r="A69" s="80" t="str">
        <f t="array" ref="A69">IFERROR(
  INDEX(Refined_Data!A:A, MATCH(B69, Refined_Data!O:O, FALSE)),
"")</f>
        <v/>
      </c>
      <c r="C69" s="86" t="str">
        <f>IFERROR(VLOOKUP(B69, Current_Stats!A:Z, 8, FALSE), "")</f>
        <v/>
      </c>
      <c r="D69" s="86" t="str">
        <f>IFERROR(VLOOKUP(B69, Previous_Stats!A:Z, 8, FALSE), "")</f>
        <v/>
      </c>
      <c r="E69" s="48" t="str">
        <f>IFERROR(VLOOKUP(B69, Current_Stats!A:Z, 3, FALSE), "")</f>
        <v/>
      </c>
      <c r="F69" s="46" t="str">
        <f>IFERROR(VLOOKUP(A69, Refined_Data!A:Z, 3, FALSE), "")</f>
        <v/>
      </c>
      <c r="H69" s="86"/>
      <c r="K69" s="86" t="str">
        <f>IFERROR(VLOOKUP(J69, Current_Stats!A:Z, 8, FALSE), "")</f>
        <v/>
      </c>
      <c r="L69" s="86" t="str">
        <f>IFERROR(VLOOKUP(J69, Previous_Stats!A:Z, 8, FALSE), "")</f>
        <v/>
      </c>
      <c r="M69" s="48" t="str">
        <f>IFERROR(VLOOKUP(J69, Current_Stats!A:Z, 3, FALSE), "")</f>
        <v/>
      </c>
      <c r="N69" s="48" t="str">
        <f>IFERROR(VLOOKUP(O69, Refined_Data!A:Z, 3, FALSE), "")</f>
        <v/>
      </c>
      <c r="O69" s="80" t="str">
        <f t="array" ref="O69">IFERROR(
  INDEX(Refined_Data!A:A, MATCH(J69, Refined_Data!O:O, FALSE)),
"")</f>
        <v/>
      </c>
      <c r="P69" s="86"/>
    </row>
    <row r="70">
      <c r="A70" s="80" t="str">
        <f t="array" ref="A70">IFERROR(
  INDEX(Refined_Data!A:A, MATCH(B70, Refined_Data!O:O, FALSE)),
"")</f>
        <v/>
      </c>
      <c r="C70" s="86" t="str">
        <f>IFERROR(VLOOKUP(B70, Current_Stats!A:Z, 8, FALSE), "")</f>
        <v/>
      </c>
      <c r="D70" s="86" t="str">
        <f>IFERROR(VLOOKUP(B70, Previous_Stats!A:Z, 8, FALSE), "")</f>
        <v/>
      </c>
      <c r="E70" s="48" t="str">
        <f>IFERROR(VLOOKUP(B70, Current_Stats!A:Z, 3, FALSE), "")</f>
        <v/>
      </c>
      <c r="F70" s="46" t="str">
        <f>IFERROR(VLOOKUP(A70, Refined_Data!A:Z, 3, FALSE), "")</f>
        <v/>
      </c>
      <c r="H70" s="86"/>
      <c r="K70" s="86" t="str">
        <f>IFERROR(VLOOKUP(J70, Current_Stats!A:Z, 8, FALSE), "")</f>
        <v/>
      </c>
      <c r="L70" s="86" t="str">
        <f>IFERROR(VLOOKUP(J70, Previous_Stats!A:Z, 8, FALSE), "")</f>
        <v/>
      </c>
      <c r="M70" s="48" t="str">
        <f>IFERROR(VLOOKUP(J70, Current_Stats!A:Z, 3, FALSE), "")</f>
        <v/>
      </c>
      <c r="N70" s="48" t="str">
        <f>IFERROR(VLOOKUP(O70, Refined_Data!A:Z, 3, FALSE), "")</f>
        <v/>
      </c>
      <c r="O70" s="80" t="str">
        <f t="array" ref="O70">IFERROR(
  INDEX(Refined_Data!A:A, MATCH(J70, Refined_Data!O:O, FALSE)),
"")</f>
        <v/>
      </c>
      <c r="P70" s="86"/>
    </row>
    <row r="71">
      <c r="A71" s="80" t="str">
        <f t="array" ref="A71">IFERROR(
  INDEX(Refined_Data!A:A, MATCH(B71, Refined_Data!O:O, FALSE)),
"")</f>
        <v/>
      </c>
      <c r="C71" s="86" t="str">
        <f>IFERROR(VLOOKUP(B71, Current_Stats!A:Z, 8, FALSE), "")</f>
        <v/>
      </c>
      <c r="D71" s="86" t="str">
        <f>IFERROR(VLOOKUP(B71, Previous_Stats!A:Z, 8, FALSE), "")</f>
        <v/>
      </c>
      <c r="E71" s="48" t="str">
        <f>IFERROR(VLOOKUP(B71, Current_Stats!A:Z, 3, FALSE), "")</f>
        <v/>
      </c>
      <c r="F71" s="46" t="str">
        <f>IFERROR(VLOOKUP(A71, Refined_Data!A:Z, 3, FALSE), "")</f>
        <v/>
      </c>
      <c r="H71" s="86"/>
      <c r="K71" s="86" t="str">
        <f>IFERROR(VLOOKUP(J71, Current_Stats!A:Z, 8, FALSE), "")</f>
        <v/>
      </c>
      <c r="L71" s="86" t="str">
        <f>IFERROR(VLOOKUP(J71, Previous_Stats!A:Z, 8, FALSE), "")</f>
        <v/>
      </c>
      <c r="M71" s="48" t="str">
        <f>IFERROR(VLOOKUP(J71, Current_Stats!A:Z, 3, FALSE), "")</f>
        <v/>
      </c>
      <c r="N71" s="48" t="str">
        <f>IFERROR(VLOOKUP(O71, Refined_Data!A:Z, 3, FALSE), "")</f>
        <v/>
      </c>
      <c r="O71" s="80" t="str">
        <f t="array" ref="O71">IFERROR(
  INDEX(Refined_Data!A:A, MATCH(J71, Refined_Data!O:O, FALSE)),
"")</f>
        <v/>
      </c>
      <c r="P71" s="86"/>
    </row>
    <row r="72">
      <c r="A72" s="80" t="str">
        <f t="array" ref="A72">IFERROR(
  INDEX(Refined_Data!A:A, MATCH(B72, Refined_Data!O:O, FALSE)),
"")</f>
        <v/>
      </c>
      <c r="C72" s="86" t="str">
        <f>IFERROR(VLOOKUP(B72, Current_Stats!A:Z, 8, FALSE), "")</f>
        <v/>
      </c>
      <c r="D72" s="86" t="str">
        <f>IFERROR(VLOOKUP(B72, Previous_Stats!A:Z, 8, FALSE), "")</f>
        <v/>
      </c>
      <c r="E72" s="48" t="str">
        <f>IFERROR(VLOOKUP(B72, Current_Stats!A:Z, 3, FALSE), "")</f>
        <v/>
      </c>
      <c r="F72" s="46" t="str">
        <f>IFERROR(VLOOKUP(A72, Refined_Data!A:Z, 3, FALSE), "")</f>
        <v/>
      </c>
      <c r="H72" s="86"/>
      <c r="K72" s="86" t="str">
        <f>IFERROR(VLOOKUP(J72, Current_Stats!A:Z, 8, FALSE), "")</f>
        <v/>
      </c>
      <c r="L72" s="86" t="str">
        <f>IFERROR(VLOOKUP(J72, Previous_Stats!A:Z, 8, FALSE), "")</f>
        <v/>
      </c>
      <c r="M72" s="48" t="str">
        <f>IFERROR(VLOOKUP(J72, Current_Stats!A:Z, 3, FALSE), "")</f>
        <v/>
      </c>
      <c r="N72" s="48" t="str">
        <f>IFERROR(VLOOKUP(O72, Refined_Data!A:Z, 3, FALSE), "")</f>
        <v/>
      </c>
      <c r="O72" s="80" t="str">
        <f t="array" ref="O72">IFERROR(
  INDEX(Refined_Data!A:A, MATCH(J72, Refined_Data!O:O, FALSE)),
"")</f>
        <v/>
      </c>
      <c r="P72" s="86"/>
    </row>
    <row r="73">
      <c r="A73" s="80" t="str">
        <f t="array" ref="A73">IFERROR(
  INDEX(Refined_Data!A:A, MATCH(B73, Refined_Data!O:O, FALSE)),
"")</f>
        <v/>
      </c>
      <c r="C73" s="86" t="str">
        <f>IFERROR(VLOOKUP(B73, Current_Stats!A:Z, 8, FALSE), "")</f>
        <v/>
      </c>
      <c r="D73" s="86" t="str">
        <f>IFERROR(VLOOKUP(B73, Previous_Stats!A:Z, 8, FALSE), "")</f>
        <v/>
      </c>
      <c r="E73" s="48" t="str">
        <f>IFERROR(VLOOKUP(B73, Current_Stats!A:Z, 3, FALSE), "")</f>
        <v/>
      </c>
      <c r="F73" s="46" t="str">
        <f>IFERROR(VLOOKUP(A73, Refined_Data!A:Z, 3, FALSE), "")</f>
        <v/>
      </c>
      <c r="H73" s="86"/>
      <c r="K73" s="86" t="str">
        <f>IFERROR(VLOOKUP(J73, Current_Stats!A:Z, 8, FALSE), "")</f>
        <v/>
      </c>
      <c r="L73" s="86" t="str">
        <f>IFERROR(VLOOKUP(J73, Previous_Stats!A:Z, 8, FALSE), "")</f>
        <v/>
      </c>
      <c r="M73" s="48" t="str">
        <f>IFERROR(VLOOKUP(J73, Current_Stats!A:Z, 3, FALSE), "")</f>
        <v/>
      </c>
      <c r="N73" s="48" t="str">
        <f>IFERROR(VLOOKUP(O73, Refined_Data!A:Z, 3, FALSE), "")</f>
        <v/>
      </c>
      <c r="O73" s="80" t="str">
        <f t="array" ref="O73">IFERROR(
  INDEX(Refined_Data!A:A, MATCH(J73, Refined_Data!O:O, FALSE)),
"")</f>
        <v/>
      </c>
      <c r="P73" s="86"/>
    </row>
    <row r="74">
      <c r="A74" s="80" t="str">
        <f t="array" ref="A74">IFERROR(
  INDEX(Refined_Data!A:A, MATCH(B74, Refined_Data!O:O, FALSE)),
"")</f>
        <v/>
      </c>
      <c r="C74" s="86" t="str">
        <f>IFERROR(VLOOKUP(B74, Current_Stats!A:Z, 8, FALSE), "")</f>
        <v/>
      </c>
      <c r="D74" s="86" t="str">
        <f>IFERROR(VLOOKUP(B74, Previous_Stats!A:Z, 8, FALSE), "")</f>
        <v/>
      </c>
      <c r="E74" s="48" t="str">
        <f>IFERROR(VLOOKUP(B74, Current_Stats!A:Z, 3, FALSE), "")</f>
        <v/>
      </c>
      <c r="F74" s="46" t="str">
        <f>IFERROR(VLOOKUP(A74, Refined_Data!A:Z, 3, FALSE), "")</f>
        <v/>
      </c>
      <c r="H74" s="86"/>
      <c r="K74" s="86" t="str">
        <f>IFERROR(VLOOKUP(J74, Current_Stats!A:Z, 8, FALSE), "")</f>
        <v/>
      </c>
      <c r="L74" s="86" t="str">
        <f>IFERROR(VLOOKUP(J74, Previous_Stats!A:Z, 8, FALSE), "")</f>
        <v/>
      </c>
      <c r="M74" s="48" t="str">
        <f>IFERROR(VLOOKUP(J74, Current_Stats!A:Z, 3, FALSE), "")</f>
        <v/>
      </c>
      <c r="N74" s="48" t="str">
        <f>IFERROR(VLOOKUP(O74, Refined_Data!A:Z, 3, FALSE), "")</f>
        <v/>
      </c>
      <c r="O74" s="80" t="str">
        <f t="array" ref="O74">IFERROR(
  INDEX(Refined_Data!A:A, MATCH(J74, Refined_Data!O:O, FALSE)),
"")</f>
        <v/>
      </c>
      <c r="P74" s="86"/>
    </row>
    <row r="75">
      <c r="A75" s="80" t="str">
        <f t="array" ref="A75">IFERROR(
  INDEX(Refined_Data!A:A, MATCH(B75, Refined_Data!O:O, FALSE)),
"")</f>
        <v/>
      </c>
      <c r="C75" s="86" t="str">
        <f>IFERROR(VLOOKUP(B75, Current_Stats!A:Z, 8, FALSE), "")</f>
        <v/>
      </c>
      <c r="D75" s="86" t="str">
        <f>IFERROR(VLOOKUP(B75, Previous_Stats!A:Z, 8, FALSE), "")</f>
        <v/>
      </c>
      <c r="E75" s="48" t="str">
        <f>IFERROR(VLOOKUP(B75, Current_Stats!A:Z, 3, FALSE), "")</f>
        <v/>
      </c>
      <c r="F75" s="46" t="str">
        <f>IFERROR(VLOOKUP(A75, Refined_Data!A:Z, 3, FALSE), "")</f>
        <v/>
      </c>
      <c r="H75" s="86"/>
      <c r="K75" s="86" t="str">
        <f>IFERROR(VLOOKUP(J75, Current_Stats!A:Z, 8, FALSE), "")</f>
        <v/>
      </c>
      <c r="L75" s="86" t="str">
        <f>IFERROR(VLOOKUP(J75, Previous_Stats!A:Z, 8, FALSE), "")</f>
        <v/>
      </c>
      <c r="M75" s="48" t="str">
        <f>IFERROR(VLOOKUP(J75, Current_Stats!A:Z, 3, FALSE), "")</f>
        <v/>
      </c>
      <c r="N75" s="48" t="str">
        <f>IFERROR(VLOOKUP(O75, Refined_Data!A:Z, 3, FALSE), "")</f>
        <v/>
      </c>
      <c r="O75" s="80" t="str">
        <f t="array" ref="O75">IFERROR(
  INDEX(Refined_Data!A:A, MATCH(J75, Refined_Data!O:O, FALSE)),
"")</f>
        <v/>
      </c>
      <c r="P75" s="86"/>
    </row>
    <row r="76">
      <c r="A76" s="80" t="str">
        <f t="array" ref="A76">IFERROR(
  INDEX(Refined_Data!A:A, MATCH(B76, Refined_Data!O:O, FALSE)),
"")</f>
        <v/>
      </c>
      <c r="C76" s="86" t="str">
        <f>IFERROR(VLOOKUP(B76, Current_Stats!A:Z, 8, FALSE), "")</f>
        <v/>
      </c>
      <c r="D76" s="86" t="str">
        <f>IFERROR(VLOOKUP(B76, Previous_Stats!A:Z, 8, FALSE), "")</f>
        <v/>
      </c>
      <c r="E76" s="48" t="str">
        <f>IFERROR(VLOOKUP(B76, Current_Stats!A:Z, 3, FALSE), "")</f>
        <v/>
      </c>
      <c r="F76" s="46" t="str">
        <f>IFERROR(VLOOKUP(A76, Refined_Data!A:Z, 3, FALSE), "")</f>
        <v/>
      </c>
      <c r="H76" s="86"/>
      <c r="K76" s="86" t="str">
        <f>IFERROR(VLOOKUP(J76, Current_Stats!A:Z, 8, FALSE), "")</f>
        <v/>
      </c>
      <c r="L76" s="86" t="str">
        <f>IFERROR(VLOOKUP(J76, Previous_Stats!A:Z, 8, FALSE), "")</f>
        <v/>
      </c>
      <c r="M76" s="48" t="str">
        <f>IFERROR(VLOOKUP(J76, Current_Stats!A:Z, 3, FALSE), "")</f>
        <v/>
      </c>
      <c r="N76" s="48" t="str">
        <f>IFERROR(VLOOKUP(O76, Refined_Data!A:Z, 3, FALSE), "")</f>
        <v/>
      </c>
      <c r="O76" s="80" t="str">
        <f t="array" ref="O76">IFERROR(
  INDEX(Refined_Data!A:A, MATCH(J76, Refined_Data!O:O, FALSE)),
"")</f>
        <v/>
      </c>
      <c r="P76" s="86"/>
    </row>
    <row r="77">
      <c r="A77" s="80" t="str">
        <f t="array" ref="A77">IFERROR(
  INDEX(Refined_Data!A:A, MATCH(B77, Refined_Data!O:O, FALSE)),
"")</f>
        <v/>
      </c>
      <c r="C77" s="86" t="str">
        <f>IFERROR(VLOOKUP(B77, Current_Stats!A:Z, 8, FALSE), "")</f>
        <v/>
      </c>
      <c r="D77" s="86" t="str">
        <f>IFERROR(VLOOKUP(B77, Previous_Stats!A:Z, 8, FALSE), "")</f>
        <v/>
      </c>
      <c r="E77" s="48" t="str">
        <f>IFERROR(VLOOKUP(B77, Current_Stats!A:Z, 3, FALSE), "")</f>
        <v/>
      </c>
      <c r="F77" s="46" t="str">
        <f>IFERROR(VLOOKUP(A77, Refined_Data!A:Z, 3, FALSE), "")</f>
        <v/>
      </c>
      <c r="H77" s="86"/>
      <c r="K77" s="86" t="str">
        <f>IFERROR(VLOOKUP(J77, Current_Stats!A:Z, 8, FALSE), "")</f>
        <v/>
      </c>
      <c r="L77" s="86" t="str">
        <f>IFERROR(VLOOKUP(J77, Previous_Stats!A:Z, 8, FALSE), "")</f>
        <v/>
      </c>
      <c r="M77" s="48" t="str">
        <f>IFERROR(VLOOKUP(J77, Current_Stats!A:Z, 3, FALSE), "")</f>
        <v/>
      </c>
      <c r="N77" s="48" t="str">
        <f>IFERROR(VLOOKUP(O77, Refined_Data!A:Z, 3, FALSE), "")</f>
        <v/>
      </c>
      <c r="O77" s="80" t="str">
        <f t="array" ref="O77">IFERROR(
  INDEX(Refined_Data!A:A, MATCH(J77, Refined_Data!O:O, FALSE)),
"")</f>
        <v/>
      </c>
      <c r="P77" s="86"/>
    </row>
    <row r="78">
      <c r="A78" s="80" t="str">
        <f t="array" ref="A78">IFERROR(
  INDEX(Refined_Data!A:A, MATCH(B78, Refined_Data!O:O, FALSE)),
"")</f>
        <v/>
      </c>
      <c r="C78" s="86" t="str">
        <f>IFERROR(VLOOKUP(B78, Current_Stats!A:Z, 8, FALSE), "")</f>
        <v/>
      </c>
      <c r="D78" s="86" t="str">
        <f>IFERROR(VLOOKUP(B78, Previous_Stats!A:Z, 8, FALSE), "")</f>
        <v/>
      </c>
      <c r="E78" s="48" t="str">
        <f>IFERROR(VLOOKUP(B78, Current_Stats!A:Z, 3, FALSE), "")</f>
        <v/>
      </c>
      <c r="F78" s="46" t="str">
        <f>IFERROR(VLOOKUP(A78, Refined_Data!A:Z, 3, FALSE), "")</f>
        <v/>
      </c>
      <c r="H78" s="86"/>
      <c r="K78" s="86" t="str">
        <f>IFERROR(VLOOKUP(J78, Current_Stats!A:Z, 8, FALSE), "")</f>
        <v/>
      </c>
      <c r="L78" s="86" t="str">
        <f>IFERROR(VLOOKUP(J78, Previous_Stats!A:Z, 8, FALSE), "")</f>
        <v/>
      </c>
      <c r="M78" s="48" t="str">
        <f>IFERROR(VLOOKUP(J78, Current_Stats!A:Z, 3, FALSE), "")</f>
        <v/>
      </c>
      <c r="N78" s="48" t="str">
        <f>IFERROR(VLOOKUP(O78, Refined_Data!A:Z, 3, FALSE), "")</f>
        <v/>
      </c>
      <c r="O78" s="80" t="str">
        <f t="array" ref="O78">IFERROR(
  INDEX(Refined_Data!A:A, MATCH(J78, Refined_Data!O:O, FALSE)),
"")</f>
        <v/>
      </c>
      <c r="P78" s="86"/>
    </row>
    <row r="79">
      <c r="A79" s="80" t="str">
        <f t="array" ref="A79">IFERROR(
  INDEX(Refined_Data!A:A, MATCH(B79, Refined_Data!O:O, FALSE)),
"")</f>
        <v/>
      </c>
      <c r="C79" s="86" t="str">
        <f>IFERROR(VLOOKUP(B79, Current_Stats!A:Z, 8, FALSE), "")</f>
        <v/>
      </c>
      <c r="D79" s="86" t="str">
        <f>IFERROR(VLOOKUP(B79, Previous_Stats!A:Z, 8, FALSE), "")</f>
        <v/>
      </c>
      <c r="E79" s="48" t="str">
        <f>IFERROR(VLOOKUP(B79, Current_Stats!A:Z, 3, FALSE), "")</f>
        <v/>
      </c>
      <c r="F79" s="46" t="str">
        <f>IFERROR(VLOOKUP(A79, Refined_Data!A:Z, 3, FALSE), "")</f>
        <v/>
      </c>
      <c r="H79" s="86"/>
      <c r="K79" s="86" t="str">
        <f>IFERROR(VLOOKUP(J79, Current_Stats!A:Z, 8, FALSE), "")</f>
        <v/>
      </c>
      <c r="L79" s="86" t="str">
        <f>IFERROR(VLOOKUP(J79, Previous_Stats!A:Z, 8, FALSE), "")</f>
        <v/>
      </c>
      <c r="M79" s="48" t="str">
        <f>IFERROR(VLOOKUP(J79, Current_Stats!A:Z, 3, FALSE), "")</f>
        <v/>
      </c>
      <c r="N79" s="48" t="str">
        <f>IFERROR(VLOOKUP(O79, Refined_Data!A:Z, 3, FALSE), "")</f>
        <v/>
      </c>
      <c r="O79" s="80" t="str">
        <f t="array" ref="O79">IFERROR(
  INDEX(Refined_Data!A:A, MATCH(J79, Refined_Data!O:O, FALSE)),
"")</f>
        <v/>
      </c>
      <c r="P79" s="86"/>
    </row>
    <row r="80">
      <c r="A80" s="80" t="str">
        <f t="array" ref="A80">IFERROR(
  INDEX(Refined_Data!A:A, MATCH(B80, Refined_Data!O:O, FALSE)),
"")</f>
        <v/>
      </c>
      <c r="C80" s="86" t="str">
        <f>IFERROR(VLOOKUP(B80, Current_Stats!A:Z, 8, FALSE), "")</f>
        <v/>
      </c>
      <c r="D80" s="86" t="str">
        <f>IFERROR(VLOOKUP(B80, Previous_Stats!A:Z, 8, FALSE), "")</f>
        <v/>
      </c>
      <c r="E80" s="48" t="str">
        <f>IFERROR(VLOOKUP(B80, Current_Stats!A:Z, 3, FALSE), "")</f>
        <v/>
      </c>
      <c r="F80" s="46" t="str">
        <f>IFERROR(VLOOKUP(A80, Refined_Data!A:Z, 3, FALSE), "")</f>
        <v/>
      </c>
      <c r="H80" s="86"/>
      <c r="K80" s="86" t="str">
        <f>IFERROR(VLOOKUP(J80, Current_Stats!A:Z, 8, FALSE), "")</f>
        <v/>
      </c>
      <c r="L80" s="86" t="str">
        <f>IFERROR(VLOOKUP(J80, Previous_Stats!A:Z, 8, FALSE), "")</f>
        <v/>
      </c>
      <c r="M80" s="48" t="str">
        <f>IFERROR(VLOOKUP(J80, Current_Stats!A:Z, 3, FALSE), "")</f>
        <v/>
      </c>
      <c r="N80" s="48" t="str">
        <f>IFERROR(VLOOKUP(O80, Refined_Data!A:Z, 3, FALSE), "")</f>
        <v/>
      </c>
      <c r="O80" s="80" t="str">
        <f t="array" ref="O80">IFERROR(
  INDEX(Refined_Data!A:A, MATCH(J80, Refined_Data!O:O, FALSE)),
"")</f>
        <v/>
      </c>
      <c r="P80" s="86"/>
    </row>
    <row r="81">
      <c r="A81" s="80" t="str">
        <f t="array" ref="A81">IFERROR(
  INDEX(Refined_Data!A:A, MATCH(B81, Refined_Data!O:O, FALSE)),
"")</f>
        <v/>
      </c>
      <c r="C81" s="86" t="str">
        <f>IFERROR(VLOOKUP(B81, Current_Stats!A:Z, 8, FALSE), "")</f>
        <v/>
      </c>
      <c r="D81" s="86" t="str">
        <f>IFERROR(VLOOKUP(B81, Previous_Stats!A:Z, 8, FALSE), "")</f>
        <v/>
      </c>
      <c r="E81" s="48" t="str">
        <f>IFERROR(VLOOKUP(B81, Current_Stats!A:Z, 3, FALSE), "")</f>
        <v/>
      </c>
      <c r="F81" s="46" t="str">
        <f>IFERROR(VLOOKUP(A81, Refined_Data!A:Z, 3, FALSE), "")</f>
        <v/>
      </c>
      <c r="H81" s="86"/>
      <c r="K81" s="86" t="str">
        <f>IFERROR(VLOOKUP(J81, Current_Stats!A:Z, 8, FALSE), "")</f>
        <v/>
      </c>
      <c r="L81" s="86" t="str">
        <f>IFERROR(VLOOKUP(J81, Previous_Stats!A:Z, 8, FALSE), "")</f>
        <v/>
      </c>
      <c r="M81" s="48" t="str">
        <f>IFERROR(VLOOKUP(J81, Current_Stats!A:Z, 3, FALSE), "")</f>
        <v/>
      </c>
      <c r="N81" s="48" t="str">
        <f>IFERROR(VLOOKUP(O81, Refined_Data!A:Z, 3, FALSE), "")</f>
        <v/>
      </c>
      <c r="O81" s="80" t="str">
        <f t="array" ref="O81">IFERROR(
  INDEX(Refined_Data!A:A, MATCH(J81, Refined_Data!O:O, FALSE)),
"")</f>
        <v/>
      </c>
      <c r="P81" s="86"/>
    </row>
    <row r="82">
      <c r="A82" s="80" t="str">
        <f t="array" ref="A82">IFERROR(
  INDEX(Refined_Data!A:A, MATCH(B82, Refined_Data!O:O, FALSE)),
"")</f>
        <v/>
      </c>
      <c r="C82" s="86" t="str">
        <f>IFERROR(VLOOKUP(B82, Current_Stats!A:Z, 8, FALSE), "")</f>
        <v/>
      </c>
      <c r="D82" s="86" t="str">
        <f>IFERROR(VLOOKUP(B82, Previous_Stats!A:Z, 8, FALSE), "")</f>
        <v/>
      </c>
      <c r="E82" s="48" t="str">
        <f>IFERROR(VLOOKUP(B82, Current_Stats!A:Z, 3, FALSE), "")</f>
        <v/>
      </c>
      <c r="F82" s="46" t="str">
        <f>IFERROR(VLOOKUP(A82, Refined_Data!A:Z, 3, FALSE), "")</f>
        <v/>
      </c>
      <c r="H82" s="86"/>
      <c r="K82" s="86" t="str">
        <f>IFERROR(VLOOKUP(J82, Current_Stats!A:Z, 8, FALSE), "")</f>
        <v/>
      </c>
      <c r="L82" s="86" t="str">
        <f>IFERROR(VLOOKUP(J82, Previous_Stats!A:Z, 8, FALSE), "")</f>
        <v/>
      </c>
      <c r="M82" s="48" t="str">
        <f>IFERROR(VLOOKUP(J82, Current_Stats!A:Z, 3, FALSE), "")</f>
        <v/>
      </c>
      <c r="N82" s="48" t="str">
        <f>IFERROR(VLOOKUP(O82, Refined_Data!A:Z, 3, FALSE), "")</f>
        <v/>
      </c>
      <c r="O82" s="80" t="str">
        <f t="array" ref="O82">IFERROR(
  INDEX(Refined_Data!A:A, MATCH(J82, Refined_Data!O:O, FALSE)),
"")</f>
        <v/>
      </c>
      <c r="P82" s="86"/>
    </row>
    <row r="83">
      <c r="A83" s="80" t="str">
        <f t="array" ref="A83">IFERROR(
  INDEX(Refined_Data!A:A, MATCH(B83, Refined_Data!O:O, FALSE)),
"")</f>
        <v/>
      </c>
      <c r="C83" s="86" t="str">
        <f>IFERROR(VLOOKUP(B83, Current_Stats!A:Z, 8, FALSE), "")</f>
        <v/>
      </c>
      <c r="D83" s="86" t="str">
        <f>IFERROR(VLOOKUP(B83, Previous_Stats!A:Z, 8, FALSE), "")</f>
        <v/>
      </c>
      <c r="E83" s="48" t="str">
        <f>IFERROR(VLOOKUP(B83, Current_Stats!A:Z, 3, FALSE), "")</f>
        <v/>
      </c>
      <c r="F83" s="46" t="str">
        <f>IFERROR(VLOOKUP(A83, Refined_Data!A:Z, 3, FALSE), "")</f>
        <v/>
      </c>
      <c r="H83" s="86"/>
      <c r="K83" s="86" t="str">
        <f>IFERROR(VLOOKUP(J83, Current_Stats!A:Z, 8, FALSE), "")</f>
        <v/>
      </c>
      <c r="L83" s="86" t="str">
        <f>IFERROR(VLOOKUP(J83, Previous_Stats!A:Z, 8, FALSE), "")</f>
        <v/>
      </c>
      <c r="M83" s="48" t="str">
        <f>IFERROR(VLOOKUP(J83, Current_Stats!A:Z, 3, FALSE), "")</f>
        <v/>
      </c>
      <c r="N83" s="48" t="str">
        <f>IFERROR(VLOOKUP(O83, Refined_Data!A:Z, 3, FALSE), "")</f>
        <v/>
      </c>
      <c r="O83" s="80" t="str">
        <f t="array" ref="O83">IFERROR(
  INDEX(Refined_Data!A:A, MATCH(J83, Refined_Data!O:O, FALSE)),
"")</f>
        <v/>
      </c>
      <c r="P83" s="86"/>
    </row>
    <row r="84">
      <c r="A84" s="80" t="str">
        <f t="array" ref="A84">IFERROR(
  INDEX(Refined_Data!A:A, MATCH(B84, Refined_Data!O:O, FALSE)),
"")</f>
        <v/>
      </c>
      <c r="C84" s="86" t="str">
        <f>IFERROR(VLOOKUP(B84, Current_Stats!A:Z, 8, FALSE), "")</f>
        <v/>
      </c>
      <c r="D84" s="86" t="str">
        <f>IFERROR(VLOOKUP(B84, Previous_Stats!A:Z, 8, FALSE), "")</f>
        <v/>
      </c>
      <c r="E84" s="48" t="str">
        <f>IFERROR(VLOOKUP(B84, Current_Stats!A:Z, 3, FALSE), "")</f>
        <v/>
      </c>
      <c r="F84" s="46" t="str">
        <f>IFERROR(VLOOKUP(A84, Refined_Data!A:Z, 3, FALSE), "")</f>
        <v/>
      </c>
      <c r="H84" s="86"/>
      <c r="K84" s="86" t="str">
        <f>IFERROR(VLOOKUP(J84, Current_Stats!A:Z, 8, FALSE), "")</f>
        <v/>
      </c>
      <c r="L84" s="86" t="str">
        <f>IFERROR(VLOOKUP(J84, Previous_Stats!A:Z, 8, FALSE), "")</f>
        <v/>
      </c>
      <c r="M84" s="48" t="str">
        <f>IFERROR(VLOOKUP(J84, Current_Stats!A:Z, 3, FALSE), "")</f>
        <v/>
      </c>
      <c r="N84" s="48" t="str">
        <f>IFERROR(VLOOKUP(O84, Refined_Data!A:Z, 3, FALSE), "")</f>
        <v/>
      </c>
      <c r="O84" s="80" t="str">
        <f t="array" ref="O84">IFERROR(
  INDEX(Refined_Data!A:A, MATCH(J84, Refined_Data!O:O, FALSE)),
"")</f>
        <v/>
      </c>
      <c r="P84" s="86"/>
    </row>
    <row r="85">
      <c r="A85" s="80" t="str">
        <f t="array" ref="A85">IFERROR(
  INDEX(Refined_Data!A:A, MATCH(B85, Refined_Data!O:O, FALSE)),
"")</f>
        <v/>
      </c>
      <c r="C85" s="86" t="str">
        <f>IFERROR(VLOOKUP(B85, Current_Stats!A:Z, 8, FALSE), "")</f>
        <v/>
      </c>
      <c r="D85" s="86" t="str">
        <f>IFERROR(VLOOKUP(B85, Previous_Stats!A:Z, 8, FALSE), "")</f>
        <v/>
      </c>
      <c r="E85" s="48" t="str">
        <f>IFERROR(VLOOKUP(B85, Current_Stats!A:Z, 3, FALSE), "")</f>
        <v/>
      </c>
      <c r="F85" s="46" t="str">
        <f>IFERROR(VLOOKUP(A85, Refined_Data!A:Z, 3, FALSE), "")</f>
        <v/>
      </c>
      <c r="H85" s="86"/>
      <c r="K85" s="86" t="str">
        <f>IFERROR(VLOOKUP(J85, Current_Stats!A:Z, 8, FALSE), "")</f>
        <v/>
      </c>
      <c r="L85" s="86" t="str">
        <f>IFERROR(VLOOKUP(J85, Previous_Stats!A:Z, 8, FALSE), "")</f>
        <v/>
      </c>
      <c r="M85" s="48" t="str">
        <f>IFERROR(VLOOKUP(J85, Current_Stats!A:Z, 3, FALSE), "")</f>
        <v/>
      </c>
      <c r="N85" s="48" t="str">
        <f>IFERROR(VLOOKUP(O85, Refined_Data!A:Z, 3, FALSE), "")</f>
        <v/>
      </c>
      <c r="O85" s="80" t="str">
        <f t="array" ref="O85">IFERROR(
  INDEX(Refined_Data!A:A, MATCH(J85, Refined_Data!O:O, FALSE)),
"")</f>
        <v/>
      </c>
      <c r="P85" s="86"/>
    </row>
    <row r="86">
      <c r="A86" s="80" t="str">
        <f t="array" ref="A86">IFERROR(
  INDEX(Refined_Data!A:A, MATCH(B86, Refined_Data!O:O, FALSE)),
"")</f>
        <v/>
      </c>
      <c r="C86" s="86" t="str">
        <f>IFERROR(VLOOKUP(B86, Current_Stats!A:Z, 8, FALSE), "")</f>
        <v/>
      </c>
      <c r="D86" s="86" t="str">
        <f>IFERROR(VLOOKUP(B86, Previous_Stats!A:Z, 8, FALSE), "")</f>
        <v/>
      </c>
      <c r="E86" s="48" t="str">
        <f>IFERROR(VLOOKUP(B86, Current_Stats!A:Z, 3, FALSE), "")</f>
        <v/>
      </c>
      <c r="F86" s="46" t="str">
        <f>IFERROR(VLOOKUP(A86, Refined_Data!A:Z, 3, FALSE), "")</f>
        <v/>
      </c>
      <c r="H86" s="86"/>
      <c r="K86" s="86" t="str">
        <f>IFERROR(VLOOKUP(J86, Current_Stats!A:Z, 8, FALSE), "")</f>
        <v/>
      </c>
      <c r="L86" s="86" t="str">
        <f>IFERROR(VLOOKUP(J86, Previous_Stats!A:Z, 8, FALSE), "")</f>
        <v/>
      </c>
      <c r="M86" s="48" t="str">
        <f>IFERROR(VLOOKUP(J86, Current_Stats!A:Z, 3, FALSE), "")</f>
        <v/>
      </c>
      <c r="N86" s="48" t="str">
        <f>IFERROR(VLOOKUP(O86, Refined_Data!A:Z, 3, FALSE), "")</f>
        <v/>
      </c>
      <c r="O86" s="80" t="str">
        <f t="array" ref="O86">IFERROR(
  INDEX(Refined_Data!A:A, MATCH(J86, Refined_Data!O:O, FALSE)),
"")</f>
        <v/>
      </c>
      <c r="P86" s="86"/>
    </row>
    <row r="87">
      <c r="A87" s="80" t="str">
        <f t="array" ref="A87">IFERROR(
  INDEX(Refined_Data!A:A, MATCH(B87, Refined_Data!O:O, FALSE)),
"")</f>
        <v/>
      </c>
      <c r="C87" s="86" t="str">
        <f>IFERROR(VLOOKUP(B87, Current_Stats!A:Z, 8, FALSE), "")</f>
        <v/>
      </c>
      <c r="D87" s="86" t="str">
        <f>IFERROR(VLOOKUP(B87, Previous_Stats!A:Z, 8, FALSE), "")</f>
        <v/>
      </c>
      <c r="E87" s="48" t="str">
        <f>IFERROR(VLOOKUP(B87, Current_Stats!A:Z, 3, FALSE), "")</f>
        <v/>
      </c>
      <c r="F87" s="46" t="str">
        <f>IFERROR(VLOOKUP(A87, Refined_Data!A:Z, 3, FALSE), "")</f>
        <v/>
      </c>
      <c r="H87" s="86"/>
      <c r="K87" s="86" t="str">
        <f>IFERROR(VLOOKUP(J87, Current_Stats!A:Z, 8, FALSE), "")</f>
        <v/>
      </c>
      <c r="L87" s="86" t="str">
        <f>IFERROR(VLOOKUP(J87, Previous_Stats!A:Z, 8, FALSE), "")</f>
        <v/>
      </c>
      <c r="M87" s="48" t="str">
        <f>IFERROR(VLOOKUP(J87, Current_Stats!A:Z, 3, FALSE), "")</f>
        <v/>
      </c>
      <c r="N87" s="48" t="str">
        <f>IFERROR(VLOOKUP(O87, Refined_Data!A:Z, 3, FALSE), "")</f>
        <v/>
      </c>
      <c r="O87" s="80" t="str">
        <f t="array" ref="O87">IFERROR(
  INDEX(Refined_Data!A:A, MATCH(J87, Refined_Data!O:O, FALSE)),
"")</f>
        <v/>
      </c>
      <c r="P87" s="86"/>
    </row>
    <row r="88">
      <c r="A88" s="80" t="str">
        <f t="array" ref="A88">IFERROR(
  INDEX(Refined_Data!A:A, MATCH(B88, Refined_Data!O:O, FALSE)),
"")</f>
        <v/>
      </c>
      <c r="C88" s="86" t="str">
        <f>IFERROR(VLOOKUP(B88, Current_Stats!A:Z, 8, FALSE), "")</f>
        <v/>
      </c>
      <c r="D88" s="86" t="str">
        <f>IFERROR(VLOOKUP(B88, Previous_Stats!A:Z, 8, FALSE), "")</f>
        <v/>
      </c>
      <c r="E88" s="48" t="str">
        <f>IFERROR(VLOOKUP(B88, Current_Stats!A:Z, 3, FALSE), "")</f>
        <v/>
      </c>
      <c r="F88" s="46" t="str">
        <f>IFERROR(VLOOKUP(A88, Refined_Data!A:Z, 3, FALSE), "")</f>
        <v/>
      </c>
      <c r="H88" s="86"/>
      <c r="K88" s="86" t="str">
        <f>IFERROR(VLOOKUP(J88, Current_Stats!A:Z, 8, FALSE), "")</f>
        <v/>
      </c>
      <c r="L88" s="86" t="str">
        <f>IFERROR(VLOOKUP(J88, Previous_Stats!A:Z, 8, FALSE), "")</f>
        <v/>
      </c>
      <c r="M88" s="48" t="str">
        <f>IFERROR(VLOOKUP(J88, Current_Stats!A:Z, 3, FALSE), "")</f>
        <v/>
      </c>
      <c r="N88" s="48" t="str">
        <f>IFERROR(VLOOKUP(O88, Refined_Data!A:Z, 3, FALSE), "")</f>
        <v/>
      </c>
      <c r="O88" s="80" t="str">
        <f t="array" ref="O88">IFERROR(
  INDEX(Refined_Data!A:A, MATCH(J88, Refined_Data!O:O, FALSE)),
"")</f>
        <v/>
      </c>
      <c r="P88" s="86"/>
    </row>
    <row r="89">
      <c r="A89" s="80" t="str">
        <f t="array" ref="A89">IFERROR(
  INDEX(Refined_Data!A:A, MATCH(B89, Refined_Data!O:O, FALSE)),
"")</f>
        <v/>
      </c>
      <c r="B89" s="88" t="s">
        <v>1521</v>
      </c>
      <c r="S89" s="90"/>
      <c r="T89" s="90"/>
      <c r="U89" s="90"/>
      <c r="V89" s="90"/>
      <c r="W89" s="90"/>
      <c r="X89" s="90"/>
      <c r="Y89" s="90"/>
      <c r="Z89" s="90"/>
    </row>
    <row r="90">
      <c r="A90" s="80" t="str">
        <f t="array" ref="A90">IFERROR(
  INDEX(Refined_Data!A:A, MATCH(B90, Refined_Data!O:O, FALSE)),
"")</f>
        <v/>
      </c>
    </row>
    <row r="91">
      <c r="A91" s="80" t="str">
        <f t="array" ref="A91">IFERROR(
  INDEX(Refined_Data!A:A, MATCH(B91, Refined_Data!O:O, FALSE)),
"")</f>
        <v/>
      </c>
      <c r="B91" s="82" t="s">
        <v>1511</v>
      </c>
      <c r="C91" s="84" t="s">
        <v>1514</v>
      </c>
      <c r="D91" s="84" t="s">
        <v>1515</v>
      </c>
      <c r="E91" s="84" t="s">
        <v>1516</v>
      </c>
      <c r="F91" s="83" t="s">
        <v>1517</v>
      </c>
      <c r="G91" s="84" t="s">
        <v>1522</v>
      </c>
      <c r="H91" s="84" t="s">
        <v>1495</v>
      </c>
      <c r="I91" s="85"/>
      <c r="J91" s="82" t="s">
        <v>1511</v>
      </c>
      <c r="K91" s="84" t="s">
        <v>1514</v>
      </c>
      <c r="L91" s="84" t="s">
        <v>1515</v>
      </c>
      <c r="M91" s="84" t="s">
        <v>1516</v>
      </c>
      <c r="N91" s="83" t="s">
        <v>1517</v>
      </c>
      <c r="O91" s="84" t="s">
        <v>1522</v>
      </c>
      <c r="P91" s="84" t="s">
        <v>1495</v>
      </c>
    </row>
    <row r="92">
      <c r="A92" s="80" t="str">
        <f t="array" ref="A92">IFERROR(
  INDEX(Refined_Data!A:A, MATCH(B92, Refined_Data!O:O, FALSE)),
"")</f>
        <v>Gil Cervino, Henrique Alexandre</v>
      </c>
      <c r="B92" s="45" t="str">
        <f>IFERROR(__xludf.DUMMYFUNCTION("FILTER(Shift_Analysis!B2:B250, Shift_Analysis!F2:F250 = ""3"")"),"Gil Cervino, Henrique Alexandre")</f>
        <v>Gil Cervino, Henrique Alexandre</v>
      </c>
      <c r="C92" s="91">
        <f>IFERROR(VLOOKUP(B92, Current_Stats!A:Z, 3, FALSE), "")</f>
        <v>9</v>
      </c>
      <c r="D92" s="91">
        <f>IFERROR(VLOOKUP(B92, Current_Stats!A:Z, 6, FALSE), "")</f>
        <v>123</v>
      </c>
      <c r="E92" s="48">
        <f>IFERROR(VLOOKUP(B92, Current_Stats!A:Z, 11, FALSE), "")</f>
        <v>25</v>
      </c>
      <c r="F92" s="86">
        <f t="shared" ref="F92:F120" si="4">IFERROR(1 - ((D92 - E92) / D92), "")</f>
        <v>0.2032520325</v>
      </c>
      <c r="G92" s="46" t="str">
        <f>IFERROR(VLOOKUP(A92, Shift_Analysis!A:Z, 6, FALSE), "")</f>
        <v>3</v>
      </c>
      <c r="H92" s="92" t="str">
        <f>IFERROR(VLOOKUP(A92, Shift_Analysis!A:Z, 7, FALSE), "")</f>
        <v>3</v>
      </c>
      <c r="J92" s="45" t="str">
        <f t="shared" ref="J92:P92" si="3">B92</f>
        <v>Gil Cervino, Henrique Alexandre</v>
      </c>
      <c r="K92" s="91">
        <f t="shared" si="3"/>
        <v>9</v>
      </c>
      <c r="L92" s="91">
        <f t="shared" si="3"/>
        <v>123</v>
      </c>
      <c r="M92" s="48">
        <f t="shared" si="3"/>
        <v>25</v>
      </c>
      <c r="N92" s="86">
        <f t="shared" si="3"/>
        <v>0.2032520325</v>
      </c>
      <c r="O92" s="46" t="str">
        <f t="shared" si="3"/>
        <v>3</v>
      </c>
      <c r="P92" s="86" t="str">
        <f t="shared" si="3"/>
        <v>3</v>
      </c>
    </row>
    <row r="93">
      <c r="A93" s="80" t="str">
        <f t="array" ref="A93">IFERROR(
  INDEX(Refined_Data!A:A, MATCH(B93, Refined_Data!O:O, FALSE)),
"")</f>
        <v>Tredwell, Chris</v>
      </c>
      <c r="B93" s="45" t="str">
        <f>IFERROR(__xludf.DUMMYFUNCTION("""COMPUTED_VALUE"""),"Tredwell, Chris")</f>
        <v>Tredwell, Chris</v>
      </c>
      <c r="C93" s="91">
        <f>IFERROR(VLOOKUP(B93, Current_Stats!A:Z, 3, FALSE), "")</f>
        <v>12</v>
      </c>
      <c r="D93" s="91">
        <f>IFERROR(VLOOKUP(B93, Current_Stats!A:Z, 6, FALSE), "")</f>
        <v>526</v>
      </c>
      <c r="E93" s="48">
        <f>IFERROR(VLOOKUP(B93, Current_Stats!A:Z, 11, FALSE), "")</f>
        <v>99</v>
      </c>
      <c r="F93" s="86">
        <f t="shared" si="4"/>
        <v>0.1882129278</v>
      </c>
      <c r="G93" s="46" t="str">
        <f>IFERROR(VLOOKUP(A93, Shift_Analysis!A:Z, 6, FALSE), "")</f>
        <v>3</v>
      </c>
      <c r="H93" s="92" t="str">
        <f>IFERROR(VLOOKUP(A93, Shift_Analysis!A:Z, 7, FALSE), "")</f>
        <v>2</v>
      </c>
      <c r="J93" s="45" t="str">
        <f t="shared" ref="J93:P93" si="5">B93</f>
        <v>Tredwell, Chris</v>
      </c>
      <c r="K93" s="91">
        <f t="shared" si="5"/>
        <v>12</v>
      </c>
      <c r="L93" s="91">
        <f t="shared" si="5"/>
        <v>526</v>
      </c>
      <c r="M93" s="48">
        <f t="shared" si="5"/>
        <v>99</v>
      </c>
      <c r="N93" s="86">
        <f t="shared" si="5"/>
        <v>0.1882129278</v>
      </c>
      <c r="O93" s="46" t="str">
        <f t="shared" si="5"/>
        <v>3</v>
      </c>
      <c r="P93" s="86" t="str">
        <f t="shared" si="5"/>
        <v>2</v>
      </c>
    </row>
    <row r="94">
      <c r="A94" s="80" t="str">
        <f t="array" ref="A94">IFERROR(
  INDEX(Refined_Data!A:A, MATCH(B94, Refined_Data!O:O, FALSE)),
"")</f>
        <v>Flanagan-Fortin, Shawn</v>
      </c>
      <c r="B94" s="45" t="str">
        <f>IFERROR(__xludf.DUMMYFUNCTION("""COMPUTED_VALUE"""),"Flanagan-Fortin, Shawn")</f>
        <v>Flanagan-Fortin, Shawn</v>
      </c>
      <c r="C94" s="91">
        <f>IFERROR(VLOOKUP(B94, Current_Stats!A:Z, 3, FALSE), "")</f>
        <v>7</v>
      </c>
      <c r="D94" s="91">
        <f>IFERROR(VLOOKUP(B94, Current_Stats!A:Z, 6, FALSE), "")</f>
        <v>314</v>
      </c>
      <c r="E94" s="48">
        <f>IFERROR(VLOOKUP(B94, Current_Stats!A:Z, 11, FALSE), "")</f>
        <v>64</v>
      </c>
      <c r="F94" s="86">
        <f t="shared" si="4"/>
        <v>0.2038216561</v>
      </c>
      <c r="G94" s="46" t="str">
        <f>IFERROR(VLOOKUP(A94, Shift_Analysis!A:Z, 6, FALSE), "")</f>
        <v>3</v>
      </c>
      <c r="H94" s="92" t="str">
        <f>IFERROR(VLOOKUP(A94, Shift_Analysis!A:Z, 7, FALSE), "")</f>
        <v>3</v>
      </c>
      <c r="J94" s="45" t="str">
        <f t="shared" ref="J94:P94" si="6">B94</f>
        <v>Flanagan-Fortin, Shawn</v>
      </c>
      <c r="K94" s="91">
        <f t="shared" si="6"/>
        <v>7</v>
      </c>
      <c r="L94" s="91">
        <f t="shared" si="6"/>
        <v>314</v>
      </c>
      <c r="M94" s="48">
        <f t="shared" si="6"/>
        <v>64</v>
      </c>
      <c r="N94" s="86">
        <f t="shared" si="6"/>
        <v>0.2038216561</v>
      </c>
      <c r="O94" s="46" t="str">
        <f t="shared" si="6"/>
        <v>3</v>
      </c>
      <c r="P94" s="86" t="str">
        <f t="shared" si="6"/>
        <v>3</v>
      </c>
    </row>
    <row r="95">
      <c r="A95" s="80" t="str">
        <f t="array" ref="A95">IFERROR(
  INDEX(Refined_Data!A:A, MATCH(B95, Refined_Data!O:O, FALSE)),
"")</f>
        <v>Sivoravong, Kanitha</v>
      </c>
      <c r="B95" s="45" t="str">
        <f>IFERROR(__xludf.DUMMYFUNCTION("""COMPUTED_VALUE"""),"Sivoravong, Kanitha")</f>
        <v>Sivoravong, Kanitha</v>
      </c>
      <c r="C95" s="91">
        <f>IFERROR(VLOOKUP(B95, Current_Stats!A:Z, 3, FALSE), "")</f>
        <v>16</v>
      </c>
      <c r="D95" s="91">
        <f>IFERROR(VLOOKUP(B95, Current_Stats!A:Z, 6, FALSE), "")</f>
        <v>534</v>
      </c>
      <c r="E95" s="48">
        <f>IFERROR(VLOOKUP(B95, Current_Stats!A:Z, 11, FALSE), "")</f>
        <v>116</v>
      </c>
      <c r="F95" s="86">
        <f t="shared" si="4"/>
        <v>0.2172284644</v>
      </c>
      <c r="G95" s="46" t="str">
        <f>IFERROR(VLOOKUP(A95, Shift_Analysis!A:Z, 6, FALSE), "")</f>
        <v>3</v>
      </c>
      <c r="H95" s="92" t="str">
        <f>IFERROR(VLOOKUP(A95, Shift_Analysis!A:Z, 7, FALSE), "")</f>
        <v>3</v>
      </c>
      <c r="J95" s="45" t="str">
        <f t="shared" ref="J95:P95" si="7">B95</f>
        <v>Sivoravong, Kanitha</v>
      </c>
      <c r="K95" s="91">
        <f t="shared" si="7"/>
        <v>16</v>
      </c>
      <c r="L95" s="91">
        <f t="shared" si="7"/>
        <v>534</v>
      </c>
      <c r="M95" s="48">
        <f t="shared" si="7"/>
        <v>116</v>
      </c>
      <c r="N95" s="86">
        <f t="shared" si="7"/>
        <v>0.2172284644</v>
      </c>
      <c r="O95" s="46" t="str">
        <f t="shared" si="7"/>
        <v>3</v>
      </c>
      <c r="P95" s="86" t="str">
        <f t="shared" si="7"/>
        <v>3</v>
      </c>
    </row>
    <row r="96">
      <c r="A96" s="80" t="str">
        <f t="array" ref="A96">IFERROR(
  INDEX(Refined_Data!A:A, MATCH(B96, Refined_Data!O:O, FALSE)),
"")</f>
        <v/>
      </c>
      <c r="C96" s="91" t="str">
        <f>IFERROR(VLOOKUP(B96, Current_Stats!A:Z, 3, FALSE), "")</f>
        <v/>
      </c>
      <c r="D96" s="91" t="str">
        <f>IFERROR(VLOOKUP(B96, Current_Stats!A:Z, 6, FALSE), "")</f>
        <v/>
      </c>
      <c r="E96" s="48" t="str">
        <f>IFERROR(VLOOKUP(B96, Current_Stats!A:Z, 11, FALSE), "")</f>
        <v/>
      </c>
      <c r="F96" s="86" t="str">
        <f t="shared" si="4"/>
        <v/>
      </c>
      <c r="G96" s="46" t="str">
        <f>IFERROR(VLOOKUP(A96, Shift_Analysis!A:Z, 6, FALSE), "")</f>
        <v/>
      </c>
      <c r="H96" s="92" t="str">
        <f>IFERROR(VLOOKUP(A96, Shift_Analysis!A:Z, 7, FALSE), "")</f>
        <v/>
      </c>
      <c r="J96" s="48" t="str">
        <f t="shared" ref="J96:P96" si="8">B96</f>
        <v/>
      </c>
      <c r="K96" s="91" t="str">
        <f t="shared" si="8"/>
        <v/>
      </c>
      <c r="L96" s="91" t="str">
        <f t="shared" si="8"/>
        <v/>
      </c>
      <c r="M96" s="48" t="str">
        <f t="shared" si="8"/>
        <v/>
      </c>
      <c r="N96" s="86" t="str">
        <f t="shared" si="8"/>
        <v/>
      </c>
      <c r="O96" s="46" t="str">
        <f t="shared" si="8"/>
        <v/>
      </c>
      <c r="P96" s="86" t="str">
        <f t="shared" si="8"/>
        <v/>
      </c>
    </row>
    <row r="97">
      <c r="A97" s="80" t="str">
        <f t="array" ref="A97">IFERROR(
  INDEX(Refined_Data!A:A, MATCH(B97, Refined_Data!O:O, FALSE)),
"")</f>
        <v/>
      </c>
      <c r="C97" s="91" t="str">
        <f>IFERROR(VLOOKUP(B97, Current_Stats!A:Z, 3, FALSE), "")</f>
        <v/>
      </c>
      <c r="D97" s="91" t="str">
        <f>IFERROR(VLOOKUP(B97, Current_Stats!A:Z, 6, FALSE), "")</f>
        <v/>
      </c>
      <c r="E97" s="48" t="str">
        <f>IFERROR(VLOOKUP(B97, Current_Stats!A:Z, 11, FALSE), "")</f>
        <v/>
      </c>
      <c r="F97" s="86" t="str">
        <f t="shared" si="4"/>
        <v/>
      </c>
      <c r="G97" s="46" t="str">
        <f>IFERROR(VLOOKUP(A97, Shift_Analysis!A:Z, 6, FALSE), "")</f>
        <v/>
      </c>
      <c r="H97" s="92" t="str">
        <f>IFERROR(VLOOKUP(A97, Shift_Analysis!A:Z, 7, FALSE), "")</f>
        <v/>
      </c>
      <c r="J97" s="48" t="str">
        <f t="shared" ref="J97:P97" si="9">B97</f>
        <v/>
      </c>
      <c r="K97" s="91" t="str">
        <f t="shared" si="9"/>
        <v/>
      </c>
      <c r="L97" s="91" t="str">
        <f t="shared" si="9"/>
        <v/>
      </c>
      <c r="M97" s="48" t="str">
        <f t="shared" si="9"/>
        <v/>
      </c>
      <c r="N97" s="86" t="str">
        <f t="shared" si="9"/>
        <v/>
      </c>
      <c r="O97" s="46" t="str">
        <f t="shared" si="9"/>
        <v/>
      </c>
      <c r="P97" s="86" t="str">
        <f t="shared" si="9"/>
        <v/>
      </c>
    </row>
    <row r="98">
      <c r="A98" s="80" t="str">
        <f t="array" ref="A98">IFERROR(
  INDEX(Refined_Data!A:A, MATCH(B98, Refined_Data!O:O, FALSE)),
"")</f>
        <v/>
      </c>
      <c r="C98" s="91" t="str">
        <f>IFERROR(VLOOKUP(B98, Current_Stats!A:Z, 3, FALSE), "")</f>
        <v/>
      </c>
      <c r="D98" s="91" t="str">
        <f>IFERROR(VLOOKUP(B98, Current_Stats!A:Z, 6, FALSE), "")</f>
        <v/>
      </c>
      <c r="E98" s="48" t="str">
        <f>IFERROR(VLOOKUP(B98, Current_Stats!A:Z, 11, FALSE), "")</f>
        <v/>
      </c>
      <c r="F98" s="86" t="str">
        <f t="shared" si="4"/>
        <v/>
      </c>
      <c r="G98" s="46" t="str">
        <f>IFERROR(VLOOKUP(A98, Shift_Analysis!A:Z, 6, FALSE), "")</f>
        <v/>
      </c>
      <c r="H98" s="92" t="str">
        <f>IFERROR(VLOOKUP(A98, Shift_Analysis!A:Z, 7, FALSE), "")</f>
        <v/>
      </c>
      <c r="J98" s="48" t="str">
        <f t="shared" ref="J98:P98" si="10">B98</f>
        <v/>
      </c>
      <c r="K98" s="91" t="str">
        <f t="shared" si="10"/>
        <v/>
      </c>
      <c r="L98" s="91" t="str">
        <f t="shared" si="10"/>
        <v/>
      </c>
      <c r="M98" s="48" t="str">
        <f t="shared" si="10"/>
        <v/>
      </c>
      <c r="N98" s="86" t="str">
        <f t="shared" si="10"/>
        <v/>
      </c>
      <c r="O98" s="46" t="str">
        <f t="shared" si="10"/>
        <v/>
      </c>
      <c r="P98" s="86" t="str">
        <f t="shared" si="10"/>
        <v/>
      </c>
    </row>
    <row r="99">
      <c r="A99" s="80" t="str">
        <f t="array" ref="A99">IFERROR(
  INDEX(Refined_Data!A:A, MATCH(B99, Refined_Data!O:O, FALSE)),
"")</f>
        <v/>
      </c>
      <c r="C99" s="91" t="str">
        <f>IFERROR(VLOOKUP(B99, Current_Stats!A:Z, 3, FALSE), "")</f>
        <v/>
      </c>
      <c r="D99" s="91" t="str">
        <f>IFERROR(VLOOKUP(B99, Current_Stats!A:Z, 6, FALSE), "")</f>
        <v/>
      </c>
      <c r="E99" s="48" t="str">
        <f>IFERROR(VLOOKUP(B99, Current_Stats!A:Z, 11, FALSE), "")</f>
        <v/>
      </c>
      <c r="F99" s="86" t="str">
        <f t="shared" si="4"/>
        <v/>
      </c>
      <c r="G99" s="46" t="str">
        <f>IFERROR(VLOOKUP(A99, Shift_Analysis!A:Z, 6, FALSE), "")</f>
        <v/>
      </c>
      <c r="H99" s="92" t="str">
        <f>IFERROR(VLOOKUP(A99, Shift_Analysis!A:Z, 7, FALSE), "")</f>
        <v/>
      </c>
      <c r="J99" s="48" t="str">
        <f t="shared" ref="J99:P99" si="11">B99</f>
        <v/>
      </c>
      <c r="K99" s="91" t="str">
        <f t="shared" si="11"/>
        <v/>
      </c>
      <c r="L99" s="91" t="str">
        <f t="shared" si="11"/>
        <v/>
      </c>
      <c r="M99" s="48" t="str">
        <f t="shared" si="11"/>
        <v/>
      </c>
      <c r="N99" s="86" t="str">
        <f t="shared" si="11"/>
        <v/>
      </c>
      <c r="O99" s="46" t="str">
        <f t="shared" si="11"/>
        <v/>
      </c>
      <c r="P99" s="86" t="str">
        <f t="shared" si="11"/>
        <v/>
      </c>
    </row>
    <row r="100">
      <c r="A100" s="80" t="str">
        <f t="array" ref="A100">IFERROR(
  INDEX(Refined_Data!A:A, MATCH(B100, Refined_Data!O:O, FALSE)),
"")</f>
        <v/>
      </c>
      <c r="C100" s="91" t="str">
        <f>IFERROR(VLOOKUP(B100, Current_Stats!A:Z, 3, FALSE), "")</f>
        <v/>
      </c>
      <c r="D100" s="91" t="str">
        <f>IFERROR(VLOOKUP(B100, Current_Stats!A:Z, 6, FALSE), "")</f>
        <v/>
      </c>
      <c r="E100" s="48" t="str">
        <f>IFERROR(VLOOKUP(B100, Current_Stats!A:Z, 11, FALSE), "")</f>
        <v/>
      </c>
      <c r="F100" s="86" t="str">
        <f t="shared" si="4"/>
        <v/>
      </c>
      <c r="G100" s="46" t="str">
        <f>IFERROR(VLOOKUP(A100, Shift_Analysis!A:Z, 6, FALSE), "")</f>
        <v/>
      </c>
      <c r="H100" s="92" t="str">
        <f>IFERROR(VLOOKUP(A100, Shift_Analysis!A:Z, 7, FALSE), "")</f>
        <v/>
      </c>
      <c r="J100" s="48" t="str">
        <f t="shared" ref="J100:P100" si="12">B100</f>
        <v/>
      </c>
      <c r="K100" s="91" t="str">
        <f t="shared" si="12"/>
        <v/>
      </c>
      <c r="L100" s="91" t="str">
        <f t="shared" si="12"/>
        <v/>
      </c>
      <c r="M100" s="48" t="str">
        <f t="shared" si="12"/>
        <v/>
      </c>
      <c r="N100" s="86" t="str">
        <f t="shared" si="12"/>
        <v/>
      </c>
      <c r="O100" s="46" t="str">
        <f t="shared" si="12"/>
        <v/>
      </c>
      <c r="P100" s="86" t="str">
        <f t="shared" si="12"/>
        <v/>
      </c>
    </row>
    <row r="101">
      <c r="A101" s="80" t="str">
        <f t="array" ref="A101">IFERROR(
  INDEX(Refined_Data!A:A, MATCH(B101, Refined_Data!O:O, FALSE)),
"")</f>
        <v/>
      </c>
      <c r="C101" s="91" t="str">
        <f>IFERROR(VLOOKUP(B101, Current_Stats!A:Z, 3, FALSE), "")</f>
        <v/>
      </c>
      <c r="D101" s="91" t="str">
        <f>IFERROR(VLOOKUP(B101, Current_Stats!A:Z, 6, FALSE), "")</f>
        <v/>
      </c>
      <c r="E101" s="48" t="str">
        <f>IFERROR(VLOOKUP(B101, Current_Stats!A:Z, 11, FALSE), "")</f>
        <v/>
      </c>
      <c r="F101" s="86" t="str">
        <f t="shared" si="4"/>
        <v/>
      </c>
      <c r="G101" s="46" t="str">
        <f>IFERROR(VLOOKUP(A101, Shift_Analysis!A:Z, 6, FALSE), "")</f>
        <v/>
      </c>
      <c r="H101" s="92" t="str">
        <f>IFERROR(VLOOKUP(A101, Shift_Analysis!A:Z, 7, FALSE), "")</f>
        <v/>
      </c>
      <c r="J101" s="48" t="str">
        <f t="shared" ref="J101:P101" si="13">B101</f>
        <v/>
      </c>
      <c r="K101" s="91" t="str">
        <f t="shared" si="13"/>
        <v/>
      </c>
      <c r="L101" s="91" t="str">
        <f t="shared" si="13"/>
        <v/>
      </c>
      <c r="M101" s="48" t="str">
        <f t="shared" si="13"/>
        <v/>
      </c>
      <c r="N101" s="86" t="str">
        <f t="shared" si="13"/>
        <v/>
      </c>
      <c r="O101" s="46" t="str">
        <f t="shared" si="13"/>
        <v/>
      </c>
      <c r="P101" s="86" t="str">
        <f t="shared" si="13"/>
        <v/>
      </c>
    </row>
    <row r="102">
      <c r="A102" s="80" t="str">
        <f t="array" ref="A102">IFERROR(
  INDEX(Refined_Data!A:A, MATCH(B102, Refined_Data!O:O, FALSE)),
"")</f>
        <v/>
      </c>
      <c r="C102" s="91" t="str">
        <f>IFERROR(VLOOKUP(B102, Current_Stats!A:Z, 3, FALSE), "")</f>
        <v/>
      </c>
      <c r="D102" s="91" t="str">
        <f>IFERROR(VLOOKUP(B102, Current_Stats!A:Z, 6, FALSE), "")</f>
        <v/>
      </c>
      <c r="E102" s="48" t="str">
        <f>IFERROR(VLOOKUP(B102, Current_Stats!A:Z, 11, FALSE), "")</f>
        <v/>
      </c>
      <c r="F102" s="86" t="str">
        <f t="shared" si="4"/>
        <v/>
      </c>
      <c r="G102" s="46" t="str">
        <f>IFERROR(VLOOKUP(A102, Shift_Analysis!A:Z, 6, FALSE), "")</f>
        <v/>
      </c>
      <c r="H102" s="92" t="str">
        <f>IFERROR(VLOOKUP(A102, Shift_Analysis!A:Z, 7, FALSE), "")</f>
        <v/>
      </c>
      <c r="J102" s="48" t="str">
        <f t="shared" ref="J102:P102" si="14">B102</f>
        <v/>
      </c>
      <c r="K102" s="91" t="str">
        <f t="shared" si="14"/>
        <v/>
      </c>
      <c r="L102" s="91" t="str">
        <f t="shared" si="14"/>
        <v/>
      </c>
      <c r="M102" s="48" t="str">
        <f t="shared" si="14"/>
        <v/>
      </c>
      <c r="N102" s="86" t="str">
        <f t="shared" si="14"/>
        <v/>
      </c>
      <c r="O102" s="46" t="str">
        <f t="shared" si="14"/>
        <v/>
      </c>
      <c r="P102" s="86" t="str">
        <f t="shared" si="14"/>
        <v/>
      </c>
    </row>
    <row r="103">
      <c r="A103" s="80" t="str">
        <f t="array" ref="A103">IFERROR(
  INDEX(Refined_Data!A:A, MATCH(B103, Refined_Data!O:O, FALSE)),
"")</f>
        <v/>
      </c>
      <c r="C103" s="91" t="str">
        <f>IFERROR(VLOOKUP(B103, Current_Stats!A:Z, 3, FALSE), "")</f>
        <v/>
      </c>
      <c r="D103" s="91" t="str">
        <f>IFERROR(VLOOKUP(B103, Current_Stats!A:Z, 6, FALSE), "")</f>
        <v/>
      </c>
      <c r="E103" s="48" t="str">
        <f>IFERROR(VLOOKUP(B103, Current_Stats!A:Z, 11, FALSE), "")</f>
        <v/>
      </c>
      <c r="F103" s="86" t="str">
        <f t="shared" si="4"/>
        <v/>
      </c>
      <c r="G103" s="46" t="str">
        <f>IFERROR(VLOOKUP(A103, Shift_Analysis!A:Z, 6, FALSE), "")</f>
        <v/>
      </c>
      <c r="H103" s="92" t="str">
        <f>IFERROR(VLOOKUP(A103, Shift_Analysis!A:Z, 7, FALSE), "")</f>
        <v/>
      </c>
      <c r="J103" s="48" t="str">
        <f t="shared" ref="J103:P103" si="15">B103</f>
        <v/>
      </c>
      <c r="K103" s="91" t="str">
        <f t="shared" si="15"/>
        <v/>
      </c>
      <c r="L103" s="91" t="str">
        <f t="shared" si="15"/>
        <v/>
      </c>
      <c r="M103" s="48" t="str">
        <f t="shared" si="15"/>
        <v/>
      </c>
      <c r="N103" s="86" t="str">
        <f t="shared" si="15"/>
        <v/>
      </c>
      <c r="O103" s="46" t="str">
        <f t="shared" si="15"/>
        <v/>
      </c>
      <c r="P103" s="86" t="str">
        <f t="shared" si="15"/>
        <v/>
      </c>
    </row>
    <row r="104">
      <c r="A104" s="80" t="str">
        <f t="array" ref="A104">IFERROR(
  INDEX(Refined_Data!A:A, MATCH(B104, Refined_Data!O:O, FALSE)),
"")</f>
        <v/>
      </c>
      <c r="C104" s="91" t="str">
        <f>IFERROR(VLOOKUP(B104, Current_Stats!A:Z, 3, FALSE), "")</f>
        <v/>
      </c>
      <c r="D104" s="91" t="str">
        <f>IFERROR(VLOOKUP(B104, Current_Stats!A:Z, 6, FALSE), "")</f>
        <v/>
      </c>
      <c r="E104" s="48" t="str">
        <f>IFERROR(VLOOKUP(B104, Current_Stats!A:Z, 11, FALSE), "")</f>
        <v/>
      </c>
      <c r="F104" s="86" t="str">
        <f t="shared" si="4"/>
        <v/>
      </c>
      <c r="G104" s="46" t="str">
        <f>IFERROR(VLOOKUP(A104, Shift_Analysis!A:Z, 6, FALSE), "")</f>
        <v/>
      </c>
      <c r="H104" s="92" t="str">
        <f>IFERROR(VLOOKUP(A104, Shift_Analysis!A:Z, 7, FALSE), "")</f>
        <v/>
      </c>
      <c r="J104" s="48" t="str">
        <f t="shared" ref="J104:P104" si="16">B104</f>
        <v/>
      </c>
      <c r="K104" s="91" t="str">
        <f t="shared" si="16"/>
        <v/>
      </c>
      <c r="L104" s="91" t="str">
        <f t="shared" si="16"/>
        <v/>
      </c>
      <c r="M104" s="48" t="str">
        <f t="shared" si="16"/>
        <v/>
      </c>
      <c r="N104" s="86" t="str">
        <f t="shared" si="16"/>
        <v/>
      </c>
      <c r="O104" s="46" t="str">
        <f t="shared" si="16"/>
        <v/>
      </c>
      <c r="P104" s="86" t="str">
        <f t="shared" si="16"/>
        <v/>
      </c>
    </row>
    <row r="105">
      <c r="A105" s="80" t="str">
        <f t="array" ref="A105">IFERROR(
  INDEX(Refined_Data!A:A, MATCH(B105, Refined_Data!O:O, FALSE)),
"")</f>
        <v/>
      </c>
      <c r="C105" s="91" t="str">
        <f>IFERROR(VLOOKUP(B105, Current_Stats!A:Z, 3, FALSE), "")</f>
        <v/>
      </c>
      <c r="D105" s="91" t="str">
        <f>IFERROR(VLOOKUP(B105, Current_Stats!A:Z, 6, FALSE), "")</f>
        <v/>
      </c>
      <c r="E105" s="48" t="str">
        <f>IFERROR(VLOOKUP(B105, Current_Stats!A:Z, 11, FALSE), "")</f>
        <v/>
      </c>
      <c r="F105" s="86" t="str">
        <f t="shared" si="4"/>
        <v/>
      </c>
      <c r="G105" s="46" t="str">
        <f>IFERROR(VLOOKUP(A105, Shift_Analysis!A:Z, 6, FALSE), "")</f>
        <v/>
      </c>
      <c r="H105" s="92" t="str">
        <f>IFERROR(VLOOKUP(A105, Shift_Analysis!A:Z, 7, FALSE), "")</f>
        <v/>
      </c>
      <c r="J105" s="48" t="str">
        <f t="shared" ref="J105:P105" si="17">B105</f>
        <v/>
      </c>
      <c r="K105" s="91" t="str">
        <f t="shared" si="17"/>
        <v/>
      </c>
      <c r="L105" s="91" t="str">
        <f t="shared" si="17"/>
        <v/>
      </c>
      <c r="M105" s="48" t="str">
        <f t="shared" si="17"/>
        <v/>
      </c>
      <c r="N105" s="86" t="str">
        <f t="shared" si="17"/>
        <v/>
      </c>
      <c r="O105" s="46" t="str">
        <f t="shared" si="17"/>
        <v/>
      </c>
      <c r="P105" s="86" t="str">
        <f t="shared" si="17"/>
        <v/>
      </c>
    </row>
    <row r="106">
      <c r="A106" s="80" t="str">
        <f t="array" ref="A106">IFERROR(
  INDEX(Refined_Data!A:A, MATCH(B106, Refined_Data!O:O, FALSE)),
"")</f>
        <v/>
      </c>
      <c r="C106" s="91" t="str">
        <f>IFERROR(VLOOKUP(B106, Current_Stats!A:Z, 3, FALSE), "")</f>
        <v/>
      </c>
      <c r="D106" s="91" t="str">
        <f>IFERROR(VLOOKUP(B106, Current_Stats!A:Z, 6, FALSE), "")</f>
        <v/>
      </c>
      <c r="E106" s="48" t="str">
        <f>IFERROR(VLOOKUP(B106, Current_Stats!A:Z, 11, FALSE), "")</f>
        <v/>
      </c>
      <c r="F106" s="86" t="str">
        <f t="shared" si="4"/>
        <v/>
      </c>
      <c r="G106" s="46" t="str">
        <f>IFERROR(VLOOKUP(A106, Shift_Analysis!A:Z, 6, FALSE), "")</f>
        <v/>
      </c>
      <c r="H106" s="92" t="str">
        <f>IFERROR(VLOOKUP(A106, Shift_Analysis!A:Z, 7, FALSE), "")</f>
        <v/>
      </c>
      <c r="J106" s="48" t="str">
        <f t="shared" ref="J106:P106" si="18">B106</f>
        <v/>
      </c>
      <c r="K106" s="91" t="str">
        <f t="shared" si="18"/>
        <v/>
      </c>
      <c r="L106" s="91" t="str">
        <f t="shared" si="18"/>
        <v/>
      </c>
      <c r="M106" s="48" t="str">
        <f t="shared" si="18"/>
        <v/>
      </c>
      <c r="N106" s="86" t="str">
        <f t="shared" si="18"/>
        <v/>
      </c>
      <c r="O106" s="46" t="str">
        <f t="shared" si="18"/>
        <v/>
      </c>
      <c r="P106" s="86" t="str">
        <f t="shared" si="18"/>
        <v/>
      </c>
    </row>
    <row r="107">
      <c r="A107" s="80" t="str">
        <f t="array" ref="A107">IFERROR(
  INDEX(Refined_Data!A:A, MATCH(B107, Refined_Data!O:O, FALSE)),
"")</f>
        <v/>
      </c>
      <c r="C107" s="91" t="str">
        <f>IFERROR(VLOOKUP(B107, Current_Stats!A:Z, 3, FALSE), "")</f>
        <v/>
      </c>
      <c r="D107" s="91" t="str">
        <f>IFERROR(VLOOKUP(B107, Current_Stats!A:Z, 6, FALSE), "")</f>
        <v/>
      </c>
      <c r="E107" s="48" t="str">
        <f>IFERROR(VLOOKUP(B107, Current_Stats!A:Z, 11, FALSE), "")</f>
        <v/>
      </c>
      <c r="F107" s="86" t="str">
        <f t="shared" si="4"/>
        <v/>
      </c>
      <c r="G107" s="46" t="str">
        <f>IFERROR(VLOOKUP(A107, Shift_Analysis!A:Z, 6, FALSE), "")</f>
        <v/>
      </c>
      <c r="H107" s="92" t="str">
        <f>IFERROR(VLOOKUP(A107, Shift_Analysis!A:Z, 7, FALSE), "")</f>
        <v/>
      </c>
      <c r="J107" s="48" t="str">
        <f t="shared" ref="J107:P107" si="19">B107</f>
        <v/>
      </c>
      <c r="K107" s="91" t="str">
        <f t="shared" si="19"/>
        <v/>
      </c>
      <c r="L107" s="91" t="str">
        <f t="shared" si="19"/>
        <v/>
      </c>
      <c r="M107" s="48" t="str">
        <f t="shared" si="19"/>
        <v/>
      </c>
      <c r="N107" s="86" t="str">
        <f t="shared" si="19"/>
        <v/>
      </c>
      <c r="O107" s="46" t="str">
        <f t="shared" si="19"/>
        <v/>
      </c>
      <c r="P107" s="86" t="str">
        <f t="shared" si="19"/>
        <v/>
      </c>
    </row>
    <row r="108">
      <c r="A108" s="80" t="str">
        <f t="array" ref="A108">IFERROR(
  INDEX(Refined_Data!A:A, MATCH(B108, Refined_Data!O:O, FALSE)),
"")</f>
        <v/>
      </c>
      <c r="C108" s="91" t="str">
        <f>IFERROR(VLOOKUP(B108, Current_Stats!A:Z, 3, FALSE), "")</f>
        <v/>
      </c>
      <c r="D108" s="91" t="str">
        <f>IFERROR(VLOOKUP(B108, Current_Stats!A:Z, 6, FALSE), "")</f>
        <v/>
      </c>
      <c r="E108" s="48" t="str">
        <f>IFERROR(VLOOKUP(B108, Current_Stats!A:Z, 11, FALSE), "")</f>
        <v/>
      </c>
      <c r="F108" s="86" t="str">
        <f t="shared" si="4"/>
        <v/>
      </c>
      <c r="G108" s="46" t="str">
        <f>IFERROR(VLOOKUP(A108, Shift_Analysis!A:Z, 6, FALSE), "")</f>
        <v/>
      </c>
      <c r="H108" s="92" t="str">
        <f>IFERROR(VLOOKUP(A108, Shift_Analysis!A:Z, 7, FALSE), "")</f>
        <v/>
      </c>
      <c r="J108" s="48" t="str">
        <f t="shared" ref="J108:P108" si="20">B108</f>
        <v/>
      </c>
      <c r="K108" s="91" t="str">
        <f t="shared" si="20"/>
        <v/>
      </c>
      <c r="L108" s="91" t="str">
        <f t="shared" si="20"/>
        <v/>
      </c>
      <c r="M108" s="48" t="str">
        <f t="shared" si="20"/>
        <v/>
      </c>
      <c r="N108" s="86" t="str">
        <f t="shared" si="20"/>
        <v/>
      </c>
      <c r="O108" s="46" t="str">
        <f t="shared" si="20"/>
        <v/>
      </c>
      <c r="P108" s="86" t="str">
        <f t="shared" si="20"/>
        <v/>
      </c>
    </row>
    <row r="109">
      <c r="A109" s="80" t="str">
        <f t="array" ref="A109">IFERROR(
  INDEX(Refined_Data!A:A, MATCH(B109, Refined_Data!O:O, FALSE)),
"")</f>
        <v/>
      </c>
      <c r="C109" s="91" t="str">
        <f>IFERROR(VLOOKUP(B109, Current_Stats!A:Z, 3, FALSE), "")</f>
        <v/>
      </c>
      <c r="D109" s="91" t="str">
        <f>IFERROR(VLOOKUP(B109, Current_Stats!A:Z, 6, FALSE), "")</f>
        <v/>
      </c>
      <c r="E109" s="48" t="str">
        <f>IFERROR(VLOOKUP(B109, Current_Stats!A:Z, 11, FALSE), "")</f>
        <v/>
      </c>
      <c r="F109" s="86" t="str">
        <f t="shared" si="4"/>
        <v/>
      </c>
      <c r="G109" s="46" t="str">
        <f>IFERROR(VLOOKUP(A109, Shift_Analysis!A:Z, 6, FALSE), "")</f>
        <v/>
      </c>
      <c r="H109" s="92" t="str">
        <f>IFERROR(VLOOKUP(A109, Shift_Analysis!A:Z, 7, FALSE), "")</f>
        <v/>
      </c>
      <c r="J109" s="48" t="str">
        <f t="shared" ref="J109:P109" si="21">B109</f>
        <v/>
      </c>
      <c r="K109" s="91" t="str">
        <f t="shared" si="21"/>
        <v/>
      </c>
      <c r="L109" s="91" t="str">
        <f t="shared" si="21"/>
        <v/>
      </c>
      <c r="M109" s="48" t="str">
        <f t="shared" si="21"/>
        <v/>
      </c>
      <c r="N109" s="86" t="str">
        <f t="shared" si="21"/>
        <v/>
      </c>
      <c r="O109" s="46" t="str">
        <f t="shared" si="21"/>
        <v/>
      </c>
      <c r="P109" s="86" t="str">
        <f t="shared" si="21"/>
        <v/>
      </c>
    </row>
    <row r="110">
      <c r="A110" s="80" t="str">
        <f t="array" ref="A110">IFERROR(
  INDEX(Refined_Data!A:A, MATCH(B110, Refined_Data!O:O, FALSE)),
"")</f>
        <v/>
      </c>
      <c r="C110" s="91" t="str">
        <f>IFERROR(VLOOKUP(B110, Current_Stats!A:Z, 3, FALSE), "")</f>
        <v/>
      </c>
      <c r="D110" s="91" t="str">
        <f>IFERROR(VLOOKUP(B110, Current_Stats!A:Z, 6, FALSE), "")</f>
        <v/>
      </c>
      <c r="E110" s="48" t="str">
        <f>IFERROR(VLOOKUP(B110, Current_Stats!A:Z, 11, FALSE), "")</f>
        <v/>
      </c>
      <c r="F110" s="86" t="str">
        <f t="shared" si="4"/>
        <v/>
      </c>
      <c r="G110" s="46" t="str">
        <f>IFERROR(VLOOKUP(A110, Shift_Analysis!A:Z, 6, FALSE), "")</f>
        <v/>
      </c>
      <c r="H110" s="92" t="str">
        <f>IFERROR(VLOOKUP(A110, Shift_Analysis!A:Z, 7, FALSE), "")</f>
        <v/>
      </c>
      <c r="J110" s="48" t="str">
        <f t="shared" ref="J110:P110" si="22">B110</f>
        <v/>
      </c>
      <c r="K110" s="91" t="str">
        <f t="shared" si="22"/>
        <v/>
      </c>
      <c r="L110" s="91" t="str">
        <f t="shared" si="22"/>
        <v/>
      </c>
      <c r="M110" s="48" t="str">
        <f t="shared" si="22"/>
        <v/>
      </c>
      <c r="N110" s="86" t="str">
        <f t="shared" si="22"/>
        <v/>
      </c>
      <c r="O110" s="46" t="str">
        <f t="shared" si="22"/>
        <v/>
      </c>
      <c r="P110" s="86" t="str">
        <f t="shared" si="22"/>
        <v/>
      </c>
    </row>
    <row r="111">
      <c r="A111" s="80" t="str">
        <f t="array" ref="A111">IFERROR(
  INDEX(Refined_Data!A:A, MATCH(B111, Refined_Data!O:O, FALSE)),
"")</f>
        <v/>
      </c>
      <c r="C111" s="91" t="str">
        <f>IFERROR(VLOOKUP(B111, Current_Stats!A:Z, 3, FALSE), "")</f>
        <v/>
      </c>
      <c r="D111" s="91" t="str">
        <f>IFERROR(VLOOKUP(B111, Current_Stats!A:Z, 6, FALSE), "")</f>
        <v/>
      </c>
      <c r="E111" s="48" t="str">
        <f>IFERROR(VLOOKUP(B111, Current_Stats!A:Z, 11, FALSE), "")</f>
        <v/>
      </c>
      <c r="F111" s="86" t="str">
        <f t="shared" si="4"/>
        <v/>
      </c>
      <c r="G111" s="46" t="str">
        <f>IFERROR(VLOOKUP(A111, Shift_Analysis!A:Z, 6, FALSE), "")</f>
        <v/>
      </c>
      <c r="H111" s="92" t="str">
        <f>IFERROR(VLOOKUP(A111, Shift_Analysis!A:Z, 7, FALSE), "")</f>
        <v/>
      </c>
      <c r="J111" s="48" t="str">
        <f t="shared" ref="J111:P111" si="23">B111</f>
        <v/>
      </c>
      <c r="K111" s="91" t="str">
        <f t="shared" si="23"/>
        <v/>
      </c>
      <c r="L111" s="91" t="str">
        <f t="shared" si="23"/>
        <v/>
      </c>
      <c r="M111" s="48" t="str">
        <f t="shared" si="23"/>
        <v/>
      </c>
      <c r="N111" s="86" t="str">
        <f t="shared" si="23"/>
        <v/>
      </c>
      <c r="O111" s="46" t="str">
        <f t="shared" si="23"/>
        <v/>
      </c>
      <c r="P111" s="86" t="str">
        <f t="shared" si="23"/>
        <v/>
      </c>
    </row>
    <row r="112">
      <c r="A112" s="80" t="str">
        <f t="array" ref="A112">IFERROR(
  INDEX(Refined_Data!A:A, MATCH(B112, Refined_Data!O:O, FALSE)),
"")</f>
        <v/>
      </c>
      <c r="C112" s="91" t="str">
        <f>IFERROR(VLOOKUP(B112, Current_Stats!A:Z, 3, FALSE), "")</f>
        <v/>
      </c>
      <c r="D112" s="91" t="str">
        <f>IFERROR(VLOOKUP(B112, Current_Stats!A:Z, 6, FALSE), "")</f>
        <v/>
      </c>
      <c r="E112" s="48" t="str">
        <f>IFERROR(VLOOKUP(B112, Current_Stats!A:Z, 11, FALSE), "")</f>
        <v/>
      </c>
      <c r="F112" s="86" t="str">
        <f t="shared" si="4"/>
        <v/>
      </c>
      <c r="G112" s="46" t="str">
        <f>IFERROR(VLOOKUP(A112, Shift_Analysis!A:Z, 6, FALSE), "")</f>
        <v/>
      </c>
      <c r="H112" s="92" t="str">
        <f>IFERROR(VLOOKUP(A112, Shift_Analysis!A:Z, 7, FALSE), "")</f>
        <v/>
      </c>
      <c r="J112" s="48" t="str">
        <f t="shared" ref="J112:P112" si="24">B112</f>
        <v/>
      </c>
      <c r="K112" s="91" t="str">
        <f t="shared" si="24"/>
        <v/>
      </c>
      <c r="L112" s="91" t="str">
        <f t="shared" si="24"/>
        <v/>
      </c>
      <c r="M112" s="48" t="str">
        <f t="shared" si="24"/>
        <v/>
      </c>
      <c r="N112" s="86" t="str">
        <f t="shared" si="24"/>
        <v/>
      </c>
      <c r="O112" s="46" t="str">
        <f t="shared" si="24"/>
        <v/>
      </c>
      <c r="P112" s="86" t="str">
        <f t="shared" si="24"/>
        <v/>
      </c>
    </row>
    <row r="113">
      <c r="A113" s="80" t="str">
        <f t="array" ref="A113">IFERROR(
  INDEX(Refined_Data!A:A, MATCH(B113, Refined_Data!O:O, FALSE)),
"")</f>
        <v/>
      </c>
      <c r="C113" s="91" t="str">
        <f>IFERROR(VLOOKUP(B113, Current_Stats!A:Z, 3, FALSE), "")</f>
        <v/>
      </c>
      <c r="D113" s="91" t="str">
        <f>IFERROR(VLOOKUP(B113, Current_Stats!A:Z, 6, FALSE), "")</f>
        <v/>
      </c>
      <c r="E113" s="48" t="str">
        <f>IFERROR(VLOOKUP(B113, Current_Stats!A:Z, 11, FALSE), "")</f>
        <v/>
      </c>
      <c r="F113" s="86" t="str">
        <f t="shared" si="4"/>
        <v/>
      </c>
      <c r="G113" s="46" t="str">
        <f>IFERROR(VLOOKUP(A113, Shift_Analysis!A:Z, 6, FALSE), "")</f>
        <v/>
      </c>
      <c r="H113" s="92" t="str">
        <f>IFERROR(VLOOKUP(A113, Shift_Analysis!A:Z, 7, FALSE), "")</f>
        <v/>
      </c>
      <c r="J113" s="48" t="str">
        <f t="shared" ref="J113:P113" si="25">B113</f>
        <v/>
      </c>
      <c r="K113" s="91" t="str">
        <f t="shared" si="25"/>
        <v/>
      </c>
      <c r="L113" s="91" t="str">
        <f t="shared" si="25"/>
        <v/>
      </c>
      <c r="M113" s="48" t="str">
        <f t="shared" si="25"/>
        <v/>
      </c>
      <c r="N113" s="86" t="str">
        <f t="shared" si="25"/>
        <v/>
      </c>
      <c r="O113" s="46" t="str">
        <f t="shared" si="25"/>
        <v/>
      </c>
      <c r="P113" s="86" t="str">
        <f t="shared" si="25"/>
        <v/>
      </c>
    </row>
    <row r="114">
      <c r="A114" s="80" t="str">
        <f t="array" ref="A114">IFERROR(
  INDEX(Refined_Data!A:A, MATCH(B114, Refined_Data!O:O, FALSE)),
"")</f>
        <v/>
      </c>
      <c r="C114" s="91" t="str">
        <f>IFERROR(VLOOKUP(B114, Current_Stats!A:Z, 3, FALSE), "")</f>
        <v/>
      </c>
      <c r="D114" s="91" t="str">
        <f>IFERROR(VLOOKUP(B114, Current_Stats!A:Z, 6, FALSE), "")</f>
        <v/>
      </c>
      <c r="E114" s="48" t="str">
        <f>IFERROR(VLOOKUP(B114, Current_Stats!A:Z, 11, FALSE), "")</f>
        <v/>
      </c>
      <c r="F114" s="86" t="str">
        <f t="shared" si="4"/>
        <v/>
      </c>
      <c r="G114" s="46" t="str">
        <f>IFERROR(VLOOKUP(A114, Shift_Analysis!A:Z, 6, FALSE), "")</f>
        <v/>
      </c>
      <c r="H114" s="92" t="str">
        <f>IFERROR(VLOOKUP(A114, Shift_Analysis!A:Z, 7, FALSE), "")</f>
        <v/>
      </c>
      <c r="J114" s="48" t="str">
        <f t="shared" ref="J114:P114" si="26">B114</f>
        <v/>
      </c>
      <c r="K114" s="91" t="str">
        <f t="shared" si="26"/>
        <v/>
      </c>
      <c r="L114" s="91" t="str">
        <f t="shared" si="26"/>
        <v/>
      </c>
      <c r="M114" s="48" t="str">
        <f t="shared" si="26"/>
        <v/>
      </c>
      <c r="N114" s="86" t="str">
        <f t="shared" si="26"/>
        <v/>
      </c>
      <c r="O114" s="46" t="str">
        <f t="shared" si="26"/>
        <v/>
      </c>
      <c r="P114" s="86" t="str">
        <f t="shared" si="26"/>
        <v/>
      </c>
    </row>
    <row r="115">
      <c r="A115" s="80" t="str">
        <f t="array" ref="A115">IFERROR(
  INDEX(Refined_Data!A:A, MATCH(B115, Refined_Data!O:O, FALSE)),
"")</f>
        <v/>
      </c>
      <c r="C115" s="91" t="str">
        <f>IFERROR(VLOOKUP(B115, Current_Stats!A:Z, 3, FALSE), "")</f>
        <v/>
      </c>
      <c r="D115" s="91" t="str">
        <f>IFERROR(VLOOKUP(B115, Current_Stats!A:Z, 6, FALSE), "")</f>
        <v/>
      </c>
      <c r="E115" s="48" t="str">
        <f>IFERROR(VLOOKUP(B115, Current_Stats!A:Z, 11, FALSE), "")</f>
        <v/>
      </c>
      <c r="F115" s="86" t="str">
        <f t="shared" si="4"/>
        <v/>
      </c>
      <c r="G115" s="46" t="str">
        <f>IFERROR(VLOOKUP(A115, Shift_Analysis!A:Z, 6, FALSE), "")</f>
        <v/>
      </c>
      <c r="H115" s="92" t="str">
        <f>IFERROR(VLOOKUP(A115, Shift_Analysis!A:Z, 7, FALSE), "")</f>
        <v/>
      </c>
      <c r="J115" s="48" t="str">
        <f t="shared" ref="J115:P115" si="27">B115</f>
        <v/>
      </c>
      <c r="K115" s="91" t="str">
        <f t="shared" si="27"/>
        <v/>
      </c>
      <c r="L115" s="91" t="str">
        <f t="shared" si="27"/>
        <v/>
      </c>
      <c r="M115" s="48" t="str">
        <f t="shared" si="27"/>
        <v/>
      </c>
      <c r="N115" s="86" t="str">
        <f t="shared" si="27"/>
        <v/>
      </c>
      <c r="O115" s="46" t="str">
        <f t="shared" si="27"/>
        <v/>
      </c>
      <c r="P115" s="86" t="str">
        <f t="shared" si="27"/>
        <v/>
      </c>
    </row>
    <row r="116">
      <c r="A116" s="80" t="str">
        <f t="array" ref="A116">IFERROR(
  INDEX(Refined_Data!A:A, MATCH(B116, Refined_Data!O:O, FALSE)),
"")</f>
        <v/>
      </c>
      <c r="C116" s="91" t="str">
        <f>IFERROR(VLOOKUP(B116, Current_Stats!A:Z, 3, FALSE), "")</f>
        <v/>
      </c>
      <c r="D116" s="91" t="str">
        <f>IFERROR(VLOOKUP(B116, Current_Stats!A:Z, 6, FALSE), "")</f>
        <v/>
      </c>
      <c r="E116" s="48" t="str">
        <f>IFERROR(VLOOKUP(B116, Current_Stats!A:Z, 11, FALSE), "")</f>
        <v/>
      </c>
      <c r="F116" s="86" t="str">
        <f t="shared" si="4"/>
        <v/>
      </c>
      <c r="G116" s="46" t="str">
        <f>IFERROR(VLOOKUP(A116, Shift_Analysis!A:Z, 6, FALSE), "")</f>
        <v/>
      </c>
      <c r="H116" s="92" t="str">
        <f>IFERROR(VLOOKUP(A116, Shift_Analysis!A:Z, 7, FALSE), "")</f>
        <v/>
      </c>
      <c r="J116" s="48" t="str">
        <f t="shared" ref="J116:P116" si="28">B116</f>
        <v/>
      </c>
      <c r="K116" s="91" t="str">
        <f t="shared" si="28"/>
        <v/>
      </c>
      <c r="L116" s="91" t="str">
        <f t="shared" si="28"/>
        <v/>
      </c>
      <c r="M116" s="48" t="str">
        <f t="shared" si="28"/>
        <v/>
      </c>
      <c r="N116" s="86" t="str">
        <f t="shared" si="28"/>
        <v/>
      </c>
      <c r="O116" s="46" t="str">
        <f t="shared" si="28"/>
        <v/>
      </c>
      <c r="P116" s="86" t="str">
        <f t="shared" si="28"/>
        <v/>
      </c>
    </row>
    <row r="117">
      <c r="A117" s="80" t="str">
        <f t="array" ref="A117">IFERROR(
  INDEX(Refined_Data!A:A, MATCH(B117, Refined_Data!O:O, FALSE)),
"")</f>
        <v/>
      </c>
      <c r="C117" s="91" t="str">
        <f>IFERROR(VLOOKUP(B117, Current_Stats!A:Z, 3, FALSE), "")</f>
        <v/>
      </c>
      <c r="D117" s="91" t="str">
        <f>IFERROR(VLOOKUP(B117, Current_Stats!A:Z, 6, FALSE), "")</f>
        <v/>
      </c>
      <c r="E117" s="48" t="str">
        <f>IFERROR(VLOOKUP(B117, Current_Stats!A:Z, 11, FALSE), "")</f>
        <v/>
      </c>
      <c r="F117" s="86" t="str">
        <f t="shared" si="4"/>
        <v/>
      </c>
      <c r="G117" s="46" t="str">
        <f>IFERROR(VLOOKUP(A117, Shift_Analysis!A:Z, 6, FALSE), "")</f>
        <v/>
      </c>
      <c r="H117" s="92" t="str">
        <f>IFERROR(VLOOKUP(A117, Shift_Analysis!A:Z, 7, FALSE), "")</f>
        <v/>
      </c>
      <c r="J117" s="48" t="str">
        <f t="shared" ref="J117:P117" si="29">B117</f>
        <v/>
      </c>
      <c r="K117" s="91" t="str">
        <f t="shared" si="29"/>
        <v/>
      </c>
      <c r="L117" s="91" t="str">
        <f t="shared" si="29"/>
        <v/>
      </c>
      <c r="M117" s="48" t="str">
        <f t="shared" si="29"/>
        <v/>
      </c>
      <c r="N117" s="86" t="str">
        <f t="shared" si="29"/>
        <v/>
      </c>
      <c r="O117" s="46" t="str">
        <f t="shared" si="29"/>
        <v/>
      </c>
      <c r="P117" s="86" t="str">
        <f t="shared" si="29"/>
        <v/>
      </c>
    </row>
    <row r="118">
      <c r="A118" s="80" t="str">
        <f t="array" ref="A118">IFERROR(
  INDEX(Refined_Data!A:A, MATCH(B118, Refined_Data!O:O, FALSE)),
"")</f>
        <v/>
      </c>
      <c r="C118" s="91" t="str">
        <f>IFERROR(VLOOKUP(B118, Current_Stats!A:Z, 3, FALSE), "")</f>
        <v/>
      </c>
      <c r="D118" s="91" t="str">
        <f>IFERROR(VLOOKUP(B118, Current_Stats!A:Z, 6, FALSE), "")</f>
        <v/>
      </c>
      <c r="E118" s="48" t="str">
        <f>IFERROR(VLOOKUP(B118, Current_Stats!A:Z, 11, FALSE), "")</f>
        <v/>
      </c>
      <c r="F118" s="86" t="str">
        <f t="shared" si="4"/>
        <v/>
      </c>
      <c r="G118" s="46" t="str">
        <f>IFERROR(VLOOKUP(A118, Shift_Analysis!A:Z, 6, FALSE), "")</f>
        <v/>
      </c>
      <c r="H118" s="92" t="str">
        <f>IFERROR(VLOOKUP(A118, Shift_Analysis!A:Z, 7, FALSE), "")</f>
        <v/>
      </c>
      <c r="J118" s="48" t="str">
        <f t="shared" ref="J118:P118" si="30">B118</f>
        <v/>
      </c>
      <c r="K118" s="91" t="str">
        <f t="shared" si="30"/>
        <v/>
      </c>
      <c r="L118" s="91" t="str">
        <f t="shared" si="30"/>
        <v/>
      </c>
      <c r="M118" s="48" t="str">
        <f t="shared" si="30"/>
        <v/>
      </c>
      <c r="N118" s="86" t="str">
        <f t="shared" si="30"/>
        <v/>
      </c>
      <c r="O118" s="46" t="str">
        <f t="shared" si="30"/>
        <v/>
      </c>
      <c r="P118" s="86" t="str">
        <f t="shared" si="30"/>
        <v/>
      </c>
    </row>
    <row r="119">
      <c r="A119" s="80" t="str">
        <f t="array" ref="A119">IFERROR(
  INDEX(Refined_Data!A:A, MATCH(B119, Refined_Data!O:O, FALSE)),
"")</f>
        <v/>
      </c>
      <c r="C119" s="91" t="str">
        <f>IFERROR(VLOOKUP(B119, Current_Stats!A:Z, 3, FALSE), "")</f>
        <v/>
      </c>
      <c r="D119" s="91" t="str">
        <f>IFERROR(VLOOKUP(B119, Current_Stats!A:Z, 6, FALSE), "")</f>
        <v/>
      </c>
      <c r="E119" s="48" t="str">
        <f>IFERROR(VLOOKUP(B119, Current_Stats!A:Z, 11, FALSE), "")</f>
        <v/>
      </c>
      <c r="F119" s="86" t="str">
        <f t="shared" si="4"/>
        <v/>
      </c>
      <c r="G119" s="46" t="str">
        <f>IFERROR(VLOOKUP(A119, Shift_Analysis!A:Z, 6, FALSE), "")</f>
        <v/>
      </c>
      <c r="H119" s="92" t="str">
        <f>IFERROR(VLOOKUP(A119, Shift_Analysis!A:Z, 7, FALSE), "")</f>
        <v/>
      </c>
      <c r="J119" s="48" t="str">
        <f t="shared" ref="J119:P119" si="31">B119</f>
        <v/>
      </c>
      <c r="K119" s="91" t="str">
        <f t="shared" si="31"/>
        <v/>
      </c>
      <c r="L119" s="91" t="str">
        <f t="shared" si="31"/>
        <v/>
      </c>
      <c r="M119" s="48" t="str">
        <f t="shared" si="31"/>
        <v/>
      </c>
      <c r="N119" s="86" t="str">
        <f t="shared" si="31"/>
        <v/>
      </c>
      <c r="O119" s="46" t="str">
        <f t="shared" si="31"/>
        <v/>
      </c>
      <c r="P119" s="86" t="str">
        <f t="shared" si="31"/>
        <v/>
      </c>
    </row>
    <row r="120">
      <c r="A120" s="80" t="str">
        <f t="array" ref="A120">IFERROR(
  INDEX(Refined_Data!A:A, MATCH(B120, Refined_Data!O:O, FALSE)),
"")</f>
        <v/>
      </c>
      <c r="C120" s="91" t="str">
        <f>IFERROR(VLOOKUP(B120, Current_Stats!A:Z, 3, FALSE), "")</f>
        <v/>
      </c>
      <c r="D120" s="91" t="str">
        <f>IFERROR(VLOOKUP(B120, Current_Stats!A:Z, 6, FALSE), "")</f>
        <v/>
      </c>
      <c r="E120" s="48" t="str">
        <f>IFERROR(VLOOKUP(B120, Current_Stats!A:Z, 11, FALSE), "")</f>
        <v/>
      </c>
      <c r="F120" s="86" t="str">
        <f t="shared" si="4"/>
        <v/>
      </c>
      <c r="G120" s="46" t="str">
        <f>IFERROR(VLOOKUP(A120, Shift_Analysis!A:Z, 6, FALSE), "")</f>
        <v/>
      </c>
      <c r="H120" s="92" t="str">
        <f>IFERROR(VLOOKUP(A120, Shift_Analysis!A:Z, 7, FALSE), "")</f>
        <v/>
      </c>
      <c r="J120" s="48" t="str">
        <f t="shared" ref="J120:P120" si="32">B120</f>
        <v/>
      </c>
      <c r="K120" s="91" t="str">
        <f t="shared" si="32"/>
        <v/>
      </c>
      <c r="L120" s="91" t="str">
        <f t="shared" si="32"/>
        <v/>
      </c>
      <c r="M120" s="48" t="str">
        <f t="shared" si="32"/>
        <v/>
      </c>
      <c r="N120" s="86" t="str">
        <f t="shared" si="32"/>
        <v/>
      </c>
      <c r="O120" s="46" t="str">
        <f t="shared" si="32"/>
        <v/>
      </c>
      <c r="P120" s="86" t="str">
        <f t="shared" si="32"/>
        <v/>
      </c>
    </row>
    <row r="121">
      <c r="A121" s="93"/>
      <c r="B121" s="90"/>
      <c r="C121" s="94"/>
      <c r="D121" s="94"/>
      <c r="E121" s="90"/>
      <c r="F121" s="90"/>
      <c r="G121" s="90"/>
      <c r="H121" s="94"/>
      <c r="I121" s="90"/>
      <c r="J121" s="90"/>
      <c r="K121" s="94"/>
      <c r="L121" s="94"/>
      <c r="M121" s="90"/>
      <c r="N121" s="90"/>
      <c r="O121" s="90"/>
      <c r="P121" s="94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A122" s="80"/>
      <c r="C122" s="86"/>
      <c r="D122" s="86"/>
      <c r="H122" s="86"/>
      <c r="K122" s="86"/>
      <c r="L122" s="86"/>
      <c r="P122" s="86"/>
    </row>
    <row r="123">
      <c r="A123" s="80"/>
      <c r="C123" s="86"/>
      <c r="D123" s="86"/>
      <c r="H123" s="86"/>
      <c r="K123" s="86"/>
      <c r="L123" s="86"/>
      <c r="P123" s="86"/>
    </row>
    <row r="124">
      <c r="A124" s="80"/>
      <c r="C124" s="86"/>
      <c r="D124" s="86"/>
      <c r="H124" s="86"/>
      <c r="K124" s="86"/>
      <c r="L124" s="86"/>
      <c r="P124" s="86"/>
    </row>
    <row r="125">
      <c r="A125" s="80"/>
      <c r="C125" s="86"/>
      <c r="D125" s="86"/>
      <c r="H125" s="86"/>
      <c r="K125" s="86"/>
      <c r="L125" s="86"/>
      <c r="P125" s="86"/>
    </row>
    <row r="126">
      <c r="A126" s="80"/>
      <c r="C126" s="86"/>
      <c r="D126" s="86"/>
      <c r="H126" s="86"/>
      <c r="K126" s="86"/>
      <c r="L126" s="86"/>
      <c r="P126" s="86"/>
    </row>
    <row r="127">
      <c r="A127" s="80"/>
      <c r="C127" s="86"/>
      <c r="D127" s="86"/>
      <c r="H127" s="86"/>
      <c r="K127" s="86"/>
      <c r="L127" s="86"/>
      <c r="P127" s="86"/>
    </row>
    <row r="128">
      <c r="A128" s="80"/>
      <c r="C128" s="86"/>
      <c r="D128" s="86"/>
      <c r="H128" s="86"/>
      <c r="K128" s="86"/>
      <c r="L128" s="86"/>
      <c r="P128" s="86"/>
    </row>
    <row r="129">
      <c r="A129" s="80"/>
      <c r="C129" s="86"/>
      <c r="D129" s="86"/>
      <c r="H129" s="86"/>
      <c r="K129" s="86"/>
      <c r="L129" s="86"/>
      <c r="P129" s="86"/>
    </row>
    <row r="130">
      <c r="A130" s="80"/>
      <c r="C130" s="86"/>
      <c r="D130" s="86"/>
      <c r="H130" s="86"/>
      <c r="K130" s="86"/>
      <c r="L130" s="86"/>
      <c r="P130" s="86"/>
    </row>
    <row r="131">
      <c r="A131" s="80"/>
      <c r="C131" s="86"/>
      <c r="D131" s="86"/>
      <c r="H131" s="86"/>
      <c r="K131" s="86"/>
      <c r="L131" s="86"/>
      <c r="P131" s="86"/>
    </row>
    <row r="132">
      <c r="A132" s="80"/>
      <c r="C132" s="86"/>
      <c r="D132" s="86"/>
      <c r="H132" s="86"/>
      <c r="K132" s="86"/>
      <c r="L132" s="86"/>
      <c r="P132" s="86"/>
    </row>
    <row r="133">
      <c r="A133" s="80"/>
      <c r="C133" s="86"/>
      <c r="D133" s="86"/>
      <c r="H133" s="86"/>
      <c r="K133" s="86"/>
      <c r="L133" s="86"/>
      <c r="P133" s="86"/>
    </row>
    <row r="134">
      <c r="A134" s="80"/>
      <c r="C134" s="86"/>
      <c r="D134" s="86"/>
      <c r="H134" s="86"/>
      <c r="K134" s="86"/>
      <c r="L134" s="86"/>
      <c r="P134" s="86"/>
    </row>
    <row r="135">
      <c r="A135" s="80"/>
      <c r="C135" s="86"/>
      <c r="D135" s="86"/>
      <c r="H135" s="86"/>
      <c r="K135" s="86"/>
      <c r="L135" s="86"/>
      <c r="P135" s="86"/>
    </row>
    <row r="136">
      <c r="A136" s="80"/>
      <c r="C136" s="86"/>
      <c r="D136" s="86"/>
      <c r="H136" s="86"/>
      <c r="K136" s="86"/>
      <c r="L136" s="86"/>
      <c r="P136" s="86"/>
    </row>
    <row r="137">
      <c r="A137" s="80"/>
      <c r="C137" s="86"/>
      <c r="D137" s="86"/>
      <c r="H137" s="86"/>
      <c r="K137" s="86"/>
      <c r="L137" s="86"/>
      <c r="P137" s="86"/>
    </row>
    <row r="138">
      <c r="A138" s="80"/>
      <c r="C138" s="86"/>
      <c r="D138" s="86"/>
      <c r="H138" s="86"/>
      <c r="K138" s="86"/>
      <c r="L138" s="86"/>
      <c r="P138" s="86"/>
    </row>
    <row r="139">
      <c r="A139" s="80"/>
      <c r="C139" s="86"/>
      <c r="D139" s="86"/>
      <c r="H139" s="86"/>
      <c r="K139" s="86"/>
      <c r="L139" s="86"/>
      <c r="P139" s="86"/>
    </row>
    <row r="140">
      <c r="A140" s="80"/>
      <c r="C140" s="86"/>
      <c r="D140" s="86"/>
      <c r="H140" s="86"/>
      <c r="K140" s="86"/>
      <c r="L140" s="86"/>
      <c r="P140" s="86"/>
    </row>
    <row r="141">
      <c r="A141" s="80"/>
      <c r="C141" s="86"/>
      <c r="D141" s="86"/>
      <c r="H141" s="86"/>
      <c r="K141" s="86"/>
      <c r="L141" s="86"/>
      <c r="P141" s="86"/>
    </row>
    <row r="142">
      <c r="A142" s="80"/>
      <c r="C142" s="86"/>
      <c r="D142" s="86"/>
      <c r="H142" s="86"/>
      <c r="K142" s="86"/>
      <c r="L142" s="86"/>
      <c r="P142" s="86"/>
    </row>
    <row r="143">
      <c r="A143" s="80"/>
      <c r="C143" s="86"/>
      <c r="D143" s="86"/>
      <c r="H143" s="86"/>
      <c r="K143" s="86"/>
      <c r="L143" s="86"/>
      <c r="P143" s="86"/>
    </row>
    <row r="144">
      <c r="A144" s="80"/>
      <c r="C144" s="86"/>
      <c r="D144" s="86"/>
      <c r="H144" s="86"/>
      <c r="K144" s="86"/>
      <c r="L144" s="86"/>
      <c r="P144" s="86"/>
    </row>
    <row r="145">
      <c r="A145" s="80"/>
      <c r="C145" s="86"/>
      <c r="D145" s="86"/>
      <c r="H145" s="86"/>
      <c r="K145" s="86"/>
      <c r="L145" s="86"/>
      <c r="P145" s="86"/>
    </row>
    <row r="146">
      <c r="A146" s="80"/>
      <c r="C146" s="86"/>
      <c r="D146" s="86"/>
      <c r="H146" s="86"/>
      <c r="K146" s="86"/>
      <c r="L146" s="86"/>
      <c r="P146" s="86"/>
    </row>
    <row r="147">
      <c r="A147" s="80"/>
      <c r="C147" s="86"/>
      <c r="D147" s="86"/>
      <c r="H147" s="86"/>
      <c r="K147" s="86"/>
      <c r="L147" s="86"/>
      <c r="P147" s="86"/>
    </row>
    <row r="148">
      <c r="A148" s="80"/>
      <c r="C148" s="86"/>
      <c r="D148" s="86"/>
      <c r="H148" s="86"/>
      <c r="K148" s="86"/>
      <c r="L148" s="86"/>
      <c r="P148" s="86"/>
    </row>
    <row r="149">
      <c r="A149" s="80"/>
      <c r="C149" s="86"/>
      <c r="D149" s="86"/>
      <c r="H149" s="86"/>
      <c r="K149" s="86"/>
      <c r="L149" s="86"/>
      <c r="P149" s="86"/>
    </row>
    <row r="150">
      <c r="A150" s="80"/>
      <c r="C150" s="86"/>
      <c r="D150" s="86"/>
      <c r="H150" s="86"/>
      <c r="K150" s="86"/>
      <c r="L150" s="86"/>
      <c r="P150" s="86"/>
    </row>
    <row r="151">
      <c r="A151" s="80"/>
      <c r="C151" s="86"/>
      <c r="D151" s="86"/>
      <c r="H151" s="86"/>
      <c r="K151" s="86"/>
      <c r="L151" s="86"/>
      <c r="P151" s="86"/>
    </row>
    <row r="152">
      <c r="A152" s="80"/>
      <c r="C152" s="86"/>
      <c r="D152" s="86"/>
      <c r="H152" s="86"/>
      <c r="K152" s="86"/>
      <c r="L152" s="86"/>
      <c r="P152" s="86"/>
    </row>
    <row r="153">
      <c r="A153" s="80"/>
      <c r="C153" s="86"/>
      <c r="D153" s="86"/>
      <c r="H153" s="86"/>
      <c r="K153" s="86"/>
      <c r="L153" s="86"/>
      <c r="P153" s="86"/>
    </row>
    <row r="154">
      <c r="A154" s="80"/>
      <c r="C154" s="86"/>
      <c r="D154" s="86"/>
      <c r="H154" s="86"/>
      <c r="K154" s="86"/>
      <c r="L154" s="86"/>
      <c r="P154" s="86"/>
    </row>
    <row r="155">
      <c r="A155" s="80"/>
      <c r="C155" s="86"/>
      <c r="D155" s="86"/>
      <c r="H155" s="86"/>
      <c r="K155" s="86"/>
      <c r="L155" s="86"/>
      <c r="P155" s="86"/>
    </row>
    <row r="156">
      <c r="A156" s="80"/>
      <c r="C156" s="86"/>
      <c r="D156" s="86"/>
      <c r="H156" s="86"/>
      <c r="K156" s="86"/>
      <c r="L156" s="86"/>
      <c r="P156" s="86"/>
    </row>
    <row r="157">
      <c r="A157" s="80"/>
      <c r="C157" s="86"/>
      <c r="D157" s="86"/>
      <c r="H157" s="86"/>
      <c r="K157" s="86"/>
      <c r="L157" s="86"/>
      <c r="P157" s="86"/>
    </row>
    <row r="158">
      <c r="A158" s="80"/>
      <c r="C158" s="86"/>
      <c r="D158" s="86"/>
      <c r="H158" s="86"/>
      <c r="K158" s="86"/>
      <c r="L158" s="86"/>
      <c r="P158" s="86"/>
    </row>
    <row r="159">
      <c r="A159" s="80"/>
      <c r="C159" s="86"/>
      <c r="D159" s="86"/>
      <c r="H159" s="86"/>
      <c r="K159" s="86"/>
      <c r="L159" s="86"/>
      <c r="P159" s="86"/>
    </row>
    <row r="160">
      <c r="A160" s="80"/>
      <c r="C160" s="86"/>
      <c r="D160" s="86"/>
      <c r="H160" s="86"/>
      <c r="K160" s="86"/>
      <c r="L160" s="86"/>
      <c r="P160" s="86"/>
    </row>
    <row r="161">
      <c r="A161" s="80"/>
      <c r="C161" s="86"/>
      <c r="D161" s="86"/>
      <c r="H161" s="86"/>
      <c r="K161" s="86"/>
      <c r="L161" s="86"/>
      <c r="P161" s="86"/>
    </row>
    <row r="162">
      <c r="A162" s="80"/>
      <c r="C162" s="86"/>
      <c r="D162" s="86"/>
      <c r="H162" s="86"/>
      <c r="K162" s="86"/>
      <c r="L162" s="86"/>
      <c r="P162" s="86"/>
    </row>
    <row r="163">
      <c r="A163" s="80"/>
      <c r="C163" s="86"/>
      <c r="D163" s="86"/>
      <c r="H163" s="86"/>
      <c r="K163" s="86"/>
      <c r="L163" s="86"/>
      <c r="P163" s="86"/>
    </row>
    <row r="164">
      <c r="A164" s="80"/>
      <c r="C164" s="86"/>
      <c r="D164" s="86"/>
      <c r="H164" s="86"/>
      <c r="K164" s="86"/>
      <c r="L164" s="86"/>
      <c r="P164" s="86"/>
    </row>
    <row r="165">
      <c r="A165" s="80"/>
      <c r="C165" s="86"/>
      <c r="D165" s="86"/>
      <c r="H165" s="86"/>
      <c r="K165" s="86"/>
      <c r="L165" s="86"/>
      <c r="P165" s="86"/>
    </row>
    <row r="166">
      <c r="A166" s="80"/>
      <c r="C166" s="86"/>
      <c r="D166" s="86"/>
      <c r="H166" s="86"/>
      <c r="K166" s="86"/>
      <c r="L166" s="86"/>
      <c r="P166" s="86"/>
    </row>
    <row r="167">
      <c r="A167" s="80"/>
      <c r="C167" s="86"/>
      <c r="D167" s="86"/>
      <c r="H167" s="86"/>
      <c r="K167" s="86"/>
      <c r="L167" s="86"/>
      <c r="P167" s="86"/>
    </row>
    <row r="168">
      <c r="A168" s="80"/>
      <c r="C168" s="86"/>
      <c r="D168" s="86"/>
      <c r="H168" s="86"/>
      <c r="K168" s="86"/>
      <c r="L168" s="86"/>
      <c r="P168" s="86"/>
    </row>
    <row r="169">
      <c r="A169" s="80"/>
      <c r="C169" s="86"/>
      <c r="D169" s="86"/>
      <c r="H169" s="86"/>
      <c r="K169" s="86"/>
      <c r="L169" s="86"/>
      <c r="P169" s="86"/>
    </row>
    <row r="170">
      <c r="A170" s="80"/>
      <c r="C170" s="86"/>
      <c r="D170" s="86"/>
      <c r="H170" s="86"/>
      <c r="K170" s="86"/>
      <c r="L170" s="86"/>
      <c r="P170" s="86"/>
    </row>
    <row r="171">
      <c r="A171" s="80"/>
      <c r="C171" s="86"/>
      <c r="D171" s="86"/>
      <c r="H171" s="86"/>
      <c r="K171" s="86"/>
      <c r="L171" s="86"/>
      <c r="P171" s="86"/>
    </row>
    <row r="172">
      <c r="A172" s="80"/>
      <c r="C172" s="86"/>
      <c r="D172" s="86"/>
      <c r="H172" s="86"/>
      <c r="K172" s="86"/>
      <c r="L172" s="86"/>
      <c r="P172" s="86"/>
    </row>
    <row r="173">
      <c r="A173" s="80"/>
      <c r="C173" s="86"/>
      <c r="D173" s="86"/>
      <c r="H173" s="86"/>
      <c r="K173" s="86"/>
      <c r="L173" s="86"/>
      <c r="P173" s="86"/>
    </row>
    <row r="174">
      <c r="A174" s="80"/>
      <c r="C174" s="86"/>
      <c r="D174" s="86"/>
      <c r="H174" s="86"/>
      <c r="K174" s="86"/>
      <c r="L174" s="86"/>
      <c r="P174" s="86"/>
    </row>
    <row r="175">
      <c r="A175" s="80"/>
      <c r="C175" s="86"/>
      <c r="D175" s="86"/>
      <c r="H175" s="86"/>
      <c r="K175" s="86"/>
      <c r="L175" s="86"/>
      <c r="P175" s="86"/>
    </row>
    <row r="176">
      <c r="A176" s="80"/>
      <c r="C176" s="86"/>
      <c r="D176" s="86"/>
      <c r="H176" s="86"/>
      <c r="K176" s="86"/>
      <c r="L176" s="86"/>
      <c r="P176" s="86"/>
    </row>
    <row r="177">
      <c r="A177" s="80"/>
      <c r="C177" s="86"/>
      <c r="D177" s="86"/>
      <c r="H177" s="86"/>
      <c r="K177" s="86"/>
      <c r="L177" s="86"/>
      <c r="P177" s="86"/>
    </row>
    <row r="178">
      <c r="A178" s="80"/>
      <c r="C178" s="86"/>
      <c r="D178" s="86"/>
      <c r="H178" s="86"/>
      <c r="K178" s="86"/>
      <c r="L178" s="86"/>
      <c r="P178" s="86"/>
    </row>
    <row r="179">
      <c r="A179" s="80"/>
      <c r="C179" s="86"/>
      <c r="D179" s="86"/>
      <c r="H179" s="86"/>
      <c r="K179" s="86"/>
      <c r="L179" s="86"/>
      <c r="P179" s="86"/>
    </row>
    <row r="180">
      <c r="A180" s="80"/>
      <c r="C180" s="86"/>
      <c r="D180" s="86"/>
      <c r="H180" s="86"/>
      <c r="K180" s="86"/>
      <c r="L180" s="86"/>
      <c r="P180" s="86"/>
    </row>
    <row r="181">
      <c r="A181" s="80"/>
      <c r="C181" s="86"/>
      <c r="D181" s="86"/>
      <c r="H181" s="86"/>
      <c r="K181" s="86"/>
      <c r="L181" s="86"/>
      <c r="P181" s="86"/>
    </row>
    <row r="182">
      <c r="A182" s="80"/>
      <c r="C182" s="86"/>
      <c r="D182" s="86"/>
      <c r="H182" s="86"/>
      <c r="K182" s="86"/>
      <c r="L182" s="86"/>
      <c r="P182" s="86"/>
    </row>
    <row r="183">
      <c r="A183" s="80"/>
      <c r="C183" s="86"/>
      <c r="D183" s="86"/>
      <c r="H183" s="86"/>
      <c r="K183" s="86"/>
      <c r="L183" s="86"/>
      <c r="P183" s="86"/>
    </row>
    <row r="184">
      <c r="A184" s="80"/>
      <c r="C184" s="86"/>
      <c r="D184" s="86"/>
      <c r="H184" s="86"/>
      <c r="K184" s="86"/>
      <c r="L184" s="86"/>
      <c r="P184" s="86"/>
    </row>
    <row r="185">
      <c r="A185" s="80"/>
      <c r="C185" s="86"/>
      <c r="D185" s="86"/>
      <c r="H185" s="86"/>
      <c r="K185" s="86"/>
      <c r="L185" s="86"/>
      <c r="P185" s="86"/>
    </row>
    <row r="186">
      <c r="A186" s="80"/>
      <c r="C186" s="86"/>
      <c r="D186" s="86"/>
      <c r="H186" s="86"/>
      <c r="K186" s="86"/>
      <c r="L186" s="86"/>
      <c r="P186" s="86"/>
    </row>
    <row r="187">
      <c r="A187" s="80"/>
      <c r="C187" s="86"/>
      <c r="D187" s="86"/>
      <c r="H187" s="86"/>
      <c r="K187" s="86"/>
      <c r="L187" s="86"/>
      <c r="P187" s="86"/>
    </row>
    <row r="188">
      <c r="A188" s="80"/>
      <c r="C188" s="86"/>
      <c r="D188" s="86"/>
      <c r="H188" s="86"/>
      <c r="K188" s="86"/>
      <c r="L188" s="86"/>
      <c r="P188" s="86"/>
    </row>
    <row r="189">
      <c r="A189" s="80"/>
      <c r="C189" s="86"/>
      <c r="D189" s="86"/>
      <c r="H189" s="86"/>
      <c r="K189" s="86"/>
      <c r="L189" s="86"/>
      <c r="P189" s="86"/>
    </row>
    <row r="190">
      <c r="A190" s="80"/>
      <c r="C190" s="86"/>
      <c r="D190" s="86"/>
      <c r="H190" s="86"/>
      <c r="K190" s="86"/>
      <c r="L190" s="86"/>
      <c r="P190" s="86"/>
    </row>
    <row r="191">
      <c r="A191" s="80"/>
      <c r="C191" s="86"/>
      <c r="D191" s="86"/>
      <c r="H191" s="86"/>
      <c r="K191" s="86"/>
      <c r="L191" s="86"/>
      <c r="P191" s="86"/>
    </row>
    <row r="192">
      <c r="A192" s="80"/>
      <c r="C192" s="86"/>
      <c r="D192" s="86"/>
      <c r="H192" s="86"/>
      <c r="K192" s="86"/>
      <c r="L192" s="86"/>
      <c r="P192" s="86"/>
    </row>
    <row r="193">
      <c r="A193" s="80"/>
      <c r="C193" s="86"/>
      <c r="D193" s="86"/>
      <c r="H193" s="86"/>
      <c r="K193" s="86"/>
      <c r="L193" s="86"/>
      <c r="P193" s="86"/>
    </row>
    <row r="194">
      <c r="A194" s="80"/>
      <c r="C194" s="86"/>
      <c r="D194" s="86"/>
      <c r="H194" s="86"/>
      <c r="K194" s="86"/>
      <c r="L194" s="86"/>
      <c r="P194" s="86"/>
    </row>
    <row r="195">
      <c r="A195" s="80"/>
      <c r="C195" s="86"/>
      <c r="D195" s="86"/>
      <c r="H195" s="86"/>
      <c r="K195" s="86"/>
      <c r="L195" s="86"/>
      <c r="P195" s="86"/>
    </row>
    <row r="196">
      <c r="A196" s="80"/>
      <c r="C196" s="86"/>
      <c r="D196" s="86"/>
      <c r="H196" s="86"/>
      <c r="K196" s="86"/>
      <c r="L196" s="86"/>
      <c r="P196" s="86"/>
    </row>
    <row r="197">
      <c r="A197" s="80"/>
      <c r="C197" s="86"/>
      <c r="D197" s="86"/>
      <c r="H197" s="86"/>
      <c r="K197" s="86"/>
      <c r="L197" s="86"/>
      <c r="P197" s="86"/>
    </row>
    <row r="198">
      <c r="A198" s="80"/>
      <c r="C198" s="86"/>
      <c r="D198" s="86"/>
      <c r="H198" s="86"/>
      <c r="K198" s="86"/>
      <c r="L198" s="86"/>
      <c r="P198" s="86"/>
    </row>
    <row r="199">
      <c r="A199" s="80"/>
      <c r="C199" s="86"/>
      <c r="D199" s="86"/>
      <c r="H199" s="86"/>
      <c r="K199" s="86"/>
      <c r="L199" s="86"/>
      <c r="P199" s="86"/>
    </row>
    <row r="200">
      <c r="A200" s="80"/>
      <c r="C200" s="86"/>
      <c r="D200" s="86"/>
      <c r="H200" s="86"/>
      <c r="K200" s="86"/>
      <c r="L200" s="86"/>
      <c r="P200" s="86"/>
    </row>
    <row r="201">
      <c r="A201" s="80"/>
      <c r="C201" s="86"/>
      <c r="D201" s="86"/>
      <c r="H201" s="86"/>
      <c r="K201" s="86"/>
      <c r="L201" s="86"/>
      <c r="P201" s="86"/>
    </row>
    <row r="202">
      <c r="A202" s="80"/>
      <c r="C202" s="86"/>
      <c r="D202" s="86"/>
      <c r="H202" s="86"/>
      <c r="K202" s="86"/>
      <c r="L202" s="86"/>
      <c r="P202" s="86"/>
    </row>
    <row r="203">
      <c r="A203" s="80"/>
      <c r="C203" s="86"/>
      <c r="D203" s="86"/>
      <c r="H203" s="86"/>
      <c r="K203" s="86"/>
      <c r="L203" s="86"/>
      <c r="P203" s="86"/>
    </row>
    <row r="204">
      <c r="A204" s="80"/>
      <c r="C204" s="86"/>
      <c r="D204" s="86"/>
      <c r="H204" s="86"/>
      <c r="K204" s="86"/>
      <c r="L204" s="86"/>
      <c r="P204" s="86"/>
    </row>
    <row r="205">
      <c r="A205" s="80"/>
      <c r="C205" s="86"/>
      <c r="D205" s="86"/>
      <c r="H205" s="86"/>
      <c r="K205" s="86"/>
      <c r="L205" s="86"/>
      <c r="P205" s="86"/>
    </row>
    <row r="206">
      <c r="A206" s="80"/>
      <c r="C206" s="86"/>
      <c r="D206" s="86"/>
      <c r="H206" s="86"/>
      <c r="K206" s="86"/>
      <c r="L206" s="86"/>
      <c r="P206" s="86"/>
    </row>
    <row r="207">
      <c r="A207" s="80"/>
      <c r="C207" s="86"/>
      <c r="D207" s="86"/>
      <c r="H207" s="86"/>
      <c r="K207" s="86"/>
      <c r="L207" s="86"/>
      <c r="P207" s="86"/>
    </row>
    <row r="208">
      <c r="A208" s="80"/>
      <c r="C208" s="86"/>
      <c r="D208" s="86"/>
      <c r="H208" s="86"/>
      <c r="K208" s="86"/>
      <c r="L208" s="86"/>
      <c r="P208" s="86"/>
    </row>
    <row r="209">
      <c r="A209" s="80"/>
      <c r="C209" s="86"/>
      <c r="D209" s="86"/>
      <c r="H209" s="86"/>
      <c r="K209" s="86"/>
      <c r="L209" s="86"/>
      <c r="P209" s="86"/>
    </row>
    <row r="210">
      <c r="A210" s="80"/>
      <c r="C210" s="86"/>
      <c r="D210" s="86"/>
      <c r="H210" s="86"/>
      <c r="K210" s="86"/>
      <c r="L210" s="86"/>
      <c r="P210" s="86"/>
    </row>
    <row r="211">
      <c r="A211" s="80"/>
      <c r="C211" s="86"/>
      <c r="D211" s="86"/>
      <c r="H211" s="86"/>
      <c r="K211" s="86"/>
      <c r="L211" s="86"/>
      <c r="P211" s="86"/>
    </row>
    <row r="212">
      <c r="A212" s="80"/>
      <c r="C212" s="86"/>
      <c r="D212" s="86"/>
      <c r="H212" s="86"/>
      <c r="K212" s="86"/>
      <c r="L212" s="86"/>
      <c r="P212" s="86"/>
    </row>
    <row r="213">
      <c r="A213" s="80"/>
      <c r="C213" s="86"/>
      <c r="D213" s="86"/>
      <c r="H213" s="86"/>
      <c r="K213" s="86"/>
      <c r="L213" s="86"/>
      <c r="P213" s="86"/>
    </row>
    <row r="214">
      <c r="A214" s="80"/>
      <c r="C214" s="86"/>
      <c r="D214" s="86"/>
      <c r="H214" s="86"/>
      <c r="K214" s="86"/>
      <c r="L214" s="86"/>
      <c r="P214" s="86"/>
    </row>
    <row r="215">
      <c r="A215" s="80"/>
      <c r="C215" s="86"/>
      <c r="D215" s="86"/>
      <c r="H215" s="86"/>
      <c r="K215" s="86"/>
      <c r="L215" s="86"/>
      <c r="P215" s="86"/>
    </row>
    <row r="216">
      <c r="A216" s="80"/>
      <c r="C216" s="86"/>
      <c r="D216" s="86"/>
      <c r="H216" s="86"/>
      <c r="K216" s="86"/>
      <c r="L216" s="86"/>
      <c r="P216" s="86"/>
    </row>
    <row r="217">
      <c r="A217" s="80"/>
      <c r="C217" s="86"/>
      <c r="D217" s="86"/>
      <c r="H217" s="86"/>
      <c r="K217" s="86"/>
      <c r="L217" s="86"/>
      <c r="P217" s="86"/>
    </row>
    <row r="218">
      <c r="A218" s="80"/>
      <c r="C218" s="86"/>
      <c r="D218" s="86"/>
      <c r="H218" s="86"/>
      <c r="K218" s="86"/>
      <c r="L218" s="86"/>
      <c r="P218" s="86"/>
    </row>
    <row r="219">
      <c r="A219" s="80"/>
      <c r="C219" s="86"/>
      <c r="D219" s="86"/>
      <c r="H219" s="86"/>
      <c r="K219" s="86"/>
      <c r="L219" s="86"/>
      <c r="P219" s="86"/>
    </row>
    <row r="220">
      <c r="A220" s="80"/>
      <c r="C220" s="86"/>
      <c r="D220" s="86"/>
      <c r="H220" s="86"/>
      <c r="K220" s="86"/>
      <c r="L220" s="86"/>
      <c r="P220" s="86"/>
    </row>
    <row r="221">
      <c r="A221" s="80"/>
      <c r="C221" s="86"/>
      <c r="D221" s="86"/>
      <c r="H221" s="86"/>
      <c r="K221" s="86"/>
      <c r="L221" s="86"/>
      <c r="P221" s="86"/>
    </row>
    <row r="222">
      <c r="A222" s="80"/>
      <c r="C222" s="86"/>
      <c r="D222" s="86"/>
      <c r="H222" s="86"/>
      <c r="K222" s="86"/>
      <c r="L222" s="86"/>
      <c r="P222" s="86"/>
    </row>
    <row r="223">
      <c r="A223" s="80"/>
      <c r="C223" s="86"/>
      <c r="D223" s="86"/>
      <c r="H223" s="86"/>
      <c r="K223" s="86"/>
      <c r="L223" s="86"/>
      <c r="P223" s="86"/>
    </row>
    <row r="224">
      <c r="A224" s="80"/>
      <c r="C224" s="86"/>
      <c r="D224" s="86"/>
      <c r="H224" s="86"/>
      <c r="K224" s="86"/>
      <c r="L224" s="86"/>
      <c r="P224" s="86"/>
    </row>
    <row r="225">
      <c r="A225" s="80"/>
      <c r="C225" s="86"/>
      <c r="D225" s="86"/>
      <c r="H225" s="86"/>
      <c r="K225" s="86"/>
      <c r="L225" s="86"/>
      <c r="P225" s="86"/>
    </row>
    <row r="226">
      <c r="A226" s="80"/>
      <c r="C226" s="86"/>
      <c r="D226" s="86"/>
      <c r="H226" s="86"/>
      <c r="K226" s="86"/>
      <c r="L226" s="86"/>
      <c r="P226" s="86"/>
    </row>
    <row r="227">
      <c r="A227" s="80"/>
      <c r="C227" s="86"/>
      <c r="D227" s="86"/>
      <c r="H227" s="86"/>
      <c r="K227" s="86"/>
      <c r="L227" s="86"/>
      <c r="P227" s="86"/>
    </row>
    <row r="228">
      <c r="A228" s="80"/>
      <c r="C228" s="86"/>
      <c r="D228" s="86"/>
      <c r="H228" s="86"/>
      <c r="K228" s="86"/>
      <c r="L228" s="86"/>
      <c r="P228" s="86"/>
    </row>
    <row r="229">
      <c r="A229" s="80"/>
      <c r="C229" s="86"/>
      <c r="D229" s="86"/>
      <c r="H229" s="86"/>
      <c r="K229" s="86"/>
      <c r="L229" s="86"/>
      <c r="P229" s="86"/>
    </row>
    <row r="230">
      <c r="A230" s="80"/>
      <c r="C230" s="86"/>
      <c r="D230" s="86"/>
      <c r="H230" s="86"/>
      <c r="K230" s="86"/>
      <c r="L230" s="86"/>
      <c r="P230" s="86"/>
    </row>
    <row r="231">
      <c r="A231" s="80"/>
      <c r="C231" s="86"/>
      <c r="D231" s="86"/>
      <c r="H231" s="86"/>
      <c r="K231" s="86"/>
      <c r="L231" s="86"/>
      <c r="P231" s="86"/>
    </row>
    <row r="232">
      <c r="A232" s="80"/>
      <c r="C232" s="86"/>
      <c r="D232" s="86"/>
      <c r="H232" s="86"/>
      <c r="K232" s="86"/>
      <c r="L232" s="86"/>
      <c r="P232" s="86"/>
    </row>
    <row r="233">
      <c r="A233" s="80"/>
      <c r="C233" s="86"/>
      <c r="D233" s="86"/>
      <c r="H233" s="86"/>
      <c r="K233" s="86"/>
      <c r="L233" s="86"/>
      <c r="P233" s="86"/>
    </row>
    <row r="234">
      <c r="A234" s="80"/>
      <c r="C234" s="86"/>
      <c r="D234" s="86"/>
      <c r="H234" s="86"/>
      <c r="K234" s="86"/>
      <c r="L234" s="86"/>
      <c r="P234" s="86"/>
    </row>
    <row r="235">
      <c r="A235" s="80"/>
      <c r="C235" s="86"/>
      <c r="D235" s="86"/>
      <c r="H235" s="86"/>
      <c r="K235" s="86"/>
      <c r="L235" s="86"/>
      <c r="P235" s="86"/>
    </row>
    <row r="236">
      <c r="A236" s="80"/>
      <c r="C236" s="86"/>
      <c r="D236" s="86"/>
      <c r="H236" s="86"/>
      <c r="K236" s="86"/>
      <c r="L236" s="86"/>
      <c r="P236" s="86"/>
    </row>
    <row r="237">
      <c r="A237" s="80"/>
      <c r="C237" s="86"/>
      <c r="D237" s="86"/>
      <c r="H237" s="86"/>
      <c r="K237" s="86"/>
      <c r="L237" s="86"/>
      <c r="P237" s="86"/>
    </row>
    <row r="238">
      <c r="A238" s="80"/>
      <c r="C238" s="86"/>
      <c r="D238" s="86"/>
      <c r="H238" s="86"/>
      <c r="K238" s="86"/>
      <c r="L238" s="86"/>
      <c r="P238" s="86"/>
    </row>
    <row r="239">
      <c r="A239" s="80"/>
      <c r="C239" s="86"/>
      <c r="D239" s="86"/>
      <c r="H239" s="86"/>
      <c r="K239" s="86"/>
      <c r="L239" s="86"/>
      <c r="P239" s="86"/>
    </row>
    <row r="240">
      <c r="A240" s="80"/>
      <c r="C240" s="86"/>
      <c r="D240" s="86"/>
      <c r="H240" s="86"/>
      <c r="K240" s="86"/>
      <c r="L240" s="86"/>
      <c r="P240" s="86"/>
    </row>
    <row r="241">
      <c r="A241" s="80"/>
      <c r="C241" s="86"/>
      <c r="D241" s="86"/>
      <c r="H241" s="86"/>
      <c r="K241" s="86"/>
      <c r="L241" s="86"/>
      <c r="P241" s="86"/>
    </row>
    <row r="242">
      <c r="A242" s="80"/>
      <c r="C242" s="86"/>
      <c r="D242" s="86"/>
      <c r="H242" s="86"/>
      <c r="K242" s="86"/>
      <c r="L242" s="86"/>
      <c r="P242" s="86"/>
    </row>
    <row r="243">
      <c r="A243" s="80"/>
      <c r="C243" s="86"/>
      <c r="D243" s="86"/>
      <c r="H243" s="86"/>
      <c r="K243" s="86"/>
      <c r="L243" s="86"/>
      <c r="P243" s="86"/>
    </row>
    <row r="244">
      <c r="A244" s="80"/>
      <c r="C244" s="86"/>
      <c r="D244" s="86"/>
      <c r="H244" s="86"/>
      <c r="K244" s="86"/>
      <c r="L244" s="86"/>
      <c r="P244" s="86"/>
    </row>
    <row r="245">
      <c r="A245" s="80"/>
      <c r="C245" s="86"/>
      <c r="D245" s="86"/>
      <c r="H245" s="86"/>
      <c r="K245" s="86"/>
      <c r="L245" s="86"/>
      <c r="P245" s="86"/>
    </row>
    <row r="246">
      <c r="A246" s="80"/>
      <c r="C246" s="86"/>
      <c r="D246" s="86"/>
      <c r="H246" s="86"/>
      <c r="K246" s="86"/>
      <c r="L246" s="86"/>
      <c r="P246" s="86"/>
    </row>
    <row r="247">
      <c r="A247" s="80"/>
      <c r="C247" s="86"/>
      <c r="D247" s="86"/>
      <c r="H247" s="86"/>
      <c r="K247" s="86"/>
      <c r="L247" s="86"/>
      <c r="P247" s="86"/>
    </row>
    <row r="248">
      <c r="A248" s="80"/>
      <c r="C248" s="86"/>
      <c r="D248" s="86"/>
      <c r="H248" s="86"/>
      <c r="K248" s="86"/>
      <c r="L248" s="86"/>
      <c r="P248" s="86"/>
    </row>
    <row r="249">
      <c r="A249" s="80"/>
      <c r="C249" s="86"/>
      <c r="D249" s="86"/>
      <c r="H249" s="86"/>
      <c r="K249" s="86"/>
      <c r="L249" s="86"/>
      <c r="P249" s="86"/>
    </row>
    <row r="250">
      <c r="A250" s="80"/>
      <c r="C250" s="86"/>
      <c r="D250" s="86"/>
      <c r="H250" s="86"/>
      <c r="K250" s="86"/>
      <c r="L250" s="86"/>
      <c r="P250" s="86"/>
    </row>
    <row r="251">
      <c r="A251" s="80"/>
      <c r="C251" s="86"/>
      <c r="D251" s="86"/>
      <c r="H251" s="86"/>
      <c r="K251" s="86"/>
      <c r="L251" s="86"/>
      <c r="P251" s="86"/>
    </row>
    <row r="252">
      <c r="A252" s="80"/>
      <c r="C252" s="86"/>
      <c r="D252" s="86"/>
      <c r="H252" s="86"/>
      <c r="K252" s="86"/>
      <c r="L252" s="86"/>
      <c r="P252" s="86"/>
    </row>
    <row r="253">
      <c r="A253" s="80"/>
      <c r="C253" s="86"/>
      <c r="D253" s="86"/>
      <c r="H253" s="86"/>
      <c r="K253" s="86"/>
      <c r="L253" s="86"/>
      <c r="P253" s="86"/>
    </row>
    <row r="254">
      <c r="A254" s="80"/>
      <c r="C254" s="86"/>
      <c r="D254" s="86"/>
      <c r="H254" s="86"/>
      <c r="K254" s="86"/>
      <c r="L254" s="86"/>
      <c r="P254" s="86"/>
    </row>
    <row r="255">
      <c r="A255" s="80"/>
      <c r="C255" s="86"/>
      <c r="D255" s="86"/>
      <c r="H255" s="86"/>
      <c r="K255" s="86"/>
      <c r="L255" s="86"/>
      <c r="P255" s="86"/>
    </row>
    <row r="256">
      <c r="A256" s="80"/>
      <c r="C256" s="86"/>
      <c r="D256" s="86"/>
      <c r="H256" s="86"/>
      <c r="K256" s="86"/>
      <c r="L256" s="86"/>
      <c r="P256" s="86"/>
    </row>
    <row r="257">
      <c r="A257" s="80"/>
      <c r="C257" s="86"/>
      <c r="D257" s="86"/>
      <c r="H257" s="86"/>
      <c r="K257" s="86"/>
      <c r="L257" s="86"/>
      <c r="P257" s="86"/>
    </row>
    <row r="258">
      <c r="A258" s="80"/>
      <c r="C258" s="86"/>
      <c r="D258" s="86"/>
      <c r="H258" s="86"/>
      <c r="K258" s="86"/>
      <c r="L258" s="86"/>
      <c r="P258" s="86"/>
    </row>
    <row r="259">
      <c r="A259" s="80"/>
      <c r="C259" s="86"/>
      <c r="D259" s="86"/>
      <c r="H259" s="86"/>
      <c r="K259" s="86"/>
      <c r="L259" s="86"/>
      <c r="P259" s="86"/>
    </row>
    <row r="260">
      <c r="A260" s="80"/>
      <c r="C260" s="86"/>
      <c r="D260" s="86"/>
      <c r="H260" s="86"/>
      <c r="K260" s="86"/>
      <c r="L260" s="86"/>
      <c r="P260" s="86"/>
    </row>
    <row r="261">
      <c r="A261" s="80"/>
      <c r="C261" s="86"/>
      <c r="D261" s="86"/>
      <c r="H261" s="86"/>
      <c r="K261" s="86"/>
      <c r="L261" s="86"/>
      <c r="P261" s="86"/>
    </row>
    <row r="262">
      <c r="A262" s="80"/>
      <c r="C262" s="86"/>
      <c r="D262" s="86"/>
      <c r="H262" s="86"/>
      <c r="K262" s="86"/>
      <c r="L262" s="86"/>
      <c r="P262" s="86"/>
    </row>
    <row r="263">
      <c r="A263" s="80"/>
      <c r="C263" s="86"/>
      <c r="D263" s="86"/>
      <c r="H263" s="86"/>
      <c r="K263" s="86"/>
      <c r="L263" s="86"/>
      <c r="P263" s="86"/>
    </row>
    <row r="264">
      <c r="A264" s="80"/>
      <c r="C264" s="86"/>
      <c r="D264" s="86"/>
      <c r="H264" s="86"/>
      <c r="K264" s="86"/>
      <c r="L264" s="86"/>
      <c r="P264" s="86"/>
    </row>
    <row r="265">
      <c r="A265" s="80"/>
      <c r="C265" s="86"/>
      <c r="D265" s="86"/>
      <c r="H265" s="86"/>
      <c r="K265" s="86"/>
      <c r="L265" s="86"/>
      <c r="P265" s="86"/>
    </row>
    <row r="266">
      <c r="A266" s="80"/>
      <c r="C266" s="86"/>
      <c r="D266" s="86"/>
      <c r="H266" s="86"/>
      <c r="K266" s="86"/>
      <c r="L266" s="86"/>
      <c r="P266" s="86"/>
    </row>
    <row r="267">
      <c r="A267" s="80"/>
      <c r="C267" s="86"/>
      <c r="D267" s="86"/>
      <c r="H267" s="86"/>
      <c r="K267" s="86"/>
      <c r="L267" s="86"/>
      <c r="P267" s="86"/>
    </row>
    <row r="268">
      <c r="A268" s="80"/>
      <c r="C268" s="86"/>
      <c r="D268" s="86"/>
      <c r="H268" s="86"/>
      <c r="K268" s="86"/>
      <c r="L268" s="86"/>
      <c r="P268" s="86"/>
    </row>
    <row r="269">
      <c r="A269" s="80"/>
      <c r="C269" s="86"/>
      <c r="D269" s="86"/>
      <c r="H269" s="86"/>
      <c r="K269" s="86"/>
      <c r="L269" s="86"/>
      <c r="P269" s="86"/>
    </row>
    <row r="270">
      <c r="A270" s="80"/>
      <c r="C270" s="86"/>
      <c r="D270" s="86"/>
      <c r="H270" s="86"/>
      <c r="K270" s="86"/>
      <c r="L270" s="86"/>
      <c r="P270" s="86"/>
    </row>
    <row r="271">
      <c r="A271" s="80"/>
      <c r="C271" s="86"/>
      <c r="D271" s="86"/>
      <c r="H271" s="86"/>
      <c r="K271" s="86"/>
      <c r="L271" s="86"/>
      <c r="P271" s="86"/>
    </row>
    <row r="272">
      <c r="A272" s="80"/>
      <c r="C272" s="86"/>
      <c r="D272" s="86"/>
      <c r="H272" s="86"/>
      <c r="K272" s="86"/>
      <c r="L272" s="86"/>
      <c r="P272" s="86"/>
    </row>
    <row r="273">
      <c r="A273" s="80"/>
      <c r="C273" s="86"/>
      <c r="D273" s="86"/>
      <c r="H273" s="86"/>
      <c r="K273" s="86"/>
      <c r="L273" s="86"/>
      <c r="P273" s="86"/>
    </row>
    <row r="274">
      <c r="A274" s="80"/>
      <c r="C274" s="86"/>
      <c r="D274" s="86"/>
      <c r="H274" s="86"/>
      <c r="K274" s="86"/>
      <c r="L274" s="86"/>
      <c r="P274" s="86"/>
    </row>
    <row r="275">
      <c r="A275" s="80"/>
      <c r="C275" s="86"/>
      <c r="D275" s="86"/>
      <c r="H275" s="86"/>
      <c r="K275" s="86"/>
      <c r="L275" s="86"/>
      <c r="P275" s="86"/>
    </row>
    <row r="276">
      <c r="A276" s="80"/>
      <c r="C276" s="86"/>
      <c r="D276" s="86"/>
      <c r="H276" s="86"/>
      <c r="K276" s="86"/>
      <c r="L276" s="86"/>
      <c r="P276" s="86"/>
    </row>
    <row r="277">
      <c r="A277" s="80"/>
      <c r="C277" s="86"/>
      <c r="D277" s="86"/>
      <c r="H277" s="86"/>
      <c r="K277" s="86"/>
      <c r="L277" s="86"/>
      <c r="P277" s="86"/>
    </row>
    <row r="278">
      <c r="A278" s="80"/>
      <c r="C278" s="86"/>
      <c r="D278" s="86"/>
      <c r="H278" s="86"/>
      <c r="K278" s="86"/>
      <c r="L278" s="86"/>
      <c r="P278" s="86"/>
    </row>
    <row r="279">
      <c r="A279" s="80"/>
      <c r="C279" s="86"/>
      <c r="D279" s="86"/>
      <c r="H279" s="86"/>
      <c r="K279" s="86"/>
      <c r="L279" s="86"/>
      <c r="P279" s="86"/>
    </row>
    <row r="280">
      <c r="A280" s="80"/>
      <c r="C280" s="86"/>
      <c r="D280" s="86"/>
      <c r="H280" s="86"/>
      <c r="K280" s="86"/>
      <c r="L280" s="86"/>
      <c r="P280" s="86"/>
    </row>
    <row r="281">
      <c r="A281" s="80"/>
      <c r="C281" s="86"/>
      <c r="D281" s="86"/>
      <c r="H281" s="86"/>
      <c r="K281" s="86"/>
      <c r="L281" s="86"/>
      <c r="P281" s="86"/>
    </row>
    <row r="282">
      <c r="A282" s="80"/>
      <c r="C282" s="86"/>
      <c r="D282" s="86"/>
      <c r="H282" s="86"/>
      <c r="K282" s="86"/>
      <c r="L282" s="86"/>
      <c r="P282" s="86"/>
    </row>
    <row r="283">
      <c r="A283" s="80"/>
      <c r="C283" s="86"/>
      <c r="D283" s="86"/>
      <c r="H283" s="86"/>
      <c r="K283" s="86"/>
      <c r="L283" s="86"/>
      <c r="P283" s="86"/>
    </row>
    <row r="284">
      <c r="A284" s="80"/>
      <c r="C284" s="86"/>
      <c r="D284" s="86"/>
      <c r="H284" s="86"/>
      <c r="K284" s="86"/>
      <c r="L284" s="86"/>
      <c r="P284" s="86"/>
    </row>
    <row r="285">
      <c r="A285" s="80"/>
      <c r="C285" s="86"/>
      <c r="D285" s="86"/>
      <c r="H285" s="86"/>
      <c r="K285" s="86"/>
      <c r="L285" s="86"/>
      <c r="P285" s="86"/>
    </row>
    <row r="286">
      <c r="A286" s="80"/>
      <c r="C286" s="86"/>
      <c r="D286" s="86"/>
      <c r="H286" s="86"/>
      <c r="K286" s="86"/>
      <c r="L286" s="86"/>
      <c r="P286" s="86"/>
    </row>
    <row r="287">
      <c r="A287" s="80"/>
      <c r="C287" s="86"/>
      <c r="D287" s="86"/>
      <c r="H287" s="86"/>
      <c r="K287" s="86"/>
      <c r="L287" s="86"/>
      <c r="P287" s="86"/>
    </row>
    <row r="288">
      <c r="A288" s="80"/>
      <c r="C288" s="86"/>
      <c r="D288" s="86"/>
      <c r="H288" s="86"/>
      <c r="K288" s="86"/>
      <c r="L288" s="86"/>
      <c r="P288" s="86"/>
    </row>
    <row r="289">
      <c r="A289" s="80"/>
      <c r="C289" s="86"/>
      <c r="D289" s="86"/>
      <c r="H289" s="86"/>
      <c r="K289" s="86"/>
      <c r="L289" s="86"/>
      <c r="P289" s="86"/>
    </row>
    <row r="290">
      <c r="A290" s="80"/>
      <c r="C290" s="86"/>
      <c r="D290" s="86"/>
      <c r="H290" s="86"/>
      <c r="K290" s="86"/>
      <c r="L290" s="86"/>
      <c r="P290" s="86"/>
    </row>
    <row r="291">
      <c r="A291" s="80"/>
      <c r="C291" s="86"/>
      <c r="D291" s="86"/>
      <c r="H291" s="86"/>
      <c r="K291" s="86"/>
      <c r="L291" s="86"/>
      <c r="P291" s="86"/>
    </row>
    <row r="292">
      <c r="A292" s="80"/>
      <c r="C292" s="86"/>
      <c r="D292" s="86"/>
      <c r="H292" s="86"/>
      <c r="K292" s="86"/>
      <c r="L292" s="86"/>
      <c r="P292" s="86"/>
    </row>
    <row r="293">
      <c r="A293" s="80"/>
      <c r="C293" s="86"/>
      <c r="D293" s="86"/>
      <c r="H293" s="86"/>
      <c r="K293" s="86"/>
      <c r="L293" s="86"/>
      <c r="P293" s="86"/>
    </row>
    <row r="294">
      <c r="A294" s="80"/>
      <c r="C294" s="86"/>
      <c r="D294" s="86"/>
      <c r="H294" s="86"/>
      <c r="K294" s="86"/>
      <c r="L294" s="86"/>
      <c r="P294" s="86"/>
    </row>
    <row r="295">
      <c r="A295" s="80"/>
      <c r="C295" s="86"/>
      <c r="D295" s="86"/>
      <c r="H295" s="86"/>
      <c r="K295" s="86"/>
      <c r="L295" s="86"/>
      <c r="P295" s="86"/>
    </row>
    <row r="296">
      <c r="A296" s="80"/>
      <c r="C296" s="86"/>
      <c r="D296" s="86"/>
      <c r="H296" s="86"/>
      <c r="K296" s="86"/>
      <c r="L296" s="86"/>
      <c r="P296" s="86"/>
    </row>
    <row r="297">
      <c r="A297" s="80"/>
      <c r="C297" s="86"/>
      <c r="D297" s="86"/>
      <c r="H297" s="86"/>
      <c r="K297" s="86"/>
      <c r="L297" s="86"/>
      <c r="P297" s="86"/>
    </row>
    <row r="298">
      <c r="A298" s="80"/>
      <c r="C298" s="86"/>
      <c r="D298" s="86"/>
      <c r="H298" s="86"/>
      <c r="K298" s="86"/>
      <c r="L298" s="86"/>
      <c r="P298" s="86"/>
    </row>
    <row r="299">
      <c r="A299" s="80"/>
      <c r="C299" s="86"/>
      <c r="D299" s="86"/>
      <c r="H299" s="86"/>
      <c r="K299" s="86"/>
      <c r="L299" s="86"/>
      <c r="P299" s="86"/>
    </row>
    <row r="300">
      <c r="A300" s="80"/>
      <c r="C300" s="86"/>
      <c r="D300" s="86"/>
      <c r="H300" s="86"/>
      <c r="K300" s="86"/>
      <c r="L300" s="86"/>
      <c r="P300" s="86"/>
    </row>
    <row r="301">
      <c r="A301" s="80"/>
      <c r="C301" s="86"/>
      <c r="D301" s="86"/>
      <c r="H301" s="86"/>
      <c r="K301" s="86"/>
      <c r="L301" s="86"/>
      <c r="P301" s="86"/>
    </row>
    <row r="302">
      <c r="A302" s="80"/>
      <c r="C302" s="86"/>
      <c r="D302" s="86"/>
      <c r="H302" s="86"/>
      <c r="K302" s="86"/>
      <c r="L302" s="86"/>
      <c r="P302" s="86"/>
    </row>
    <row r="303">
      <c r="A303" s="80"/>
      <c r="C303" s="86"/>
      <c r="D303" s="86"/>
      <c r="H303" s="86"/>
      <c r="K303" s="86"/>
      <c r="L303" s="86"/>
      <c r="P303" s="86"/>
    </row>
    <row r="304">
      <c r="A304" s="80"/>
      <c r="C304" s="86"/>
      <c r="D304" s="86"/>
      <c r="H304" s="86"/>
      <c r="K304" s="86"/>
      <c r="L304" s="86"/>
      <c r="P304" s="86"/>
    </row>
    <row r="305">
      <c r="A305" s="80"/>
      <c r="C305" s="86"/>
      <c r="D305" s="86"/>
      <c r="H305" s="86"/>
      <c r="K305" s="86"/>
      <c r="L305" s="86"/>
      <c r="P305" s="86"/>
    </row>
    <row r="306">
      <c r="A306" s="80"/>
      <c r="C306" s="86"/>
      <c r="D306" s="86"/>
      <c r="H306" s="86"/>
      <c r="K306" s="86"/>
      <c r="L306" s="86"/>
      <c r="P306" s="86"/>
    </row>
    <row r="307">
      <c r="A307" s="80"/>
      <c r="C307" s="86"/>
      <c r="D307" s="86"/>
      <c r="H307" s="86"/>
      <c r="K307" s="86"/>
      <c r="L307" s="86"/>
      <c r="P307" s="86"/>
    </row>
    <row r="308">
      <c r="A308" s="80"/>
      <c r="C308" s="86"/>
      <c r="D308" s="86"/>
      <c r="H308" s="86"/>
      <c r="K308" s="86"/>
      <c r="L308" s="86"/>
      <c r="P308" s="86"/>
    </row>
    <row r="309">
      <c r="A309" s="80"/>
      <c r="C309" s="86"/>
      <c r="D309" s="86"/>
      <c r="H309" s="86"/>
      <c r="K309" s="86"/>
      <c r="L309" s="86"/>
      <c r="P309" s="86"/>
    </row>
    <row r="310">
      <c r="A310" s="80"/>
      <c r="C310" s="86"/>
      <c r="D310" s="86"/>
      <c r="H310" s="86"/>
      <c r="K310" s="86"/>
      <c r="L310" s="86"/>
      <c r="P310" s="86"/>
    </row>
    <row r="311">
      <c r="A311" s="80"/>
      <c r="C311" s="86"/>
      <c r="D311" s="86"/>
      <c r="H311" s="86"/>
      <c r="K311" s="86"/>
      <c r="L311" s="86"/>
      <c r="P311" s="86"/>
    </row>
    <row r="312">
      <c r="A312" s="80"/>
      <c r="C312" s="86"/>
      <c r="D312" s="86"/>
      <c r="H312" s="86"/>
      <c r="K312" s="86"/>
      <c r="L312" s="86"/>
      <c r="P312" s="86"/>
    </row>
    <row r="313">
      <c r="A313" s="80"/>
      <c r="C313" s="86"/>
      <c r="D313" s="86"/>
      <c r="H313" s="86"/>
      <c r="K313" s="86"/>
      <c r="L313" s="86"/>
      <c r="P313" s="86"/>
    </row>
    <row r="314">
      <c r="A314" s="80"/>
      <c r="C314" s="86"/>
      <c r="D314" s="86"/>
      <c r="H314" s="86"/>
      <c r="K314" s="86"/>
      <c r="L314" s="86"/>
      <c r="P314" s="86"/>
    </row>
    <row r="315">
      <c r="A315" s="80"/>
      <c r="C315" s="86"/>
      <c r="D315" s="86"/>
      <c r="H315" s="86"/>
      <c r="K315" s="86"/>
      <c r="L315" s="86"/>
      <c r="P315" s="86"/>
    </row>
    <row r="316">
      <c r="A316" s="80"/>
      <c r="C316" s="86"/>
      <c r="D316" s="86"/>
      <c r="H316" s="86"/>
      <c r="K316" s="86"/>
      <c r="L316" s="86"/>
      <c r="P316" s="86"/>
    </row>
    <row r="317">
      <c r="A317" s="80"/>
      <c r="C317" s="86"/>
      <c r="D317" s="86"/>
      <c r="H317" s="86"/>
      <c r="K317" s="86"/>
      <c r="L317" s="86"/>
      <c r="P317" s="86"/>
    </row>
    <row r="318">
      <c r="A318" s="80"/>
      <c r="C318" s="86"/>
      <c r="D318" s="86"/>
      <c r="H318" s="86"/>
      <c r="K318" s="86"/>
      <c r="L318" s="86"/>
      <c r="P318" s="86"/>
    </row>
    <row r="319">
      <c r="A319" s="80"/>
      <c r="C319" s="86"/>
      <c r="D319" s="86"/>
      <c r="H319" s="86"/>
      <c r="K319" s="86"/>
      <c r="L319" s="86"/>
      <c r="P319" s="86"/>
    </row>
    <row r="320">
      <c r="A320" s="80"/>
      <c r="C320" s="86"/>
      <c r="D320" s="86"/>
      <c r="H320" s="86"/>
      <c r="K320" s="86"/>
      <c r="L320" s="86"/>
      <c r="P320" s="86"/>
    </row>
    <row r="321">
      <c r="A321" s="80"/>
      <c r="C321" s="86"/>
      <c r="D321" s="86"/>
      <c r="H321" s="86"/>
      <c r="K321" s="86"/>
      <c r="L321" s="86"/>
      <c r="P321" s="86"/>
    </row>
    <row r="322">
      <c r="A322" s="80"/>
      <c r="C322" s="86"/>
      <c r="D322" s="86"/>
      <c r="H322" s="86"/>
      <c r="K322" s="86"/>
      <c r="L322" s="86"/>
      <c r="P322" s="86"/>
    </row>
    <row r="323">
      <c r="A323" s="80"/>
      <c r="C323" s="86"/>
      <c r="D323" s="86"/>
      <c r="H323" s="86"/>
      <c r="K323" s="86"/>
      <c r="L323" s="86"/>
      <c r="P323" s="86"/>
    </row>
    <row r="324">
      <c r="A324" s="80"/>
      <c r="C324" s="86"/>
      <c r="D324" s="86"/>
      <c r="H324" s="86"/>
      <c r="K324" s="86"/>
      <c r="L324" s="86"/>
      <c r="P324" s="86"/>
    </row>
    <row r="325">
      <c r="A325" s="80"/>
      <c r="C325" s="86"/>
      <c r="D325" s="86"/>
      <c r="H325" s="86"/>
      <c r="K325" s="86"/>
      <c r="L325" s="86"/>
      <c r="P325" s="86"/>
    </row>
    <row r="326">
      <c r="A326" s="80"/>
      <c r="C326" s="86"/>
      <c r="D326" s="86"/>
      <c r="H326" s="86"/>
      <c r="K326" s="86"/>
      <c r="L326" s="86"/>
      <c r="P326" s="86"/>
    </row>
    <row r="327">
      <c r="A327" s="80"/>
      <c r="C327" s="86"/>
      <c r="D327" s="86"/>
      <c r="H327" s="86"/>
      <c r="K327" s="86"/>
      <c r="L327" s="86"/>
      <c r="P327" s="86"/>
    </row>
    <row r="328">
      <c r="A328" s="80"/>
      <c r="C328" s="86"/>
      <c r="D328" s="86"/>
      <c r="H328" s="86"/>
      <c r="K328" s="86"/>
      <c r="L328" s="86"/>
      <c r="P328" s="86"/>
    </row>
    <row r="329">
      <c r="A329" s="80"/>
      <c r="C329" s="86"/>
      <c r="D329" s="86"/>
      <c r="H329" s="86"/>
      <c r="K329" s="86"/>
      <c r="L329" s="86"/>
      <c r="P329" s="86"/>
    </row>
    <row r="330">
      <c r="A330" s="80"/>
      <c r="C330" s="86"/>
      <c r="D330" s="86"/>
      <c r="H330" s="86"/>
      <c r="K330" s="86"/>
      <c r="L330" s="86"/>
      <c r="P330" s="86"/>
    </row>
    <row r="331">
      <c r="A331" s="80"/>
      <c r="C331" s="86"/>
      <c r="D331" s="86"/>
      <c r="H331" s="86"/>
      <c r="K331" s="86"/>
      <c r="L331" s="86"/>
      <c r="P331" s="86"/>
    </row>
    <row r="332">
      <c r="A332" s="80"/>
      <c r="C332" s="86"/>
      <c r="D332" s="86"/>
      <c r="H332" s="86"/>
      <c r="K332" s="86"/>
      <c r="L332" s="86"/>
      <c r="P332" s="86"/>
    </row>
    <row r="333">
      <c r="A333" s="80"/>
      <c r="C333" s="86"/>
      <c r="D333" s="86"/>
      <c r="H333" s="86"/>
      <c r="K333" s="86"/>
      <c r="L333" s="86"/>
      <c r="P333" s="86"/>
    </row>
    <row r="334">
      <c r="A334" s="80"/>
      <c r="C334" s="86"/>
      <c r="D334" s="86"/>
      <c r="H334" s="86"/>
      <c r="K334" s="86"/>
      <c r="L334" s="86"/>
      <c r="P334" s="86"/>
    </row>
    <row r="335">
      <c r="A335" s="80"/>
      <c r="C335" s="86"/>
      <c r="D335" s="86"/>
      <c r="H335" s="86"/>
      <c r="K335" s="86"/>
      <c r="L335" s="86"/>
      <c r="P335" s="86"/>
    </row>
    <row r="336">
      <c r="A336" s="80"/>
      <c r="C336" s="86"/>
      <c r="D336" s="86"/>
      <c r="H336" s="86"/>
      <c r="K336" s="86"/>
      <c r="L336" s="86"/>
      <c r="P336" s="86"/>
    </row>
    <row r="337">
      <c r="A337" s="80"/>
      <c r="C337" s="86"/>
      <c r="D337" s="86"/>
      <c r="H337" s="86"/>
      <c r="K337" s="86"/>
      <c r="L337" s="86"/>
      <c r="P337" s="86"/>
    </row>
    <row r="338">
      <c r="A338" s="80"/>
      <c r="C338" s="86"/>
      <c r="D338" s="86"/>
      <c r="H338" s="86"/>
      <c r="K338" s="86"/>
      <c r="L338" s="86"/>
      <c r="P338" s="86"/>
    </row>
    <row r="339">
      <c r="A339" s="80"/>
      <c r="C339" s="86"/>
      <c r="D339" s="86"/>
      <c r="H339" s="86"/>
      <c r="K339" s="86"/>
      <c r="L339" s="86"/>
      <c r="P339" s="86"/>
    </row>
    <row r="340">
      <c r="A340" s="80"/>
      <c r="C340" s="86"/>
      <c r="D340" s="86"/>
      <c r="H340" s="86"/>
      <c r="K340" s="86"/>
      <c r="L340" s="86"/>
      <c r="P340" s="86"/>
    </row>
    <row r="341">
      <c r="A341" s="80"/>
      <c r="C341" s="86"/>
      <c r="D341" s="86"/>
      <c r="H341" s="86"/>
      <c r="K341" s="86"/>
      <c r="L341" s="86"/>
      <c r="P341" s="86"/>
    </row>
    <row r="342">
      <c r="A342" s="80"/>
      <c r="C342" s="86"/>
      <c r="D342" s="86"/>
      <c r="H342" s="86"/>
      <c r="K342" s="86"/>
      <c r="L342" s="86"/>
      <c r="P342" s="86"/>
    </row>
    <row r="343">
      <c r="A343" s="80"/>
      <c r="C343" s="86"/>
      <c r="D343" s="86"/>
      <c r="H343" s="86"/>
      <c r="K343" s="86"/>
      <c r="L343" s="86"/>
      <c r="P343" s="86"/>
    </row>
    <row r="344">
      <c r="A344" s="80"/>
      <c r="C344" s="86"/>
      <c r="D344" s="86"/>
      <c r="H344" s="86"/>
      <c r="K344" s="86"/>
      <c r="L344" s="86"/>
      <c r="P344" s="86"/>
    </row>
    <row r="345">
      <c r="A345" s="80"/>
      <c r="C345" s="86"/>
      <c r="D345" s="86"/>
      <c r="H345" s="86"/>
      <c r="K345" s="86"/>
      <c r="L345" s="86"/>
      <c r="P345" s="86"/>
    </row>
    <row r="346">
      <c r="A346" s="80"/>
      <c r="C346" s="86"/>
      <c r="D346" s="86"/>
      <c r="H346" s="86"/>
      <c r="K346" s="86"/>
      <c r="L346" s="86"/>
      <c r="P346" s="86"/>
    </row>
    <row r="347">
      <c r="A347" s="80"/>
      <c r="C347" s="86"/>
      <c r="D347" s="86"/>
      <c r="H347" s="86"/>
      <c r="K347" s="86"/>
      <c r="L347" s="86"/>
      <c r="P347" s="86"/>
    </row>
    <row r="348">
      <c r="A348" s="80"/>
      <c r="C348" s="86"/>
      <c r="D348" s="86"/>
      <c r="H348" s="86"/>
      <c r="K348" s="86"/>
      <c r="L348" s="86"/>
      <c r="P348" s="86"/>
    </row>
    <row r="349">
      <c r="A349" s="80"/>
      <c r="C349" s="86"/>
      <c r="D349" s="86"/>
      <c r="H349" s="86"/>
      <c r="K349" s="86"/>
      <c r="L349" s="86"/>
      <c r="P349" s="86"/>
    </row>
    <row r="350">
      <c r="A350" s="80"/>
      <c r="C350" s="86"/>
      <c r="D350" s="86"/>
      <c r="H350" s="86"/>
      <c r="K350" s="86"/>
      <c r="L350" s="86"/>
      <c r="P350" s="86"/>
    </row>
    <row r="351">
      <c r="A351" s="80"/>
      <c r="C351" s="86"/>
      <c r="D351" s="86"/>
      <c r="H351" s="86"/>
      <c r="K351" s="86"/>
      <c r="L351" s="86"/>
      <c r="P351" s="86"/>
    </row>
    <row r="352">
      <c r="A352" s="80"/>
      <c r="C352" s="86"/>
      <c r="D352" s="86"/>
      <c r="H352" s="86"/>
      <c r="K352" s="86"/>
      <c r="L352" s="86"/>
      <c r="P352" s="86"/>
    </row>
    <row r="353">
      <c r="A353" s="80"/>
      <c r="C353" s="86"/>
      <c r="D353" s="86"/>
      <c r="H353" s="86"/>
      <c r="K353" s="86"/>
      <c r="L353" s="86"/>
      <c r="P353" s="86"/>
    </row>
    <row r="354">
      <c r="A354" s="80"/>
      <c r="C354" s="86"/>
      <c r="D354" s="86"/>
      <c r="H354" s="86"/>
      <c r="K354" s="86"/>
      <c r="L354" s="86"/>
      <c r="P354" s="86"/>
    </row>
    <row r="355">
      <c r="A355" s="80"/>
      <c r="C355" s="86"/>
      <c r="D355" s="86"/>
      <c r="H355" s="86"/>
      <c r="K355" s="86"/>
      <c r="L355" s="86"/>
      <c r="P355" s="86"/>
    </row>
    <row r="356">
      <c r="A356" s="80"/>
      <c r="C356" s="86"/>
      <c r="D356" s="86"/>
      <c r="H356" s="86"/>
      <c r="K356" s="86"/>
      <c r="L356" s="86"/>
      <c r="P356" s="86"/>
    </row>
    <row r="357">
      <c r="A357" s="80"/>
      <c r="C357" s="86"/>
      <c r="D357" s="86"/>
      <c r="H357" s="86"/>
      <c r="K357" s="86"/>
      <c r="L357" s="86"/>
      <c r="P357" s="86"/>
    </row>
    <row r="358">
      <c r="A358" s="80"/>
      <c r="C358" s="86"/>
      <c r="D358" s="86"/>
      <c r="H358" s="86"/>
      <c r="K358" s="86"/>
      <c r="L358" s="86"/>
      <c r="P358" s="86"/>
    </row>
    <row r="359">
      <c r="A359" s="80"/>
      <c r="C359" s="86"/>
      <c r="D359" s="86"/>
      <c r="H359" s="86"/>
      <c r="K359" s="86"/>
      <c r="L359" s="86"/>
      <c r="P359" s="86"/>
    </row>
    <row r="360">
      <c r="A360" s="80"/>
      <c r="C360" s="86"/>
      <c r="D360" s="86"/>
      <c r="H360" s="86"/>
      <c r="K360" s="86"/>
      <c r="L360" s="86"/>
      <c r="P360" s="86"/>
    </row>
    <row r="361">
      <c r="A361" s="80"/>
      <c r="C361" s="86"/>
      <c r="D361" s="86"/>
      <c r="H361" s="86"/>
      <c r="K361" s="86"/>
      <c r="L361" s="86"/>
      <c r="P361" s="86"/>
    </row>
    <row r="362">
      <c r="A362" s="80"/>
      <c r="C362" s="86"/>
      <c r="D362" s="86"/>
      <c r="H362" s="86"/>
      <c r="K362" s="86"/>
      <c r="L362" s="86"/>
      <c r="P362" s="86"/>
    </row>
    <row r="363">
      <c r="A363" s="80"/>
      <c r="C363" s="86"/>
      <c r="D363" s="86"/>
      <c r="H363" s="86"/>
      <c r="K363" s="86"/>
      <c r="L363" s="86"/>
      <c r="P363" s="86"/>
    </row>
    <row r="364">
      <c r="A364" s="80"/>
      <c r="C364" s="86"/>
      <c r="D364" s="86"/>
      <c r="H364" s="86"/>
      <c r="K364" s="86"/>
      <c r="L364" s="86"/>
      <c r="P364" s="86"/>
    </row>
    <row r="365">
      <c r="A365" s="80"/>
      <c r="C365" s="86"/>
      <c r="D365" s="86"/>
      <c r="H365" s="86"/>
      <c r="K365" s="86"/>
      <c r="L365" s="86"/>
      <c r="P365" s="86"/>
    </row>
    <row r="366">
      <c r="A366" s="80"/>
      <c r="C366" s="86"/>
      <c r="D366" s="86"/>
      <c r="H366" s="86"/>
      <c r="K366" s="86"/>
      <c r="L366" s="86"/>
      <c r="P366" s="86"/>
    </row>
    <row r="367">
      <c r="A367" s="80"/>
      <c r="C367" s="86"/>
      <c r="D367" s="86"/>
      <c r="H367" s="86"/>
      <c r="K367" s="86"/>
      <c r="L367" s="86"/>
      <c r="P367" s="86"/>
    </row>
    <row r="368">
      <c r="A368" s="80"/>
      <c r="C368" s="86"/>
      <c r="D368" s="86"/>
      <c r="H368" s="86"/>
      <c r="K368" s="86"/>
      <c r="L368" s="86"/>
      <c r="P368" s="86"/>
    </row>
    <row r="369">
      <c r="A369" s="80"/>
      <c r="C369" s="86"/>
      <c r="D369" s="86"/>
      <c r="H369" s="86"/>
      <c r="K369" s="86"/>
      <c r="L369" s="86"/>
      <c r="P369" s="86"/>
    </row>
    <row r="370">
      <c r="A370" s="80"/>
      <c r="C370" s="86"/>
      <c r="D370" s="86"/>
      <c r="H370" s="86"/>
      <c r="K370" s="86"/>
      <c r="L370" s="86"/>
      <c r="P370" s="86"/>
    </row>
    <row r="371">
      <c r="A371" s="80"/>
      <c r="C371" s="86"/>
      <c r="D371" s="86"/>
      <c r="H371" s="86"/>
      <c r="K371" s="86"/>
      <c r="L371" s="86"/>
      <c r="P371" s="86"/>
    </row>
    <row r="372">
      <c r="A372" s="80"/>
      <c r="C372" s="86"/>
      <c r="D372" s="86"/>
      <c r="H372" s="86"/>
      <c r="K372" s="86"/>
      <c r="L372" s="86"/>
      <c r="P372" s="86"/>
    </row>
    <row r="373">
      <c r="A373" s="80"/>
      <c r="C373" s="86"/>
      <c r="D373" s="86"/>
      <c r="H373" s="86"/>
      <c r="K373" s="86"/>
      <c r="L373" s="86"/>
      <c r="P373" s="86"/>
    </row>
    <row r="374">
      <c r="A374" s="80"/>
      <c r="C374" s="86"/>
      <c r="D374" s="86"/>
      <c r="H374" s="86"/>
      <c r="K374" s="86"/>
      <c r="L374" s="86"/>
      <c r="P374" s="86"/>
    </row>
    <row r="375">
      <c r="A375" s="80"/>
      <c r="C375" s="86"/>
      <c r="D375" s="86"/>
      <c r="H375" s="86"/>
      <c r="K375" s="86"/>
      <c r="L375" s="86"/>
      <c r="P375" s="86"/>
    </row>
    <row r="376">
      <c r="A376" s="80"/>
      <c r="C376" s="86"/>
      <c r="D376" s="86"/>
      <c r="H376" s="86"/>
      <c r="K376" s="86"/>
      <c r="L376" s="86"/>
      <c r="P376" s="86"/>
    </row>
    <row r="377">
      <c r="A377" s="80"/>
      <c r="C377" s="86"/>
      <c r="D377" s="86"/>
      <c r="H377" s="86"/>
      <c r="K377" s="86"/>
      <c r="L377" s="86"/>
      <c r="P377" s="86"/>
    </row>
    <row r="378">
      <c r="A378" s="80"/>
      <c r="C378" s="86"/>
      <c r="D378" s="86"/>
      <c r="H378" s="86"/>
      <c r="K378" s="86"/>
      <c r="L378" s="86"/>
      <c r="P378" s="86"/>
    </row>
    <row r="379">
      <c r="A379" s="80"/>
      <c r="C379" s="86"/>
      <c r="D379" s="86"/>
      <c r="H379" s="86"/>
      <c r="K379" s="86"/>
      <c r="L379" s="86"/>
      <c r="P379" s="86"/>
    </row>
    <row r="380">
      <c r="A380" s="80"/>
      <c r="C380" s="86"/>
      <c r="D380" s="86"/>
      <c r="H380" s="86"/>
      <c r="K380" s="86"/>
      <c r="L380" s="86"/>
      <c r="P380" s="86"/>
    </row>
    <row r="381">
      <c r="A381" s="80"/>
      <c r="C381" s="86"/>
      <c r="D381" s="86"/>
      <c r="H381" s="86"/>
      <c r="K381" s="86"/>
      <c r="L381" s="86"/>
      <c r="P381" s="86"/>
    </row>
    <row r="382">
      <c r="A382" s="80"/>
      <c r="C382" s="86"/>
      <c r="D382" s="86"/>
      <c r="H382" s="86"/>
      <c r="K382" s="86"/>
      <c r="L382" s="86"/>
      <c r="P382" s="86"/>
    </row>
    <row r="383">
      <c r="A383" s="80"/>
      <c r="C383" s="86"/>
      <c r="D383" s="86"/>
      <c r="H383" s="86"/>
      <c r="K383" s="86"/>
      <c r="L383" s="86"/>
      <c r="P383" s="86"/>
    </row>
    <row r="384">
      <c r="A384" s="80"/>
      <c r="C384" s="86"/>
      <c r="D384" s="86"/>
      <c r="H384" s="86"/>
      <c r="K384" s="86"/>
      <c r="L384" s="86"/>
      <c r="P384" s="86"/>
    </row>
    <row r="385">
      <c r="A385" s="80"/>
      <c r="C385" s="86"/>
      <c r="D385" s="86"/>
      <c r="H385" s="86"/>
      <c r="K385" s="86"/>
      <c r="L385" s="86"/>
      <c r="P385" s="86"/>
    </row>
    <row r="386">
      <c r="A386" s="80"/>
      <c r="C386" s="86"/>
      <c r="D386" s="86"/>
      <c r="H386" s="86"/>
      <c r="K386" s="86"/>
      <c r="L386" s="86"/>
      <c r="P386" s="86"/>
    </row>
    <row r="387">
      <c r="A387" s="80"/>
      <c r="C387" s="86"/>
      <c r="D387" s="86"/>
      <c r="H387" s="86"/>
      <c r="K387" s="86"/>
      <c r="L387" s="86"/>
      <c r="P387" s="86"/>
    </row>
    <row r="388">
      <c r="A388" s="80"/>
      <c r="C388" s="86"/>
      <c r="D388" s="86"/>
      <c r="H388" s="86"/>
      <c r="K388" s="86"/>
      <c r="L388" s="86"/>
      <c r="P388" s="86"/>
    </row>
    <row r="389">
      <c r="A389" s="80"/>
      <c r="C389" s="86"/>
      <c r="D389" s="86"/>
      <c r="H389" s="86"/>
      <c r="K389" s="86"/>
      <c r="L389" s="86"/>
      <c r="P389" s="86"/>
    </row>
    <row r="390">
      <c r="A390" s="80"/>
      <c r="C390" s="86"/>
      <c r="D390" s="86"/>
      <c r="H390" s="86"/>
      <c r="K390" s="86"/>
      <c r="L390" s="86"/>
      <c r="P390" s="86"/>
    </row>
    <row r="391">
      <c r="A391" s="80"/>
      <c r="C391" s="86"/>
      <c r="D391" s="86"/>
      <c r="H391" s="86"/>
      <c r="K391" s="86"/>
      <c r="L391" s="86"/>
      <c r="P391" s="86"/>
    </row>
    <row r="392">
      <c r="A392" s="80"/>
      <c r="C392" s="86"/>
      <c r="D392" s="86"/>
      <c r="H392" s="86"/>
      <c r="K392" s="86"/>
      <c r="L392" s="86"/>
      <c r="P392" s="86"/>
    </row>
    <row r="393">
      <c r="A393" s="80"/>
      <c r="C393" s="86"/>
      <c r="D393" s="86"/>
      <c r="H393" s="86"/>
      <c r="K393" s="86"/>
      <c r="L393" s="86"/>
      <c r="P393" s="86"/>
    </row>
    <row r="394">
      <c r="A394" s="80"/>
      <c r="C394" s="86"/>
      <c r="D394" s="86"/>
      <c r="H394" s="86"/>
      <c r="K394" s="86"/>
      <c r="L394" s="86"/>
      <c r="P394" s="86"/>
    </row>
    <row r="395">
      <c r="A395" s="80"/>
      <c r="C395" s="86"/>
      <c r="D395" s="86"/>
      <c r="H395" s="86"/>
      <c r="K395" s="86"/>
      <c r="L395" s="86"/>
      <c r="P395" s="86"/>
    </row>
    <row r="396">
      <c r="A396" s="80"/>
      <c r="C396" s="86"/>
      <c r="D396" s="86"/>
      <c r="H396" s="86"/>
      <c r="K396" s="86"/>
      <c r="L396" s="86"/>
      <c r="P396" s="86"/>
    </row>
    <row r="397">
      <c r="A397" s="80"/>
      <c r="C397" s="86"/>
      <c r="D397" s="86"/>
      <c r="H397" s="86"/>
      <c r="K397" s="86"/>
      <c r="L397" s="86"/>
      <c r="P397" s="86"/>
    </row>
    <row r="398">
      <c r="A398" s="80"/>
      <c r="C398" s="86"/>
      <c r="D398" s="86"/>
      <c r="H398" s="86"/>
      <c r="K398" s="86"/>
      <c r="L398" s="86"/>
      <c r="P398" s="86"/>
    </row>
    <row r="399">
      <c r="A399" s="80"/>
      <c r="C399" s="86"/>
      <c r="D399" s="86"/>
      <c r="H399" s="86"/>
      <c r="K399" s="86"/>
      <c r="L399" s="86"/>
      <c r="P399" s="86"/>
    </row>
    <row r="400">
      <c r="A400" s="80"/>
      <c r="C400" s="86"/>
      <c r="D400" s="86"/>
      <c r="H400" s="86"/>
      <c r="K400" s="86"/>
      <c r="L400" s="86"/>
      <c r="P400" s="86"/>
    </row>
    <row r="401">
      <c r="A401" s="80"/>
      <c r="C401" s="86"/>
      <c r="D401" s="86"/>
      <c r="H401" s="86"/>
      <c r="K401" s="86"/>
      <c r="L401" s="86"/>
      <c r="P401" s="86"/>
    </row>
    <row r="402">
      <c r="A402" s="80"/>
      <c r="C402" s="86"/>
      <c r="D402" s="86"/>
      <c r="H402" s="86"/>
      <c r="K402" s="86"/>
      <c r="L402" s="86"/>
      <c r="P402" s="86"/>
    </row>
    <row r="403">
      <c r="A403" s="80"/>
      <c r="C403" s="86"/>
      <c r="D403" s="86"/>
      <c r="H403" s="86"/>
      <c r="K403" s="86"/>
      <c r="L403" s="86"/>
      <c r="P403" s="86"/>
    </row>
    <row r="404">
      <c r="A404" s="80"/>
      <c r="C404" s="86"/>
      <c r="D404" s="86"/>
      <c r="H404" s="86"/>
      <c r="K404" s="86"/>
      <c r="L404" s="86"/>
      <c r="P404" s="86"/>
    </row>
    <row r="405">
      <c r="A405" s="80"/>
      <c r="C405" s="86"/>
      <c r="D405" s="86"/>
      <c r="H405" s="86"/>
      <c r="K405" s="86"/>
      <c r="L405" s="86"/>
      <c r="P405" s="86"/>
    </row>
    <row r="406">
      <c r="A406" s="80"/>
      <c r="C406" s="86"/>
      <c r="D406" s="86"/>
      <c r="H406" s="86"/>
      <c r="K406" s="86"/>
      <c r="L406" s="86"/>
      <c r="P406" s="86"/>
    </row>
    <row r="407">
      <c r="A407" s="80"/>
      <c r="C407" s="86"/>
      <c r="D407" s="86"/>
      <c r="H407" s="86"/>
      <c r="K407" s="86"/>
      <c r="L407" s="86"/>
      <c r="P407" s="86"/>
    </row>
    <row r="408">
      <c r="A408" s="80"/>
      <c r="C408" s="86"/>
      <c r="D408" s="86"/>
      <c r="H408" s="86"/>
      <c r="K408" s="86"/>
      <c r="L408" s="86"/>
      <c r="P408" s="86"/>
    </row>
    <row r="409">
      <c r="A409" s="80"/>
      <c r="C409" s="86"/>
      <c r="D409" s="86"/>
      <c r="H409" s="86"/>
      <c r="K409" s="86"/>
      <c r="L409" s="86"/>
      <c r="P409" s="86"/>
    </row>
    <row r="410">
      <c r="A410" s="80"/>
      <c r="C410" s="86"/>
      <c r="D410" s="86"/>
      <c r="H410" s="86"/>
      <c r="K410" s="86"/>
      <c r="L410" s="86"/>
      <c r="P410" s="86"/>
    </row>
    <row r="411">
      <c r="A411" s="80"/>
      <c r="C411" s="86"/>
      <c r="D411" s="86"/>
      <c r="H411" s="86"/>
      <c r="K411" s="86"/>
      <c r="L411" s="86"/>
      <c r="P411" s="86"/>
    </row>
    <row r="412">
      <c r="A412" s="80"/>
      <c r="C412" s="86"/>
      <c r="D412" s="86"/>
      <c r="H412" s="86"/>
      <c r="K412" s="86"/>
      <c r="L412" s="86"/>
      <c r="P412" s="86"/>
    </row>
    <row r="413">
      <c r="A413" s="80"/>
      <c r="C413" s="86"/>
      <c r="D413" s="86"/>
      <c r="H413" s="86"/>
      <c r="K413" s="86"/>
      <c r="L413" s="86"/>
      <c r="P413" s="86"/>
    </row>
    <row r="414">
      <c r="A414" s="80"/>
      <c r="C414" s="86"/>
      <c r="D414" s="86"/>
      <c r="H414" s="86"/>
      <c r="K414" s="86"/>
      <c r="L414" s="86"/>
      <c r="P414" s="86"/>
    </row>
    <row r="415">
      <c r="A415" s="80"/>
      <c r="C415" s="86"/>
      <c r="D415" s="86"/>
      <c r="H415" s="86"/>
      <c r="K415" s="86"/>
      <c r="L415" s="86"/>
      <c r="P415" s="86"/>
    </row>
    <row r="416">
      <c r="A416" s="80"/>
      <c r="C416" s="86"/>
      <c r="D416" s="86"/>
      <c r="H416" s="86"/>
      <c r="K416" s="86"/>
      <c r="L416" s="86"/>
      <c r="P416" s="86"/>
    </row>
    <row r="417">
      <c r="A417" s="80"/>
      <c r="C417" s="86"/>
      <c r="D417" s="86"/>
      <c r="H417" s="86"/>
      <c r="K417" s="86"/>
      <c r="L417" s="86"/>
      <c r="P417" s="86"/>
    </row>
    <row r="418">
      <c r="A418" s="80"/>
      <c r="C418" s="86"/>
      <c r="D418" s="86"/>
      <c r="H418" s="86"/>
      <c r="K418" s="86"/>
      <c r="L418" s="86"/>
      <c r="P418" s="86"/>
    </row>
    <row r="419">
      <c r="A419" s="80"/>
      <c r="C419" s="86"/>
      <c r="D419" s="86"/>
      <c r="H419" s="86"/>
      <c r="K419" s="86"/>
      <c r="L419" s="86"/>
      <c r="P419" s="86"/>
    </row>
    <row r="420">
      <c r="A420" s="80"/>
      <c r="C420" s="86"/>
      <c r="D420" s="86"/>
      <c r="H420" s="86"/>
      <c r="K420" s="86"/>
      <c r="L420" s="86"/>
      <c r="P420" s="86"/>
    </row>
    <row r="421">
      <c r="A421" s="80"/>
      <c r="C421" s="86"/>
      <c r="D421" s="86"/>
      <c r="H421" s="86"/>
      <c r="K421" s="86"/>
      <c r="L421" s="86"/>
      <c r="P421" s="86"/>
    </row>
    <row r="422">
      <c r="A422" s="80"/>
      <c r="C422" s="86"/>
      <c r="D422" s="86"/>
      <c r="H422" s="86"/>
      <c r="K422" s="86"/>
      <c r="L422" s="86"/>
      <c r="P422" s="86"/>
    </row>
    <row r="423">
      <c r="A423" s="80"/>
      <c r="C423" s="86"/>
      <c r="D423" s="86"/>
      <c r="H423" s="86"/>
      <c r="K423" s="86"/>
      <c r="L423" s="86"/>
      <c r="P423" s="86"/>
    </row>
    <row r="424">
      <c r="A424" s="80"/>
      <c r="C424" s="86"/>
      <c r="D424" s="86"/>
      <c r="H424" s="86"/>
      <c r="K424" s="86"/>
      <c r="L424" s="86"/>
      <c r="P424" s="86"/>
    </row>
    <row r="425">
      <c r="A425" s="80"/>
      <c r="C425" s="86"/>
      <c r="D425" s="86"/>
      <c r="H425" s="86"/>
      <c r="K425" s="86"/>
      <c r="L425" s="86"/>
      <c r="P425" s="86"/>
    </row>
    <row r="426">
      <c r="A426" s="80"/>
      <c r="C426" s="86"/>
      <c r="D426" s="86"/>
      <c r="H426" s="86"/>
      <c r="K426" s="86"/>
      <c r="L426" s="86"/>
      <c r="P426" s="86"/>
    </row>
    <row r="427">
      <c r="A427" s="80"/>
      <c r="C427" s="86"/>
      <c r="D427" s="86"/>
      <c r="H427" s="86"/>
      <c r="K427" s="86"/>
      <c r="L427" s="86"/>
      <c r="P427" s="86"/>
    </row>
    <row r="428">
      <c r="A428" s="80"/>
      <c r="C428" s="86"/>
      <c r="D428" s="86"/>
      <c r="H428" s="86"/>
      <c r="K428" s="86"/>
      <c r="L428" s="86"/>
      <c r="P428" s="86"/>
    </row>
    <row r="429">
      <c r="A429" s="80"/>
      <c r="C429" s="86"/>
      <c r="D429" s="86"/>
      <c r="H429" s="86"/>
      <c r="K429" s="86"/>
      <c r="L429" s="86"/>
      <c r="P429" s="86"/>
    </row>
    <row r="430">
      <c r="A430" s="80"/>
      <c r="C430" s="86"/>
      <c r="D430" s="86"/>
      <c r="H430" s="86"/>
      <c r="K430" s="86"/>
      <c r="L430" s="86"/>
      <c r="P430" s="86"/>
    </row>
    <row r="431">
      <c r="A431" s="80"/>
      <c r="C431" s="86"/>
      <c r="D431" s="86"/>
      <c r="H431" s="86"/>
      <c r="K431" s="86"/>
      <c r="L431" s="86"/>
      <c r="P431" s="86"/>
    </row>
    <row r="432">
      <c r="A432" s="80"/>
      <c r="C432" s="86"/>
      <c r="D432" s="86"/>
      <c r="H432" s="86"/>
      <c r="K432" s="86"/>
      <c r="L432" s="86"/>
      <c r="P432" s="86"/>
    </row>
    <row r="433">
      <c r="A433" s="80"/>
      <c r="C433" s="86"/>
      <c r="D433" s="86"/>
      <c r="H433" s="86"/>
      <c r="K433" s="86"/>
      <c r="L433" s="86"/>
      <c r="P433" s="86"/>
    </row>
    <row r="434">
      <c r="A434" s="80"/>
      <c r="C434" s="86"/>
      <c r="D434" s="86"/>
      <c r="H434" s="86"/>
      <c r="K434" s="86"/>
      <c r="L434" s="86"/>
      <c r="P434" s="86"/>
    </row>
    <row r="435">
      <c r="A435" s="80"/>
      <c r="C435" s="86"/>
      <c r="D435" s="86"/>
      <c r="H435" s="86"/>
      <c r="K435" s="86"/>
      <c r="L435" s="86"/>
      <c r="P435" s="86"/>
    </row>
    <row r="436">
      <c r="A436" s="80"/>
      <c r="C436" s="86"/>
      <c r="D436" s="86"/>
      <c r="H436" s="86"/>
      <c r="K436" s="86"/>
      <c r="L436" s="86"/>
      <c r="P436" s="86"/>
    </row>
    <row r="437">
      <c r="A437" s="80"/>
      <c r="C437" s="86"/>
      <c r="D437" s="86"/>
      <c r="H437" s="86"/>
      <c r="K437" s="86"/>
      <c r="L437" s="86"/>
      <c r="P437" s="86"/>
    </row>
    <row r="438">
      <c r="A438" s="80"/>
      <c r="C438" s="86"/>
      <c r="D438" s="86"/>
      <c r="H438" s="86"/>
      <c r="K438" s="86"/>
      <c r="L438" s="86"/>
      <c r="P438" s="86"/>
    </row>
    <row r="439">
      <c r="A439" s="80"/>
      <c r="C439" s="86"/>
      <c r="D439" s="86"/>
      <c r="H439" s="86"/>
      <c r="K439" s="86"/>
      <c r="L439" s="86"/>
      <c r="P439" s="86"/>
    </row>
    <row r="440">
      <c r="A440" s="80"/>
      <c r="C440" s="86"/>
      <c r="D440" s="86"/>
      <c r="H440" s="86"/>
      <c r="K440" s="86"/>
      <c r="L440" s="86"/>
      <c r="P440" s="86"/>
    </row>
    <row r="441">
      <c r="A441" s="80"/>
      <c r="C441" s="86"/>
      <c r="D441" s="86"/>
      <c r="H441" s="86"/>
      <c r="K441" s="86"/>
      <c r="L441" s="86"/>
      <c r="P441" s="86"/>
    </row>
    <row r="442">
      <c r="A442" s="80"/>
      <c r="C442" s="86"/>
      <c r="D442" s="86"/>
      <c r="H442" s="86"/>
      <c r="K442" s="86"/>
      <c r="L442" s="86"/>
      <c r="P442" s="86"/>
    </row>
    <row r="443">
      <c r="A443" s="80"/>
      <c r="C443" s="86"/>
      <c r="D443" s="86"/>
      <c r="H443" s="86"/>
      <c r="K443" s="86"/>
      <c r="L443" s="86"/>
      <c r="P443" s="86"/>
    </row>
    <row r="444">
      <c r="A444" s="80"/>
      <c r="C444" s="86"/>
      <c r="D444" s="86"/>
      <c r="H444" s="86"/>
      <c r="K444" s="86"/>
      <c r="L444" s="86"/>
      <c r="P444" s="86"/>
    </row>
    <row r="445">
      <c r="A445" s="80"/>
      <c r="C445" s="86"/>
      <c r="D445" s="86"/>
      <c r="H445" s="86"/>
      <c r="K445" s="86"/>
      <c r="L445" s="86"/>
      <c r="P445" s="86"/>
    </row>
    <row r="446">
      <c r="A446" s="80"/>
      <c r="C446" s="86"/>
      <c r="D446" s="86"/>
      <c r="H446" s="86"/>
      <c r="K446" s="86"/>
      <c r="L446" s="86"/>
      <c r="P446" s="86"/>
    </row>
    <row r="447">
      <c r="A447" s="80"/>
      <c r="C447" s="86"/>
      <c r="D447" s="86"/>
      <c r="H447" s="86"/>
      <c r="K447" s="86"/>
      <c r="L447" s="86"/>
      <c r="P447" s="86"/>
    </row>
    <row r="448">
      <c r="A448" s="80"/>
      <c r="C448" s="86"/>
      <c r="D448" s="86"/>
      <c r="H448" s="86"/>
      <c r="K448" s="86"/>
      <c r="L448" s="86"/>
      <c r="P448" s="86"/>
    </row>
    <row r="449">
      <c r="A449" s="80"/>
      <c r="C449" s="86"/>
      <c r="D449" s="86"/>
      <c r="H449" s="86"/>
      <c r="K449" s="86"/>
      <c r="L449" s="86"/>
      <c r="P449" s="86"/>
    </row>
    <row r="450">
      <c r="A450" s="80"/>
      <c r="C450" s="86"/>
      <c r="D450" s="86"/>
      <c r="H450" s="86"/>
      <c r="K450" s="86"/>
      <c r="L450" s="86"/>
      <c r="P450" s="86"/>
    </row>
    <row r="451">
      <c r="A451" s="80"/>
      <c r="C451" s="86"/>
      <c r="D451" s="86"/>
      <c r="H451" s="86"/>
      <c r="K451" s="86"/>
      <c r="L451" s="86"/>
      <c r="P451" s="86"/>
    </row>
    <row r="452">
      <c r="A452" s="80"/>
      <c r="C452" s="86"/>
      <c r="D452" s="86"/>
      <c r="H452" s="86"/>
      <c r="K452" s="86"/>
      <c r="L452" s="86"/>
      <c r="P452" s="86"/>
    </row>
    <row r="453">
      <c r="A453" s="80"/>
      <c r="C453" s="86"/>
      <c r="D453" s="86"/>
      <c r="H453" s="86"/>
      <c r="K453" s="86"/>
      <c r="L453" s="86"/>
      <c r="P453" s="86"/>
    </row>
    <row r="454">
      <c r="A454" s="80"/>
      <c r="C454" s="86"/>
      <c r="D454" s="86"/>
      <c r="H454" s="86"/>
      <c r="K454" s="86"/>
      <c r="L454" s="86"/>
      <c r="P454" s="86"/>
    </row>
    <row r="455">
      <c r="A455" s="80"/>
      <c r="C455" s="86"/>
      <c r="D455" s="86"/>
      <c r="H455" s="86"/>
      <c r="K455" s="86"/>
      <c r="L455" s="86"/>
      <c r="P455" s="86"/>
    </row>
    <row r="456">
      <c r="A456" s="80"/>
      <c r="C456" s="86"/>
      <c r="D456" s="86"/>
      <c r="H456" s="86"/>
      <c r="K456" s="86"/>
      <c r="L456" s="86"/>
      <c r="P456" s="86"/>
    </row>
    <row r="457">
      <c r="A457" s="80"/>
      <c r="C457" s="86"/>
      <c r="D457" s="86"/>
      <c r="H457" s="86"/>
      <c r="K457" s="86"/>
      <c r="L457" s="86"/>
      <c r="P457" s="86"/>
    </row>
    <row r="458">
      <c r="A458" s="80"/>
      <c r="C458" s="86"/>
      <c r="D458" s="86"/>
      <c r="H458" s="86"/>
      <c r="K458" s="86"/>
      <c r="L458" s="86"/>
      <c r="P458" s="86"/>
    </row>
    <row r="459">
      <c r="A459" s="80"/>
      <c r="C459" s="86"/>
      <c r="D459" s="86"/>
      <c r="H459" s="86"/>
      <c r="K459" s="86"/>
      <c r="L459" s="86"/>
      <c r="P459" s="86"/>
    </row>
    <row r="460">
      <c r="A460" s="80"/>
      <c r="C460" s="86"/>
      <c r="D460" s="86"/>
      <c r="H460" s="86"/>
      <c r="K460" s="86"/>
      <c r="L460" s="86"/>
      <c r="P460" s="86"/>
    </row>
    <row r="461">
      <c r="A461" s="80"/>
      <c r="C461" s="86"/>
      <c r="D461" s="86"/>
      <c r="H461" s="86"/>
      <c r="K461" s="86"/>
      <c r="L461" s="86"/>
      <c r="P461" s="86"/>
    </row>
    <row r="462">
      <c r="A462" s="80"/>
      <c r="C462" s="86"/>
      <c r="D462" s="86"/>
      <c r="H462" s="86"/>
      <c r="K462" s="86"/>
      <c r="L462" s="86"/>
      <c r="P462" s="86"/>
    </row>
    <row r="463">
      <c r="A463" s="80"/>
      <c r="C463" s="86"/>
      <c r="D463" s="86"/>
      <c r="H463" s="86"/>
      <c r="K463" s="86"/>
      <c r="L463" s="86"/>
      <c r="P463" s="86"/>
    </row>
    <row r="464">
      <c r="A464" s="80"/>
      <c r="C464" s="86"/>
      <c r="D464" s="86"/>
      <c r="H464" s="86"/>
      <c r="K464" s="86"/>
      <c r="L464" s="86"/>
      <c r="P464" s="86"/>
    </row>
    <row r="465">
      <c r="A465" s="80"/>
      <c r="C465" s="86"/>
      <c r="D465" s="86"/>
      <c r="H465" s="86"/>
      <c r="K465" s="86"/>
      <c r="L465" s="86"/>
      <c r="P465" s="86"/>
    </row>
    <row r="466">
      <c r="A466" s="80"/>
      <c r="C466" s="86"/>
      <c r="D466" s="86"/>
      <c r="H466" s="86"/>
      <c r="K466" s="86"/>
      <c r="L466" s="86"/>
      <c r="P466" s="86"/>
    </row>
    <row r="467">
      <c r="A467" s="80"/>
      <c r="C467" s="86"/>
      <c r="D467" s="86"/>
      <c r="H467" s="86"/>
      <c r="K467" s="86"/>
      <c r="L467" s="86"/>
      <c r="P467" s="86"/>
    </row>
    <row r="468">
      <c r="A468" s="80"/>
      <c r="C468" s="86"/>
      <c r="D468" s="86"/>
      <c r="H468" s="86"/>
      <c r="K468" s="86"/>
      <c r="L468" s="86"/>
      <c r="P468" s="86"/>
    </row>
    <row r="469">
      <c r="A469" s="80"/>
      <c r="C469" s="86"/>
      <c r="D469" s="86"/>
      <c r="H469" s="86"/>
      <c r="K469" s="86"/>
      <c r="L469" s="86"/>
      <c r="P469" s="86"/>
    </row>
    <row r="470">
      <c r="A470" s="80"/>
      <c r="C470" s="86"/>
      <c r="D470" s="86"/>
      <c r="H470" s="86"/>
      <c r="K470" s="86"/>
      <c r="L470" s="86"/>
      <c r="P470" s="86"/>
    </row>
    <row r="471">
      <c r="A471" s="80"/>
      <c r="C471" s="86"/>
      <c r="D471" s="86"/>
      <c r="H471" s="86"/>
      <c r="K471" s="86"/>
      <c r="L471" s="86"/>
      <c r="P471" s="86"/>
    </row>
    <row r="472">
      <c r="A472" s="80"/>
      <c r="C472" s="86"/>
      <c r="D472" s="86"/>
      <c r="H472" s="86"/>
      <c r="K472" s="86"/>
      <c r="L472" s="86"/>
      <c r="P472" s="86"/>
    </row>
    <row r="473">
      <c r="A473" s="80"/>
      <c r="C473" s="86"/>
      <c r="D473" s="86"/>
      <c r="H473" s="86"/>
      <c r="K473" s="86"/>
      <c r="L473" s="86"/>
      <c r="P473" s="86"/>
    </row>
    <row r="474">
      <c r="A474" s="80"/>
      <c r="C474" s="86"/>
      <c r="D474" s="86"/>
      <c r="H474" s="86"/>
      <c r="K474" s="86"/>
      <c r="L474" s="86"/>
      <c r="P474" s="86"/>
    </row>
    <row r="475">
      <c r="A475" s="80"/>
      <c r="C475" s="86"/>
      <c r="D475" s="86"/>
      <c r="H475" s="86"/>
      <c r="K475" s="86"/>
      <c r="L475" s="86"/>
      <c r="P475" s="86"/>
    </row>
    <row r="476">
      <c r="A476" s="80"/>
      <c r="C476" s="86"/>
      <c r="D476" s="86"/>
      <c r="H476" s="86"/>
      <c r="K476" s="86"/>
      <c r="L476" s="86"/>
      <c r="P476" s="86"/>
    </row>
    <row r="477">
      <c r="A477" s="80"/>
      <c r="C477" s="86"/>
      <c r="D477" s="86"/>
      <c r="H477" s="86"/>
      <c r="K477" s="86"/>
      <c r="L477" s="86"/>
      <c r="P477" s="86"/>
    </row>
    <row r="478">
      <c r="A478" s="80"/>
      <c r="C478" s="86"/>
      <c r="D478" s="86"/>
      <c r="H478" s="86"/>
      <c r="K478" s="86"/>
      <c r="L478" s="86"/>
      <c r="P478" s="86"/>
    </row>
    <row r="479">
      <c r="A479" s="80"/>
      <c r="C479" s="86"/>
      <c r="D479" s="86"/>
      <c r="H479" s="86"/>
      <c r="K479" s="86"/>
      <c r="L479" s="86"/>
      <c r="P479" s="86"/>
    </row>
    <row r="480">
      <c r="A480" s="80"/>
      <c r="C480" s="86"/>
      <c r="D480" s="86"/>
      <c r="H480" s="86"/>
      <c r="K480" s="86"/>
      <c r="L480" s="86"/>
      <c r="P480" s="86"/>
    </row>
    <row r="481">
      <c r="A481" s="80"/>
      <c r="C481" s="86"/>
      <c r="D481" s="86"/>
      <c r="H481" s="86"/>
      <c r="K481" s="86"/>
      <c r="L481" s="86"/>
      <c r="P481" s="86"/>
    </row>
    <row r="482">
      <c r="A482" s="80"/>
      <c r="C482" s="86"/>
      <c r="D482" s="86"/>
      <c r="H482" s="86"/>
      <c r="K482" s="86"/>
      <c r="L482" s="86"/>
      <c r="P482" s="86"/>
    </row>
    <row r="483">
      <c r="A483" s="80"/>
      <c r="C483" s="86"/>
      <c r="D483" s="86"/>
      <c r="H483" s="86"/>
      <c r="K483" s="86"/>
      <c r="L483" s="86"/>
      <c r="P483" s="86"/>
    </row>
    <row r="484">
      <c r="A484" s="80"/>
      <c r="C484" s="86"/>
      <c r="D484" s="86"/>
      <c r="H484" s="86"/>
      <c r="K484" s="86"/>
      <c r="L484" s="86"/>
      <c r="P484" s="86"/>
    </row>
    <row r="485">
      <c r="A485" s="80"/>
      <c r="C485" s="86"/>
      <c r="D485" s="86"/>
      <c r="H485" s="86"/>
      <c r="K485" s="86"/>
      <c r="L485" s="86"/>
      <c r="P485" s="86"/>
    </row>
    <row r="486">
      <c r="A486" s="80"/>
      <c r="C486" s="86"/>
      <c r="D486" s="86"/>
      <c r="H486" s="86"/>
      <c r="K486" s="86"/>
      <c r="L486" s="86"/>
      <c r="P486" s="86"/>
    </row>
    <row r="487">
      <c r="A487" s="80"/>
      <c r="C487" s="86"/>
      <c r="D487" s="86"/>
      <c r="H487" s="86"/>
      <c r="K487" s="86"/>
      <c r="L487" s="86"/>
      <c r="P487" s="86"/>
    </row>
    <row r="488">
      <c r="A488" s="80"/>
      <c r="C488" s="86"/>
      <c r="D488" s="86"/>
      <c r="H488" s="86"/>
      <c r="K488" s="86"/>
      <c r="L488" s="86"/>
      <c r="P488" s="86"/>
    </row>
    <row r="489">
      <c r="A489" s="80"/>
      <c r="C489" s="86"/>
      <c r="D489" s="86"/>
      <c r="H489" s="86"/>
      <c r="K489" s="86"/>
      <c r="L489" s="86"/>
      <c r="P489" s="86"/>
    </row>
    <row r="490">
      <c r="A490" s="80"/>
      <c r="C490" s="86"/>
      <c r="D490" s="86"/>
      <c r="H490" s="86"/>
      <c r="K490" s="86"/>
      <c r="L490" s="86"/>
      <c r="P490" s="86"/>
    </row>
    <row r="491">
      <c r="A491" s="80"/>
      <c r="C491" s="86"/>
      <c r="D491" s="86"/>
      <c r="H491" s="86"/>
      <c r="K491" s="86"/>
      <c r="L491" s="86"/>
      <c r="P491" s="86"/>
    </row>
    <row r="492">
      <c r="A492" s="80"/>
      <c r="C492" s="86"/>
      <c r="D492" s="86"/>
      <c r="H492" s="86"/>
      <c r="K492" s="86"/>
      <c r="L492" s="86"/>
      <c r="P492" s="86"/>
    </row>
    <row r="493">
      <c r="A493" s="80"/>
      <c r="C493" s="86"/>
      <c r="D493" s="86"/>
      <c r="H493" s="86"/>
      <c r="K493" s="86"/>
      <c r="L493" s="86"/>
      <c r="P493" s="86"/>
    </row>
    <row r="494">
      <c r="A494" s="80"/>
      <c r="C494" s="86"/>
      <c r="D494" s="86"/>
      <c r="H494" s="86"/>
      <c r="K494" s="86"/>
      <c r="L494" s="86"/>
      <c r="P494" s="86"/>
    </row>
    <row r="495">
      <c r="A495" s="80"/>
      <c r="C495" s="86"/>
      <c r="D495" s="86"/>
      <c r="H495" s="86"/>
      <c r="K495" s="86"/>
      <c r="L495" s="86"/>
      <c r="P495" s="86"/>
    </row>
    <row r="496">
      <c r="A496" s="80"/>
      <c r="C496" s="86"/>
      <c r="D496" s="86"/>
      <c r="H496" s="86"/>
      <c r="K496" s="86"/>
      <c r="L496" s="86"/>
      <c r="P496" s="86"/>
    </row>
    <row r="497">
      <c r="A497" s="80"/>
      <c r="C497" s="86"/>
      <c r="D497" s="86"/>
      <c r="H497" s="86"/>
      <c r="K497" s="86"/>
      <c r="L497" s="86"/>
      <c r="P497" s="86"/>
    </row>
    <row r="498">
      <c r="A498" s="80"/>
      <c r="C498" s="86"/>
      <c r="D498" s="86"/>
      <c r="H498" s="86"/>
      <c r="K498" s="86"/>
      <c r="L498" s="86"/>
      <c r="P498" s="86"/>
    </row>
    <row r="499">
      <c r="A499" s="80"/>
      <c r="C499" s="86"/>
      <c r="D499" s="86"/>
      <c r="H499" s="86"/>
      <c r="K499" s="86"/>
      <c r="L499" s="86"/>
      <c r="P499" s="86"/>
    </row>
    <row r="500">
      <c r="A500" s="80"/>
      <c r="C500" s="86"/>
      <c r="D500" s="86"/>
      <c r="H500" s="86"/>
      <c r="K500" s="86"/>
      <c r="L500" s="86"/>
      <c r="P500" s="86"/>
    </row>
    <row r="501">
      <c r="A501" s="80"/>
      <c r="C501" s="86"/>
      <c r="D501" s="86"/>
      <c r="H501" s="86"/>
      <c r="K501" s="86"/>
      <c r="L501" s="86"/>
      <c r="P501" s="86"/>
    </row>
    <row r="502">
      <c r="A502" s="80"/>
      <c r="C502" s="86"/>
      <c r="D502" s="86"/>
      <c r="H502" s="86"/>
      <c r="K502" s="86"/>
      <c r="L502" s="86"/>
      <c r="P502" s="86"/>
    </row>
    <row r="503">
      <c r="A503" s="80"/>
      <c r="C503" s="86"/>
      <c r="D503" s="86"/>
      <c r="H503" s="86"/>
      <c r="K503" s="86"/>
      <c r="L503" s="86"/>
      <c r="P503" s="86"/>
    </row>
    <row r="504">
      <c r="A504" s="80"/>
      <c r="C504" s="86"/>
      <c r="D504" s="86"/>
      <c r="H504" s="86"/>
      <c r="K504" s="86"/>
      <c r="L504" s="86"/>
      <c r="P504" s="86"/>
    </row>
    <row r="505">
      <c r="A505" s="80"/>
      <c r="C505" s="86"/>
      <c r="D505" s="86"/>
      <c r="H505" s="86"/>
      <c r="K505" s="86"/>
      <c r="L505" s="86"/>
      <c r="P505" s="86"/>
    </row>
    <row r="506">
      <c r="A506" s="80"/>
      <c r="C506" s="86"/>
      <c r="D506" s="86"/>
      <c r="H506" s="86"/>
      <c r="K506" s="86"/>
      <c r="L506" s="86"/>
      <c r="P506" s="86"/>
    </row>
    <row r="507">
      <c r="A507" s="80"/>
      <c r="C507" s="86"/>
      <c r="D507" s="86"/>
      <c r="H507" s="86"/>
      <c r="K507" s="86"/>
      <c r="L507" s="86"/>
      <c r="P507" s="86"/>
    </row>
    <row r="508">
      <c r="A508" s="80"/>
      <c r="C508" s="86"/>
      <c r="D508" s="86"/>
      <c r="H508" s="86"/>
      <c r="K508" s="86"/>
      <c r="L508" s="86"/>
      <c r="P508" s="86"/>
    </row>
    <row r="509">
      <c r="A509" s="80"/>
      <c r="C509" s="86"/>
      <c r="D509" s="86"/>
      <c r="H509" s="86"/>
      <c r="K509" s="86"/>
      <c r="L509" s="86"/>
      <c r="P509" s="86"/>
    </row>
    <row r="510">
      <c r="A510" s="80"/>
      <c r="C510" s="86"/>
      <c r="D510" s="86"/>
      <c r="H510" s="86"/>
      <c r="K510" s="86"/>
      <c r="L510" s="86"/>
      <c r="P510" s="86"/>
    </row>
    <row r="511">
      <c r="A511" s="80"/>
      <c r="C511" s="86"/>
      <c r="D511" s="86"/>
      <c r="H511" s="86"/>
      <c r="K511" s="86"/>
      <c r="L511" s="86"/>
      <c r="P511" s="86"/>
    </row>
    <row r="512">
      <c r="A512" s="80"/>
      <c r="C512" s="86"/>
      <c r="D512" s="86"/>
      <c r="H512" s="86"/>
      <c r="K512" s="86"/>
      <c r="L512" s="86"/>
      <c r="P512" s="86"/>
    </row>
    <row r="513">
      <c r="A513" s="80"/>
      <c r="C513" s="86"/>
      <c r="D513" s="86"/>
      <c r="H513" s="86"/>
      <c r="K513" s="86"/>
      <c r="L513" s="86"/>
      <c r="P513" s="86"/>
    </row>
    <row r="514">
      <c r="A514" s="80"/>
      <c r="C514" s="86"/>
      <c r="D514" s="86"/>
      <c r="H514" s="86"/>
      <c r="K514" s="86"/>
      <c r="L514" s="86"/>
      <c r="P514" s="86"/>
    </row>
    <row r="515">
      <c r="A515" s="80"/>
      <c r="C515" s="86"/>
      <c r="D515" s="86"/>
      <c r="H515" s="86"/>
      <c r="K515" s="86"/>
      <c r="L515" s="86"/>
      <c r="P515" s="86"/>
    </row>
    <row r="516">
      <c r="A516" s="80"/>
      <c r="C516" s="86"/>
      <c r="D516" s="86"/>
      <c r="H516" s="86"/>
      <c r="K516" s="86"/>
      <c r="L516" s="86"/>
      <c r="P516" s="86"/>
    </row>
    <row r="517">
      <c r="A517" s="80"/>
      <c r="C517" s="86"/>
      <c r="D517" s="86"/>
      <c r="H517" s="86"/>
      <c r="K517" s="86"/>
      <c r="L517" s="86"/>
      <c r="P517" s="86"/>
    </row>
    <row r="518">
      <c r="A518" s="80"/>
      <c r="C518" s="86"/>
      <c r="D518" s="86"/>
      <c r="H518" s="86"/>
      <c r="K518" s="86"/>
      <c r="L518" s="86"/>
      <c r="P518" s="86"/>
    </row>
    <row r="519">
      <c r="A519" s="80"/>
      <c r="C519" s="86"/>
      <c r="D519" s="86"/>
      <c r="H519" s="86"/>
      <c r="K519" s="86"/>
      <c r="L519" s="86"/>
      <c r="P519" s="86"/>
    </row>
    <row r="520">
      <c r="A520" s="80"/>
      <c r="C520" s="86"/>
      <c r="D520" s="86"/>
      <c r="H520" s="86"/>
      <c r="K520" s="86"/>
      <c r="L520" s="86"/>
      <c r="P520" s="86"/>
    </row>
    <row r="521">
      <c r="A521" s="80"/>
      <c r="C521" s="86"/>
      <c r="D521" s="86"/>
      <c r="H521" s="86"/>
      <c r="K521" s="86"/>
      <c r="L521" s="86"/>
      <c r="P521" s="86"/>
    </row>
    <row r="522">
      <c r="A522" s="80"/>
      <c r="C522" s="86"/>
      <c r="D522" s="86"/>
      <c r="H522" s="86"/>
      <c r="K522" s="86"/>
      <c r="L522" s="86"/>
      <c r="P522" s="86"/>
    </row>
    <row r="523">
      <c r="A523" s="80"/>
      <c r="C523" s="86"/>
      <c r="D523" s="86"/>
      <c r="H523" s="86"/>
      <c r="K523" s="86"/>
      <c r="L523" s="86"/>
      <c r="P523" s="86"/>
    </row>
    <row r="524">
      <c r="A524" s="80"/>
      <c r="C524" s="86"/>
      <c r="D524" s="86"/>
      <c r="H524" s="86"/>
      <c r="K524" s="86"/>
      <c r="L524" s="86"/>
      <c r="P524" s="86"/>
    </row>
    <row r="525">
      <c r="A525" s="80"/>
      <c r="C525" s="86"/>
      <c r="D525" s="86"/>
      <c r="H525" s="86"/>
      <c r="K525" s="86"/>
      <c r="L525" s="86"/>
      <c r="P525" s="86"/>
    </row>
    <row r="526">
      <c r="A526" s="80"/>
      <c r="C526" s="86"/>
      <c r="D526" s="86"/>
      <c r="H526" s="86"/>
      <c r="K526" s="86"/>
      <c r="L526" s="86"/>
      <c r="P526" s="86"/>
    </row>
    <row r="527">
      <c r="A527" s="80"/>
      <c r="C527" s="86"/>
      <c r="D527" s="86"/>
      <c r="H527" s="86"/>
      <c r="K527" s="86"/>
      <c r="L527" s="86"/>
      <c r="P527" s="86"/>
    </row>
    <row r="528">
      <c r="A528" s="80"/>
      <c r="C528" s="86"/>
      <c r="D528" s="86"/>
      <c r="H528" s="86"/>
      <c r="K528" s="86"/>
      <c r="L528" s="86"/>
      <c r="P528" s="86"/>
    </row>
    <row r="529">
      <c r="A529" s="80"/>
      <c r="C529" s="86"/>
      <c r="D529" s="86"/>
      <c r="H529" s="86"/>
      <c r="K529" s="86"/>
      <c r="L529" s="86"/>
      <c r="P529" s="86"/>
    </row>
    <row r="530">
      <c r="A530" s="80"/>
      <c r="C530" s="86"/>
      <c r="D530" s="86"/>
      <c r="H530" s="86"/>
      <c r="K530" s="86"/>
      <c r="L530" s="86"/>
      <c r="P530" s="86"/>
    </row>
    <row r="531">
      <c r="A531" s="80"/>
      <c r="C531" s="86"/>
      <c r="D531" s="86"/>
      <c r="H531" s="86"/>
      <c r="K531" s="86"/>
      <c r="L531" s="86"/>
      <c r="P531" s="86"/>
    </row>
    <row r="532">
      <c r="A532" s="80"/>
      <c r="C532" s="86"/>
      <c r="D532" s="86"/>
      <c r="H532" s="86"/>
      <c r="K532" s="86"/>
      <c r="L532" s="86"/>
      <c r="P532" s="86"/>
    </row>
    <row r="533">
      <c r="A533" s="80"/>
      <c r="C533" s="86"/>
      <c r="D533" s="86"/>
      <c r="H533" s="86"/>
      <c r="K533" s="86"/>
      <c r="L533" s="86"/>
      <c r="P533" s="86"/>
    </row>
    <row r="534">
      <c r="A534" s="80"/>
      <c r="C534" s="86"/>
      <c r="D534" s="86"/>
      <c r="H534" s="86"/>
      <c r="K534" s="86"/>
      <c r="L534" s="86"/>
      <c r="P534" s="86"/>
    </row>
    <row r="535">
      <c r="A535" s="80"/>
      <c r="C535" s="86"/>
      <c r="D535" s="86"/>
      <c r="H535" s="86"/>
      <c r="K535" s="86"/>
      <c r="L535" s="86"/>
      <c r="P535" s="86"/>
    </row>
    <row r="536">
      <c r="A536" s="80"/>
      <c r="C536" s="86"/>
      <c r="D536" s="86"/>
      <c r="H536" s="86"/>
      <c r="K536" s="86"/>
      <c r="L536" s="86"/>
      <c r="P536" s="86"/>
    </row>
    <row r="537">
      <c r="A537" s="80"/>
      <c r="C537" s="86"/>
      <c r="D537" s="86"/>
      <c r="H537" s="86"/>
      <c r="K537" s="86"/>
      <c r="L537" s="86"/>
      <c r="P537" s="86"/>
    </row>
    <row r="538">
      <c r="A538" s="80"/>
      <c r="C538" s="86"/>
      <c r="D538" s="86"/>
      <c r="H538" s="86"/>
      <c r="K538" s="86"/>
      <c r="L538" s="86"/>
      <c r="P538" s="86"/>
    </row>
    <row r="539">
      <c r="A539" s="80"/>
      <c r="C539" s="86"/>
      <c r="D539" s="86"/>
      <c r="H539" s="86"/>
      <c r="K539" s="86"/>
      <c r="L539" s="86"/>
      <c r="P539" s="86"/>
    </row>
    <row r="540">
      <c r="A540" s="80"/>
      <c r="C540" s="86"/>
      <c r="D540" s="86"/>
      <c r="H540" s="86"/>
      <c r="K540" s="86"/>
      <c r="L540" s="86"/>
      <c r="P540" s="86"/>
    </row>
    <row r="541">
      <c r="A541" s="80"/>
      <c r="C541" s="86"/>
      <c r="D541" s="86"/>
      <c r="H541" s="86"/>
      <c r="K541" s="86"/>
      <c r="L541" s="86"/>
      <c r="P541" s="86"/>
    </row>
    <row r="542">
      <c r="A542" s="80"/>
      <c r="C542" s="86"/>
      <c r="D542" s="86"/>
      <c r="H542" s="86"/>
      <c r="K542" s="86"/>
      <c r="L542" s="86"/>
      <c r="P542" s="86"/>
    </row>
    <row r="543">
      <c r="A543" s="80"/>
      <c r="C543" s="86"/>
      <c r="D543" s="86"/>
      <c r="H543" s="86"/>
      <c r="K543" s="86"/>
      <c r="L543" s="86"/>
      <c r="P543" s="86"/>
    </row>
    <row r="544">
      <c r="A544" s="80"/>
      <c r="C544" s="86"/>
      <c r="D544" s="86"/>
      <c r="H544" s="86"/>
      <c r="K544" s="86"/>
      <c r="L544" s="86"/>
      <c r="P544" s="86"/>
    </row>
    <row r="545">
      <c r="A545" s="80"/>
      <c r="C545" s="86"/>
      <c r="D545" s="86"/>
      <c r="H545" s="86"/>
      <c r="K545" s="86"/>
      <c r="L545" s="86"/>
      <c r="P545" s="86"/>
    </row>
    <row r="546">
      <c r="A546" s="80"/>
      <c r="C546" s="86"/>
      <c r="D546" s="86"/>
      <c r="H546" s="86"/>
      <c r="K546" s="86"/>
      <c r="L546" s="86"/>
      <c r="P546" s="86"/>
    </row>
    <row r="547">
      <c r="A547" s="80"/>
      <c r="C547" s="86"/>
      <c r="D547" s="86"/>
      <c r="H547" s="86"/>
      <c r="K547" s="86"/>
      <c r="L547" s="86"/>
      <c r="P547" s="86"/>
    </row>
    <row r="548">
      <c r="A548" s="80"/>
      <c r="C548" s="86"/>
      <c r="D548" s="86"/>
      <c r="H548" s="86"/>
      <c r="K548" s="86"/>
      <c r="L548" s="86"/>
      <c r="P548" s="86"/>
    </row>
    <row r="549">
      <c r="A549" s="80"/>
      <c r="C549" s="86"/>
      <c r="D549" s="86"/>
      <c r="H549" s="86"/>
      <c r="K549" s="86"/>
      <c r="L549" s="86"/>
      <c r="P549" s="86"/>
    </row>
    <row r="550">
      <c r="A550" s="80"/>
      <c r="C550" s="86"/>
      <c r="D550" s="86"/>
      <c r="H550" s="86"/>
      <c r="K550" s="86"/>
      <c r="L550" s="86"/>
      <c r="P550" s="86"/>
    </row>
    <row r="551">
      <c r="A551" s="80"/>
      <c r="C551" s="86"/>
      <c r="D551" s="86"/>
      <c r="H551" s="86"/>
      <c r="K551" s="86"/>
      <c r="L551" s="86"/>
      <c r="P551" s="86"/>
    </row>
    <row r="552">
      <c r="A552" s="80"/>
      <c r="C552" s="86"/>
      <c r="D552" s="86"/>
      <c r="H552" s="86"/>
      <c r="K552" s="86"/>
      <c r="L552" s="86"/>
      <c r="P552" s="86"/>
    </row>
    <row r="553">
      <c r="A553" s="80"/>
      <c r="C553" s="86"/>
      <c r="D553" s="86"/>
      <c r="H553" s="86"/>
      <c r="K553" s="86"/>
      <c r="L553" s="86"/>
      <c r="P553" s="86"/>
    </row>
    <row r="554">
      <c r="A554" s="80"/>
      <c r="C554" s="86"/>
      <c r="D554" s="86"/>
      <c r="H554" s="86"/>
      <c r="K554" s="86"/>
      <c r="L554" s="86"/>
      <c r="P554" s="86"/>
    </row>
    <row r="555">
      <c r="A555" s="80"/>
      <c r="C555" s="86"/>
      <c r="D555" s="86"/>
      <c r="H555" s="86"/>
      <c r="K555" s="86"/>
      <c r="L555" s="86"/>
      <c r="P555" s="86"/>
    </row>
    <row r="556">
      <c r="A556" s="80"/>
      <c r="C556" s="86"/>
      <c r="D556" s="86"/>
      <c r="H556" s="86"/>
      <c r="K556" s="86"/>
      <c r="L556" s="86"/>
      <c r="P556" s="86"/>
    </row>
    <row r="557">
      <c r="A557" s="80"/>
      <c r="C557" s="86"/>
      <c r="D557" s="86"/>
      <c r="H557" s="86"/>
      <c r="K557" s="86"/>
      <c r="L557" s="86"/>
      <c r="P557" s="86"/>
    </row>
    <row r="558">
      <c r="A558" s="80"/>
      <c r="C558" s="86"/>
      <c r="D558" s="86"/>
      <c r="H558" s="86"/>
      <c r="K558" s="86"/>
      <c r="L558" s="86"/>
      <c r="P558" s="86"/>
    </row>
    <row r="559">
      <c r="A559" s="80"/>
      <c r="C559" s="86"/>
      <c r="D559" s="86"/>
      <c r="H559" s="86"/>
      <c r="K559" s="86"/>
      <c r="L559" s="86"/>
      <c r="P559" s="86"/>
    </row>
    <row r="560">
      <c r="A560" s="80"/>
      <c r="C560" s="86"/>
      <c r="D560" s="86"/>
      <c r="H560" s="86"/>
      <c r="K560" s="86"/>
      <c r="L560" s="86"/>
      <c r="P560" s="86"/>
    </row>
    <row r="561">
      <c r="A561" s="80"/>
      <c r="C561" s="86"/>
      <c r="D561" s="86"/>
      <c r="H561" s="86"/>
      <c r="K561" s="86"/>
      <c r="L561" s="86"/>
      <c r="P561" s="86"/>
    </row>
    <row r="562">
      <c r="A562" s="80"/>
      <c r="C562" s="86"/>
      <c r="D562" s="86"/>
      <c r="H562" s="86"/>
      <c r="K562" s="86"/>
      <c r="L562" s="86"/>
      <c r="P562" s="86"/>
    </row>
    <row r="563">
      <c r="A563" s="80"/>
      <c r="C563" s="86"/>
      <c r="D563" s="86"/>
      <c r="H563" s="86"/>
      <c r="K563" s="86"/>
      <c r="L563" s="86"/>
      <c r="P563" s="86"/>
    </row>
    <row r="564">
      <c r="A564" s="80"/>
      <c r="C564" s="86"/>
      <c r="D564" s="86"/>
      <c r="H564" s="86"/>
      <c r="K564" s="86"/>
      <c r="L564" s="86"/>
      <c r="P564" s="86"/>
    </row>
    <row r="565">
      <c r="A565" s="80"/>
      <c r="C565" s="86"/>
      <c r="D565" s="86"/>
      <c r="H565" s="86"/>
      <c r="K565" s="86"/>
      <c r="L565" s="86"/>
      <c r="P565" s="86"/>
    </row>
    <row r="566">
      <c r="A566" s="80"/>
      <c r="C566" s="86"/>
      <c r="D566" s="86"/>
      <c r="H566" s="86"/>
      <c r="K566" s="86"/>
      <c r="L566" s="86"/>
      <c r="P566" s="86"/>
    </row>
    <row r="567">
      <c r="A567" s="80"/>
      <c r="C567" s="86"/>
      <c r="D567" s="86"/>
      <c r="H567" s="86"/>
      <c r="K567" s="86"/>
      <c r="L567" s="86"/>
      <c r="P567" s="86"/>
    </row>
    <row r="568">
      <c r="A568" s="80"/>
      <c r="C568" s="86"/>
      <c r="D568" s="86"/>
      <c r="H568" s="86"/>
      <c r="K568" s="86"/>
      <c r="L568" s="86"/>
      <c r="P568" s="86"/>
    </row>
    <row r="569">
      <c r="A569" s="80"/>
      <c r="C569" s="86"/>
      <c r="D569" s="86"/>
      <c r="H569" s="86"/>
      <c r="K569" s="86"/>
      <c r="L569" s="86"/>
      <c r="P569" s="86"/>
    </row>
    <row r="570">
      <c r="A570" s="80"/>
      <c r="C570" s="86"/>
      <c r="D570" s="86"/>
      <c r="H570" s="86"/>
      <c r="K570" s="86"/>
      <c r="L570" s="86"/>
      <c r="P570" s="86"/>
    </row>
    <row r="571">
      <c r="A571" s="80"/>
      <c r="C571" s="86"/>
      <c r="D571" s="86"/>
      <c r="H571" s="86"/>
      <c r="K571" s="86"/>
      <c r="L571" s="86"/>
      <c r="P571" s="86"/>
    </row>
    <row r="572">
      <c r="A572" s="80"/>
      <c r="C572" s="86"/>
      <c r="D572" s="86"/>
      <c r="H572" s="86"/>
      <c r="K572" s="86"/>
      <c r="L572" s="86"/>
      <c r="P572" s="86"/>
    </row>
    <row r="573">
      <c r="A573" s="80"/>
      <c r="C573" s="86"/>
      <c r="D573" s="86"/>
      <c r="H573" s="86"/>
      <c r="K573" s="86"/>
      <c r="L573" s="86"/>
      <c r="P573" s="86"/>
    </row>
    <row r="574">
      <c r="A574" s="80"/>
      <c r="C574" s="86"/>
      <c r="D574" s="86"/>
      <c r="H574" s="86"/>
      <c r="K574" s="86"/>
      <c r="L574" s="86"/>
      <c r="P574" s="86"/>
    </row>
    <row r="575">
      <c r="A575" s="80"/>
      <c r="C575" s="86"/>
      <c r="D575" s="86"/>
      <c r="H575" s="86"/>
      <c r="K575" s="86"/>
      <c r="L575" s="86"/>
      <c r="P575" s="86"/>
    </row>
    <row r="576">
      <c r="A576" s="80"/>
      <c r="C576" s="86"/>
      <c r="D576" s="86"/>
      <c r="H576" s="86"/>
      <c r="K576" s="86"/>
      <c r="L576" s="86"/>
      <c r="P576" s="86"/>
    </row>
    <row r="577">
      <c r="A577" s="80"/>
      <c r="C577" s="86"/>
      <c r="D577" s="86"/>
      <c r="H577" s="86"/>
      <c r="K577" s="86"/>
      <c r="L577" s="86"/>
      <c r="P577" s="86"/>
    </row>
    <row r="578">
      <c r="A578" s="80"/>
      <c r="C578" s="86"/>
      <c r="D578" s="86"/>
      <c r="H578" s="86"/>
      <c r="K578" s="86"/>
      <c r="L578" s="86"/>
      <c r="P578" s="86"/>
    </row>
    <row r="579">
      <c r="A579" s="80"/>
      <c r="C579" s="86"/>
      <c r="D579" s="86"/>
      <c r="H579" s="86"/>
      <c r="K579" s="86"/>
      <c r="L579" s="86"/>
      <c r="P579" s="86"/>
    </row>
    <row r="580">
      <c r="A580" s="80"/>
      <c r="C580" s="86"/>
      <c r="D580" s="86"/>
      <c r="H580" s="86"/>
      <c r="K580" s="86"/>
      <c r="L580" s="86"/>
      <c r="P580" s="86"/>
    </row>
    <row r="581">
      <c r="A581" s="80"/>
      <c r="C581" s="86"/>
      <c r="D581" s="86"/>
      <c r="H581" s="86"/>
      <c r="K581" s="86"/>
      <c r="L581" s="86"/>
      <c r="P581" s="86"/>
    </row>
    <row r="582">
      <c r="A582" s="80"/>
      <c r="C582" s="86"/>
      <c r="D582" s="86"/>
      <c r="H582" s="86"/>
      <c r="K582" s="86"/>
      <c r="L582" s="86"/>
      <c r="P582" s="86"/>
    </row>
    <row r="583">
      <c r="A583" s="80"/>
      <c r="C583" s="86"/>
      <c r="D583" s="86"/>
      <c r="H583" s="86"/>
      <c r="K583" s="86"/>
      <c r="L583" s="86"/>
      <c r="P583" s="86"/>
    </row>
    <row r="584">
      <c r="A584" s="80"/>
      <c r="C584" s="86"/>
      <c r="D584" s="86"/>
      <c r="H584" s="86"/>
      <c r="K584" s="86"/>
      <c r="L584" s="86"/>
      <c r="P584" s="86"/>
    </row>
    <row r="585">
      <c r="A585" s="80"/>
      <c r="C585" s="86"/>
      <c r="D585" s="86"/>
      <c r="H585" s="86"/>
      <c r="K585" s="86"/>
      <c r="L585" s="86"/>
      <c r="P585" s="86"/>
    </row>
    <row r="586">
      <c r="A586" s="80"/>
      <c r="C586" s="86"/>
      <c r="D586" s="86"/>
      <c r="H586" s="86"/>
      <c r="K586" s="86"/>
      <c r="L586" s="86"/>
      <c r="P586" s="86"/>
    </row>
    <row r="587">
      <c r="A587" s="80"/>
      <c r="C587" s="86"/>
      <c r="D587" s="86"/>
      <c r="H587" s="86"/>
      <c r="K587" s="86"/>
      <c r="L587" s="86"/>
      <c r="P587" s="86"/>
    </row>
    <row r="588">
      <c r="A588" s="80"/>
      <c r="C588" s="86"/>
      <c r="D588" s="86"/>
      <c r="H588" s="86"/>
      <c r="K588" s="86"/>
      <c r="L588" s="86"/>
      <c r="P588" s="86"/>
    </row>
    <row r="589">
      <c r="A589" s="80"/>
      <c r="C589" s="86"/>
      <c r="D589" s="86"/>
      <c r="H589" s="86"/>
      <c r="K589" s="86"/>
      <c r="L589" s="86"/>
      <c r="P589" s="86"/>
    </row>
    <row r="590">
      <c r="A590" s="80"/>
      <c r="C590" s="86"/>
      <c r="D590" s="86"/>
      <c r="H590" s="86"/>
      <c r="K590" s="86"/>
      <c r="L590" s="86"/>
      <c r="P590" s="86"/>
    </row>
    <row r="591">
      <c r="A591" s="80"/>
      <c r="C591" s="86"/>
      <c r="D591" s="86"/>
      <c r="H591" s="86"/>
      <c r="K591" s="86"/>
      <c r="L591" s="86"/>
      <c r="P591" s="86"/>
    </row>
    <row r="592">
      <c r="A592" s="80"/>
      <c r="C592" s="86"/>
      <c r="D592" s="86"/>
      <c r="H592" s="86"/>
      <c r="K592" s="86"/>
      <c r="L592" s="86"/>
      <c r="P592" s="86"/>
    </row>
    <row r="593">
      <c r="A593" s="80"/>
      <c r="C593" s="86"/>
      <c r="D593" s="86"/>
      <c r="H593" s="86"/>
      <c r="K593" s="86"/>
      <c r="L593" s="86"/>
      <c r="P593" s="86"/>
    </row>
    <row r="594">
      <c r="A594" s="80"/>
      <c r="C594" s="86"/>
      <c r="D594" s="86"/>
      <c r="H594" s="86"/>
      <c r="K594" s="86"/>
      <c r="L594" s="86"/>
      <c r="P594" s="86"/>
    </row>
    <row r="595">
      <c r="A595" s="80"/>
      <c r="C595" s="86"/>
      <c r="D595" s="86"/>
      <c r="H595" s="86"/>
      <c r="K595" s="86"/>
      <c r="L595" s="86"/>
      <c r="P595" s="86"/>
    </row>
    <row r="596">
      <c r="A596" s="80"/>
      <c r="C596" s="86"/>
      <c r="D596" s="86"/>
      <c r="H596" s="86"/>
      <c r="K596" s="86"/>
      <c r="L596" s="86"/>
      <c r="P596" s="86"/>
    </row>
    <row r="597">
      <c r="A597" s="80"/>
      <c r="C597" s="86"/>
      <c r="D597" s="86"/>
      <c r="H597" s="86"/>
      <c r="K597" s="86"/>
      <c r="L597" s="86"/>
      <c r="P597" s="86"/>
    </row>
    <row r="598">
      <c r="A598" s="80"/>
      <c r="C598" s="86"/>
      <c r="D598" s="86"/>
      <c r="H598" s="86"/>
      <c r="K598" s="86"/>
      <c r="L598" s="86"/>
      <c r="P598" s="86"/>
    </row>
    <row r="599">
      <c r="A599" s="80"/>
      <c r="C599" s="86"/>
      <c r="D599" s="86"/>
      <c r="H599" s="86"/>
      <c r="K599" s="86"/>
      <c r="L599" s="86"/>
      <c r="P599" s="86"/>
    </row>
    <row r="600">
      <c r="A600" s="80"/>
      <c r="C600" s="86"/>
      <c r="D600" s="86"/>
      <c r="H600" s="86"/>
      <c r="K600" s="86"/>
      <c r="L600" s="86"/>
      <c r="P600" s="86"/>
    </row>
    <row r="601">
      <c r="A601" s="80"/>
      <c r="C601" s="86"/>
      <c r="D601" s="86"/>
      <c r="H601" s="86"/>
      <c r="K601" s="86"/>
      <c r="L601" s="86"/>
      <c r="P601" s="86"/>
    </row>
    <row r="602">
      <c r="A602" s="80"/>
      <c r="C602" s="86"/>
      <c r="D602" s="86"/>
      <c r="H602" s="86"/>
      <c r="K602" s="86"/>
      <c r="L602" s="86"/>
      <c r="P602" s="86"/>
    </row>
    <row r="603">
      <c r="A603" s="80"/>
      <c r="C603" s="86"/>
      <c r="D603" s="86"/>
      <c r="H603" s="86"/>
      <c r="K603" s="86"/>
      <c r="L603" s="86"/>
      <c r="P603" s="86"/>
    </row>
    <row r="604">
      <c r="A604" s="80"/>
      <c r="C604" s="86"/>
      <c r="D604" s="86"/>
      <c r="H604" s="86"/>
      <c r="K604" s="86"/>
      <c r="L604" s="86"/>
      <c r="P604" s="86"/>
    </row>
    <row r="605">
      <c r="A605" s="80"/>
      <c r="C605" s="86"/>
      <c r="D605" s="86"/>
      <c r="H605" s="86"/>
      <c r="K605" s="86"/>
      <c r="L605" s="86"/>
      <c r="P605" s="86"/>
    </row>
    <row r="606">
      <c r="A606" s="80"/>
      <c r="C606" s="86"/>
      <c r="D606" s="86"/>
      <c r="H606" s="86"/>
      <c r="K606" s="86"/>
      <c r="L606" s="86"/>
      <c r="P606" s="86"/>
    </row>
    <row r="607">
      <c r="A607" s="80"/>
      <c r="C607" s="86"/>
      <c r="D607" s="86"/>
      <c r="H607" s="86"/>
      <c r="K607" s="86"/>
      <c r="L607" s="86"/>
      <c r="P607" s="86"/>
    </row>
    <row r="608">
      <c r="A608" s="80"/>
      <c r="C608" s="86"/>
      <c r="D608" s="86"/>
      <c r="H608" s="86"/>
      <c r="K608" s="86"/>
      <c r="L608" s="86"/>
      <c r="P608" s="86"/>
    </row>
    <row r="609">
      <c r="A609" s="80"/>
      <c r="C609" s="86"/>
      <c r="D609" s="86"/>
      <c r="H609" s="86"/>
      <c r="K609" s="86"/>
      <c r="L609" s="86"/>
      <c r="P609" s="86"/>
    </row>
    <row r="610">
      <c r="A610" s="80"/>
      <c r="C610" s="86"/>
      <c r="D610" s="86"/>
      <c r="H610" s="86"/>
      <c r="K610" s="86"/>
      <c r="L610" s="86"/>
      <c r="P610" s="86"/>
    </row>
    <row r="611">
      <c r="A611" s="80"/>
      <c r="C611" s="86"/>
      <c r="D611" s="86"/>
      <c r="H611" s="86"/>
      <c r="K611" s="86"/>
      <c r="L611" s="86"/>
      <c r="P611" s="86"/>
    </row>
    <row r="612">
      <c r="A612" s="80"/>
      <c r="C612" s="86"/>
      <c r="D612" s="86"/>
      <c r="H612" s="86"/>
      <c r="K612" s="86"/>
      <c r="L612" s="86"/>
      <c r="P612" s="86"/>
    </row>
    <row r="613">
      <c r="A613" s="80"/>
      <c r="C613" s="86"/>
      <c r="D613" s="86"/>
      <c r="H613" s="86"/>
      <c r="K613" s="86"/>
      <c r="L613" s="86"/>
      <c r="P613" s="86"/>
    </row>
    <row r="614">
      <c r="A614" s="80"/>
      <c r="C614" s="86"/>
      <c r="D614" s="86"/>
      <c r="H614" s="86"/>
      <c r="K614" s="86"/>
      <c r="L614" s="86"/>
      <c r="P614" s="86"/>
    </row>
    <row r="615">
      <c r="A615" s="80"/>
      <c r="C615" s="86"/>
      <c r="D615" s="86"/>
      <c r="H615" s="86"/>
      <c r="K615" s="86"/>
      <c r="L615" s="86"/>
      <c r="P615" s="86"/>
    </row>
    <row r="616">
      <c r="A616" s="80"/>
      <c r="C616" s="86"/>
      <c r="D616" s="86"/>
      <c r="H616" s="86"/>
      <c r="K616" s="86"/>
      <c r="L616" s="86"/>
      <c r="P616" s="86"/>
    </row>
    <row r="617">
      <c r="A617" s="80"/>
      <c r="C617" s="86"/>
      <c r="D617" s="86"/>
      <c r="H617" s="86"/>
      <c r="K617" s="86"/>
      <c r="L617" s="86"/>
      <c r="P617" s="86"/>
    </row>
    <row r="618">
      <c r="A618" s="80"/>
      <c r="C618" s="86"/>
      <c r="D618" s="86"/>
      <c r="H618" s="86"/>
      <c r="K618" s="86"/>
      <c r="L618" s="86"/>
      <c r="P618" s="86"/>
    </row>
    <row r="619">
      <c r="A619" s="80"/>
      <c r="C619" s="86"/>
      <c r="D619" s="86"/>
      <c r="H619" s="86"/>
      <c r="K619" s="86"/>
      <c r="L619" s="86"/>
      <c r="P619" s="86"/>
    </row>
    <row r="620">
      <c r="A620" s="80"/>
      <c r="C620" s="86"/>
      <c r="D620" s="86"/>
      <c r="H620" s="86"/>
      <c r="K620" s="86"/>
      <c r="L620" s="86"/>
      <c r="P620" s="86"/>
    </row>
    <row r="621">
      <c r="A621" s="80"/>
      <c r="C621" s="86"/>
      <c r="D621" s="86"/>
      <c r="H621" s="86"/>
      <c r="K621" s="86"/>
      <c r="L621" s="86"/>
      <c r="P621" s="86"/>
    </row>
    <row r="622">
      <c r="A622" s="80"/>
      <c r="C622" s="86"/>
      <c r="D622" s="86"/>
      <c r="H622" s="86"/>
      <c r="K622" s="86"/>
      <c r="L622" s="86"/>
      <c r="P622" s="86"/>
    </row>
    <row r="623">
      <c r="A623" s="80"/>
      <c r="C623" s="86"/>
      <c r="D623" s="86"/>
      <c r="H623" s="86"/>
      <c r="K623" s="86"/>
      <c r="L623" s="86"/>
      <c r="P623" s="86"/>
    </row>
    <row r="624">
      <c r="A624" s="80"/>
      <c r="C624" s="86"/>
      <c r="D624" s="86"/>
      <c r="H624" s="86"/>
      <c r="K624" s="86"/>
      <c r="L624" s="86"/>
      <c r="P624" s="86"/>
    </row>
    <row r="625">
      <c r="A625" s="80"/>
      <c r="C625" s="86"/>
      <c r="D625" s="86"/>
      <c r="H625" s="86"/>
      <c r="K625" s="86"/>
      <c r="L625" s="86"/>
      <c r="P625" s="86"/>
    </row>
    <row r="626">
      <c r="A626" s="80"/>
      <c r="C626" s="86"/>
      <c r="D626" s="86"/>
      <c r="H626" s="86"/>
      <c r="K626" s="86"/>
      <c r="L626" s="86"/>
      <c r="P626" s="86"/>
    </row>
    <row r="627">
      <c r="A627" s="80"/>
      <c r="C627" s="86"/>
      <c r="D627" s="86"/>
      <c r="H627" s="86"/>
      <c r="K627" s="86"/>
      <c r="L627" s="86"/>
      <c r="P627" s="86"/>
    </row>
    <row r="628">
      <c r="A628" s="80"/>
      <c r="C628" s="86"/>
      <c r="D628" s="86"/>
      <c r="H628" s="86"/>
      <c r="K628" s="86"/>
      <c r="L628" s="86"/>
      <c r="P628" s="86"/>
    </row>
    <row r="629">
      <c r="A629" s="80"/>
      <c r="C629" s="86"/>
      <c r="D629" s="86"/>
      <c r="H629" s="86"/>
      <c r="K629" s="86"/>
      <c r="L629" s="86"/>
      <c r="P629" s="86"/>
    </row>
    <row r="630">
      <c r="A630" s="80"/>
      <c r="C630" s="86"/>
      <c r="D630" s="86"/>
      <c r="H630" s="86"/>
      <c r="K630" s="86"/>
      <c r="L630" s="86"/>
      <c r="P630" s="86"/>
    </row>
    <row r="631">
      <c r="A631" s="80"/>
      <c r="C631" s="86"/>
      <c r="D631" s="86"/>
      <c r="H631" s="86"/>
      <c r="K631" s="86"/>
      <c r="L631" s="86"/>
      <c r="P631" s="86"/>
    </row>
    <row r="632">
      <c r="A632" s="80"/>
      <c r="C632" s="86"/>
      <c r="D632" s="86"/>
      <c r="H632" s="86"/>
      <c r="K632" s="86"/>
      <c r="L632" s="86"/>
      <c r="P632" s="86"/>
    </row>
    <row r="633">
      <c r="A633" s="80"/>
      <c r="C633" s="86"/>
      <c r="D633" s="86"/>
      <c r="H633" s="86"/>
      <c r="K633" s="86"/>
      <c r="L633" s="86"/>
      <c r="P633" s="86"/>
    </row>
    <row r="634">
      <c r="A634" s="80"/>
      <c r="C634" s="86"/>
      <c r="D634" s="86"/>
      <c r="H634" s="86"/>
      <c r="K634" s="86"/>
      <c r="L634" s="86"/>
      <c r="P634" s="86"/>
    </row>
    <row r="635">
      <c r="A635" s="80"/>
      <c r="C635" s="86"/>
      <c r="D635" s="86"/>
      <c r="H635" s="86"/>
      <c r="K635" s="86"/>
      <c r="L635" s="86"/>
      <c r="P635" s="86"/>
    </row>
    <row r="636">
      <c r="A636" s="80"/>
      <c r="C636" s="86"/>
      <c r="D636" s="86"/>
      <c r="H636" s="86"/>
      <c r="K636" s="86"/>
      <c r="L636" s="86"/>
      <c r="P636" s="86"/>
    </row>
    <row r="637">
      <c r="A637" s="80"/>
      <c r="C637" s="86"/>
      <c r="D637" s="86"/>
      <c r="H637" s="86"/>
      <c r="K637" s="86"/>
      <c r="L637" s="86"/>
      <c r="P637" s="86"/>
    </row>
    <row r="638">
      <c r="A638" s="80"/>
      <c r="C638" s="86"/>
      <c r="D638" s="86"/>
      <c r="H638" s="86"/>
      <c r="K638" s="86"/>
      <c r="L638" s="86"/>
      <c r="P638" s="86"/>
    </row>
    <row r="639">
      <c r="A639" s="80"/>
      <c r="C639" s="86"/>
      <c r="D639" s="86"/>
      <c r="H639" s="86"/>
      <c r="K639" s="86"/>
      <c r="L639" s="86"/>
      <c r="P639" s="86"/>
    </row>
    <row r="640">
      <c r="A640" s="80"/>
      <c r="C640" s="86"/>
      <c r="D640" s="86"/>
      <c r="H640" s="86"/>
      <c r="K640" s="86"/>
      <c r="L640" s="86"/>
      <c r="P640" s="86"/>
    </row>
    <row r="641">
      <c r="A641" s="80"/>
      <c r="C641" s="86"/>
      <c r="D641" s="86"/>
      <c r="H641" s="86"/>
      <c r="K641" s="86"/>
      <c r="L641" s="86"/>
      <c r="P641" s="86"/>
    </row>
    <row r="642">
      <c r="A642" s="80"/>
      <c r="C642" s="86"/>
      <c r="D642" s="86"/>
      <c r="H642" s="86"/>
      <c r="K642" s="86"/>
      <c r="L642" s="86"/>
      <c r="P642" s="86"/>
    </row>
    <row r="643">
      <c r="A643" s="80"/>
      <c r="C643" s="86"/>
      <c r="D643" s="86"/>
      <c r="H643" s="86"/>
      <c r="K643" s="86"/>
      <c r="L643" s="86"/>
      <c r="P643" s="86"/>
    </row>
    <row r="644">
      <c r="A644" s="80"/>
      <c r="C644" s="86"/>
      <c r="D644" s="86"/>
      <c r="H644" s="86"/>
      <c r="K644" s="86"/>
      <c r="L644" s="86"/>
      <c r="P644" s="86"/>
    </row>
    <row r="645">
      <c r="A645" s="80"/>
      <c r="C645" s="86"/>
      <c r="D645" s="86"/>
      <c r="H645" s="86"/>
      <c r="K645" s="86"/>
      <c r="L645" s="86"/>
      <c r="P645" s="86"/>
    </row>
    <row r="646">
      <c r="A646" s="80"/>
      <c r="C646" s="86"/>
      <c r="D646" s="86"/>
      <c r="H646" s="86"/>
      <c r="K646" s="86"/>
      <c r="L646" s="86"/>
      <c r="P646" s="86"/>
    </row>
    <row r="647">
      <c r="A647" s="80"/>
      <c r="C647" s="86"/>
      <c r="D647" s="86"/>
      <c r="H647" s="86"/>
      <c r="K647" s="86"/>
      <c r="L647" s="86"/>
      <c r="P647" s="86"/>
    </row>
    <row r="648">
      <c r="A648" s="80"/>
      <c r="C648" s="86"/>
      <c r="D648" s="86"/>
      <c r="H648" s="86"/>
      <c r="K648" s="86"/>
      <c r="L648" s="86"/>
      <c r="P648" s="86"/>
    </row>
    <row r="649">
      <c r="A649" s="80"/>
      <c r="C649" s="86"/>
      <c r="D649" s="86"/>
      <c r="H649" s="86"/>
      <c r="K649" s="86"/>
      <c r="L649" s="86"/>
      <c r="P649" s="86"/>
    </row>
    <row r="650">
      <c r="A650" s="80"/>
      <c r="C650" s="86"/>
      <c r="D650" s="86"/>
      <c r="H650" s="86"/>
      <c r="K650" s="86"/>
      <c r="L650" s="86"/>
      <c r="P650" s="86"/>
    </row>
    <row r="651">
      <c r="A651" s="80"/>
      <c r="C651" s="86"/>
      <c r="D651" s="86"/>
      <c r="H651" s="86"/>
      <c r="K651" s="86"/>
      <c r="L651" s="86"/>
      <c r="P651" s="86"/>
    </row>
    <row r="652">
      <c r="A652" s="80"/>
      <c r="C652" s="86"/>
      <c r="D652" s="86"/>
      <c r="H652" s="86"/>
      <c r="K652" s="86"/>
      <c r="L652" s="86"/>
      <c r="P652" s="86"/>
    </row>
    <row r="653">
      <c r="A653" s="80"/>
      <c r="C653" s="86"/>
      <c r="D653" s="86"/>
      <c r="H653" s="86"/>
      <c r="K653" s="86"/>
      <c r="L653" s="86"/>
      <c r="P653" s="86"/>
    </row>
    <row r="654">
      <c r="A654" s="80"/>
      <c r="C654" s="86"/>
      <c r="D654" s="86"/>
      <c r="H654" s="86"/>
      <c r="K654" s="86"/>
      <c r="L654" s="86"/>
      <c r="P654" s="86"/>
    </row>
    <row r="655">
      <c r="A655" s="80"/>
      <c r="C655" s="86"/>
      <c r="D655" s="86"/>
      <c r="H655" s="86"/>
      <c r="K655" s="86"/>
      <c r="L655" s="86"/>
      <c r="P655" s="86"/>
    </row>
    <row r="656">
      <c r="A656" s="80"/>
      <c r="C656" s="86"/>
      <c r="D656" s="86"/>
      <c r="H656" s="86"/>
      <c r="K656" s="86"/>
      <c r="L656" s="86"/>
      <c r="P656" s="86"/>
    </row>
    <row r="657">
      <c r="A657" s="80"/>
      <c r="C657" s="86"/>
      <c r="D657" s="86"/>
      <c r="H657" s="86"/>
      <c r="K657" s="86"/>
      <c r="L657" s="86"/>
      <c r="P657" s="86"/>
    </row>
    <row r="658">
      <c r="A658" s="80"/>
      <c r="C658" s="86"/>
      <c r="D658" s="86"/>
      <c r="H658" s="86"/>
      <c r="K658" s="86"/>
      <c r="L658" s="86"/>
      <c r="P658" s="86"/>
    </row>
    <row r="659">
      <c r="A659" s="80"/>
      <c r="C659" s="86"/>
      <c r="D659" s="86"/>
      <c r="H659" s="86"/>
      <c r="K659" s="86"/>
      <c r="L659" s="86"/>
      <c r="P659" s="86"/>
    </row>
    <row r="660">
      <c r="A660" s="80"/>
      <c r="C660" s="86"/>
      <c r="D660" s="86"/>
      <c r="H660" s="86"/>
      <c r="K660" s="86"/>
      <c r="L660" s="86"/>
      <c r="P660" s="86"/>
    </row>
    <row r="661">
      <c r="A661" s="80"/>
      <c r="C661" s="86"/>
      <c r="D661" s="86"/>
      <c r="H661" s="86"/>
      <c r="K661" s="86"/>
      <c r="L661" s="86"/>
      <c r="P661" s="86"/>
    </row>
    <row r="662">
      <c r="A662" s="80"/>
      <c r="C662" s="86"/>
      <c r="D662" s="86"/>
      <c r="H662" s="86"/>
      <c r="K662" s="86"/>
      <c r="L662" s="86"/>
      <c r="P662" s="86"/>
    </row>
    <row r="663">
      <c r="A663" s="80"/>
      <c r="C663" s="86"/>
      <c r="D663" s="86"/>
      <c r="H663" s="86"/>
      <c r="K663" s="86"/>
      <c r="L663" s="86"/>
      <c r="P663" s="86"/>
    </row>
    <row r="664">
      <c r="A664" s="80"/>
      <c r="C664" s="86"/>
      <c r="D664" s="86"/>
      <c r="H664" s="86"/>
      <c r="K664" s="86"/>
      <c r="L664" s="86"/>
      <c r="P664" s="86"/>
    </row>
    <row r="665">
      <c r="A665" s="80"/>
      <c r="C665" s="86"/>
      <c r="D665" s="86"/>
      <c r="H665" s="86"/>
      <c r="K665" s="86"/>
      <c r="L665" s="86"/>
      <c r="P665" s="86"/>
    </row>
    <row r="666">
      <c r="A666" s="80"/>
      <c r="C666" s="86"/>
      <c r="D666" s="86"/>
      <c r="H666" s="86"/>
      <c r="K666" s="86"/>
      <c r="L666" s="86"/>
      <c r="P666" s="86"/>
    </row>
    <row r="667">
      <c r="A667" s="80"/>
      <c r="C667" s="86"/>
      <c r="D667" s="86"/>
      <c r="H667" s="86"/>
      <c r="K667" s="86"/>
      <c r="L667" s="86"/>
      <c r="P667" s="86"/>
    </row>
    <row r="668">
      <c r="A668" s="80"/>
      <c r="C668" s="86"/>
      <c r="D668" s="86"/>
      <c r="H668" s="86"/>
      <c r="K668" s="86"/>
      <c r="L668" s="86"/>
      <c r="P668" s="86"/>
    </row>
    <row r="669">
      <c r="A669" s="80"/>
      <c r="C669" s="86"/>
      <c r="D669" s="86"/>
      <c r="H669" s="86"/>
      <c r="K669" s="86"/>
      <c r="L669" s="86"/>
      <c r="P669" s="86"/>
    </row>
    <row r="670">
      <c r="A670" s="80"/>
      <c r="C670" s="86"/>
      <c r="D670" s="86"/>
      <c r="H670" s="86"/>
      <c r="K670" s="86"/>
      <c r="L670" s="86"/>
      <c r="P670" s="86"/>
    </row>
    <row r="671">
      <c r="A671" s="80"/>
      <c r="C671" s="86"/>
      <c r="D671" s="86"/>
      <c r="H671" s="86"/>
      <c r="K671" s="86"/>
      <c r="L671" s="86"/>
      <c r="P671" s="86"/>
    </row>
    <row r="672">
      <c r="A672" s="80"/>
      <c r="C672" s="86"/>
      <c r="D672" s="86"/>
      <c r="H672" s="86"/>
      <c r="K672" s="86"/>
      <c r="L672" s="86"/>
      <c r="P672" s="86"/>
    </row>
    <row r="673">
      <c r="A673" s="80"/>
      <c r="C673" s="86"/>
      <c r="D673" s="86"/>
      <c r="H673" s="86"/>
      <c r="K673" s="86"/>
      <c r="L673" s="86"/>
      <c r="P673" s="86"/>
    </row>
    <row r="674">
      <c r="A674" s="80"/>
      <c r="C674" s="86"/>
      <c r="D674" s="86"/>
      <c r="H674" s="86"/>
      <c r="K674" s="86"/>
      <c r="L674" s="86"/>
      <c r="P674" s="86"/>
    </row>
    <row r="675">
      <c r="A675" s="80"/>
      <c r="C675" s="86"/>
      <c r="D675" s="86"/>
      <c r="H675" s="86"/>
      <c r="K675" s="86"/>
      <c r="L675" s="86"/>
      <c r="P675" s="86"/>
    </row>
    <row r="676">
      <c r="A676" s="80"/>
      <c r="C676" s="86"/>
      <c r="D676" s="86"/>
      <c r="H676" s="86"/>
      <c r="K676" s="86"/>
      <c r="L676" s="86"/>
      <c r="P676" s="86"/>
    </row>
    <row r="677">
      <c r="A677" s="80"/>
      <c r="C677" s="86"/>
      <c r="D677" s="86"/>
      <c r="H677" s="86"/>
      <c r="K677" s="86"/>
      <c r="L677" s="86"/>
      <c r="P677" s="86"/>
    </row>
    <row r="678">
      <c r="A678" s="80"/>
      <c r="C678" s="86"/>
      <c r="D678" s="86"/>
      <c r="H678" s="86"/>
      <c r="K678" s="86"/>
      <c r="L678" s="86"/>
      <c r="P678" s="86"/>
    </row>
    <row r="679">
      <c r="A679" s="80"/>
      <c r="C679" s="86"/>
      <c r="D679" s="86"/>
      <c r="H679" s="86"/>
      <c r="K679" s="86"/>
      <c r="L679" s="86"/>
      <c r="P679" s="86"/>
    </row>
    <row r="680">
      <c r="A680" s="80"/>
      <c r="C680" s="86"/>
      <c r="D680" s="86"/>
      <c r="H680" s="86"/>
      <c r="K680" s="86"/>
      <c r="L680" s="86"/>
      <c r="P680" s="86"/>
    </row>
    <row r="681">
      <c r="A681" s="80"/>
      <c r="C681" s="86"/>
      <c r="D681" s="86"/>
      <c r="H681" s="86"/>
      <c r="K681" s="86"/>
      <c r="L681" s="86"/>
      <c r="P681" s="86"/>
    </row>
    <row r="682">
      <c r="A682" s="80"/>
      <c r="C682" s="86"/>
      <c r="D682" s="86"/>
      <c r="H682" s="86"/>
      <c r="K682" s="86"/>
      <c r="L682" s="86"/>
      <c r="P682" s="86"/>
    </row>
    <row r="683">
      <c r="A683" s="80"/>
      <c r="C683" s="86"/>
      <c r="D683" s="86"/>
      <c r="H683" s="86"/>
      <c r="K683" s="86"/>
      <c r="L683" s="86"/>
      <c r="P683" s="86"/>
    </row>
    <row r="684">
      <c r="A684" s="80"/>
      <c r="C684" s="86"/>
      <c r="D684" s="86"/>
      <c r="H684" s="86"/>
      <c r="K684" s="86"/>
      <c r="L684" s="86"/>
      <c r="P684" s="86"/>
    </row>
    <row r="685">
      <c r="A685" s="80"/>
      <c r="C685" s="86"/>
      <c r="D685" s="86"/>
      <c r="H685" s="86"/>
      <c r="K685" s="86"/>
      <c r="L685" s="86"/>
      <c r="P685" s="86"/>
    </row>
    <row r="686">
      <c r="A686" s="80"/>
      <c r="C686" s="86"/>
      <c r="D686" s="86"/>
      <c r="H686" s="86"/>
      <c r="K686" s="86"/>
      <c r="L686" s="86"/>
      <c r="P686" s="86"/>
    </row>
    <row r="687">
      <c r="A687" s="80"/>
      <c r="C687" s="86"/>
      <c r="D687" s="86"/>
      <c r="H687" s="86"/>
      <c r="K687" s="86"/>
      <c r="L687" s="86"/>
      <c r="P687" s="86"/>
    </row>
    <row r="688">
      <c r="A688" s="80"/>
      <c r="C688" s="86"/>
      <c r="D688" s="86"/>
      <c r="H688" s="86"/>
      <c r="K688" s="86"/>
      <c r="L688" s="86"/>
      <c r="P688" s="86"/>
    </row>
    <row r="689">
      <c r="A689" s="80"/>
      <c r="C689" s="86"/>
      <c r="D689" s="86"/>
      <c r="H689" s="86"/>
      <c r="K689" s="86"/>
      <c r="L689" s="86"/>
      <c r="P689" s="86"/>
    </row>
    <row r="690">
      <c r="A690" s="80"/>
      <c r="C690" s="86"/>
      <c r="D690" s="86"/>
      <c r="H690" s="86"/>
      <c r="K690" s="86"/>
      <c r="L690" s="86"/>
      <c r="P690" s="86"/>
    </row>
    <row r="691">
      <c r="A691" s="80"/>
      <c r="C691" s="86"/>
      <c r="D691" s="86"/>
      <c r="H691" s="86"/>
      <c r="K691" s="86"/>
      <c r="L691" s="86"/>
      <c r="P691" s="86"/>
    </row>
    <row r="692">
      <c r="A692" s="80"/>
      <c r="C692" s="86"/>
      <c r="D692" s="86"/>
      <c r="H692" s="86"/>
      <c r="K692" s="86"/>
      <c r="L692" s="86"/>
      <c r="P692" s="86"/>
    </row>
    <row r="693">
      <c r="A693" s="80"/>
      <c r="C693" s="86"/>
      <c r="D693" s="86"/>
      <c r="H693" s="86"/>
      <c r="K693" s="86"/>
      <c r="L693" s="86"/>
      <c r="P693" s="86"/>
    </row>
    <row r="694">
      <c r="A694" s="80"/>
      <c r="C694" s="86"/>
      <c r="D694" s="86"/>
      <c r="H694" s="86"/>
      <c r="K694" s="86"/>
      <c r="L694" s="86"/>
      <c r="P694" s="86"/>
    </row>
    <row r="695">
      <c r="A695" s="80"/>
      <c r="C695" s="86"/>
      <c r="D695" s="86"/>
      <c r="H695" s="86"/>
      <c r="K695" s="86"/>
      <c r="L695" s="86"/>
      <c r="P695" s="86"/>
    </row>
    <row r="696">
      <c r="A696" s="80"/>
      <c r="C696" s="86"/>
      <c r="D696" s="86"/>
      <c r="H696" s="86"/>
      <c r="K696" s="86"/>
      <c r="L696" s="86"/>
      <c r="P696" s="86"/>
    </row>
    <row r="697">
      <c r="A697" s="80"/>
      <c r="C697" s="86"/>
      <c r="D697" s="86"/>
      <c r="H697" s="86"/>
      <c r="K697" s="86"/>
      <c r="L697" s="86"/>
      <c r="P697" s="86"/>
    </row>
    <row r="698">
      <c r="A698" s="80"/>
      <c r="C698" s="86"/>
      <c r="D698" s="86"/>
      <c r="H698" s="86"/>
      <c r="K698" s="86"/>
      <c r="L698" s="86"/>
      <c r="P698" s="86"/>
    </row>
    <row r="699">
      <c r="A699" s="80"/>
      <c r="C699" s="86"/>
      <c r="D699" s="86"/>
      <c r="H699" s="86"/>
      <c r="K699" s="86"/>
      <c r="L699" s="86"/>
      <c r="P699" s="86"/>
    </row>
    <row r="700">
      <c r="A700" s="80"/>
      <c r="C700" s="86"/>
      <c r="D700" s="86"/>
      <c r="H700" s="86"/>
      <c r="K700" s="86"/>
      <c r="L700" s="86"/>
      <c r="P700" s="86"/>
    </row>
    <row r="701">
      <c r="A701" s="80"/>
      <c r="C701" s="86"/>
      <c r="D701" s="86"/>
      <c r="H701" s="86"/>
      <c r="K701" s="86"/>
      <c r="L701" s="86"/>
      <c r="P701" s="86"/>
    </row>
    <row r="702">
      <c r="A702" s="80"/>
      <c r="C702" s="86"/>
      <c r="D702" s="86"/>
      <c r="H702" s="86"/>
      <c r="K702" s="86"/>
      <c r="L702" s="86"/>
      <c r="P702" s="86"/>
    </row>
    <row r="703">
      <c r="A703" s="80"/>
      <c r="C703" s="86"/>
      <c r="D703" s="86"/>
      <c r="H703" s="86"/>
      <c r="K703" s="86"/>
      <c r="L703" s="86"/>
      <c r="P703" s="86"/>
    </row>
    <row r="704">
      <c r="A704" s="80"/>
      <c r="C704" s="86"/>
      <c r="D704" s="86"/>
      <c r="H704" s="86"/>
      <c r="K704" s="86"/>
      <c r="L704" s="86"/>
      <c r="P704" s="86"/>
    </row>
    <row r="705">
      <c r="A705" s="80"/>
      <c r="C705" s="86"/>
      <c r="D705" s="86"/>
      <c r="H705" s="86"/>
      <c r="K705" s="86"/>
      <c r="L705" s="86"/>
      <c r="P705" s="86"/>
    </row>
    <row r="706">
      <c r="A706" s="80"/>
      <c r="C706" s="86"/>
      <c r="D706" s="86"/>
      <c r="H706" s="86"/>
      <c r="K706" s="86"/>
      <c r="L706" s="86"/>
      <c r="P706" s="86"/>
    </row>
    <row r="707">
      <c r="A707" s="80"/>
      <c r="C707" s="86"/>
      <c r="D707" s="86"/>
      <c r="H707" s="86"/>
      <c r="K707" s="86"/>
      <c r="L707" s="86"/>
      <c r="P707" s="86"/>
    </row>
    <row r="708">
      <c r="A708" s="80"/>
      <c r="C708" s="86"/>
      <c r="D708" s="86"/>
      <c r="H708" s="86"/>
      <c r="K708" s="86"/>
      <c r="L708" s="86"/>
      <c r="P708" s="86"/>
    </row>
    <row r="709">
      <c r="A709" s="80"/>
      <c r="C709" s="86"/>
      <c r="D709" s="86"/>
      <c r="H709" s="86"/>
      <c r="K709" s="86"/>
      <c r="L709" s="86"/>
      <c r="P709" s="86"/>
    </row>
    <row r="710">
      <c r="A710" s="80"/>
      <c r="C710" s="86"/>
      <c r="D710" s="86"/>
      <c r="H710" s="86"/>
      <c r="K710" s="86"/>
      <c r="L710" s="86"/>
      <c r="P710" s="86"/>
    </row>
    <row r="711">
      <c r="A711" s="80"/>
      <c r="C711" s="86"/>
      <c r="D711" s="86"/>
      <c r="H711" s="86"/>
      <c r="K711" s="86"/>
      <c r="L711" s="86"/>
      <c r="P711" s="86"/>
    </row>
    <row r="712">
      <c r="A712" s="80"/>
      <c r="C712" s="86"/>
      <c r="D712" s="86"/>
      <c r="H712" s="86"/>
      <c r="K712" s="86"/>
      <c r="L712" s="86"/>
      <c r="P712" s="86"/>
    </row>
    <row r="713">
      <c r="A713" s="80"/>
      <c r="C713" s="86"/>
      <c r="D713" s="86"/>
      <c r="H713" s="86"/>
      <c r="K713" s="86"/>
      <c r="L713" s="86"/>
      <c r="P713" s="86"/>
    </row>
    <row r="714">
      <c r="A714" s="80"/>
      <c r="C714" s="86"/>
      <c r="D714" s="86"/>
      <c r="H714" s="86"/>
      <c r="K714" s="86"/>
      <c r="L714" s="86"/>
      <c r="P714" s="86"/>
    </row>
    <row r="715">
      <c r="A715" s="80"/>
      <c r="C715" s="86"/>
      <c r="D715" s="86"/>
      <c r="H715" s="86"/>
      <c r="K715" s="86"/>
      <c r="L715" s="86"/>
      <c r="P715" s="86"/>
    </row>
    <row r="716">
      <c r="A716" s="80"/>
      <c r="C716" s="86"/>
      <c r="D716" s="86"/>
      <c r="H716" s="86"/>
      <c r="K716" s="86"/>
      <c r="L716" s="86"/>
      <c r="P716" s="86"/>
    </row>
    <row r="717">
      <c r="A717" s="80"/>
      <c r="C717" s="86"/>
      <c r="D717" s="86"/>
      <c r="H717" s="86"/>
      <c r="K717" s="86"/>
      <c r="L717" s="86"/>
      <c r="P717" s="86"/>
    </row>
    <row r="718">
      <c r="A718" s="80"/>
      <c r="C718" s="86"/>
      <c r="D718" s="86"/>
      <c r="H718" s="86"/>
      <c r="K718" s="86"/>
      <c r="L718" s="86"/>
      <c r="P718" s="86"/>
    </row>
    <row r="719">
      <c r="A719" s="80"/>
      <c r="C719" s="86"/>
      <c r="D719" s="86"/>
      <c r="H719" s="86"/>
      <c r="K719" s="86"/>
      <c r="L719" s="86"/>
      <c r="P719" s="86"/>
    </row>
    <row r="720">
      <c r="A720" s="80"/>
      <c r="C720" s="86"/>
      <c r="D720" s="86"/>
      <c r="H720" s="86"/>
      <c r="K720" s="86"/>
      <c r="L720" s="86"/>
      <c r="P720" s="86"/>
    </row>
    <row r="721">
      <c r="A721" s="80"/>
      <c r="C721" s="86"/>
      <c r="D721" s="86"/>
      <c r="H721" s="86"/>
      <c r="K721" s="86"/>
      <c r="L721" s="86"/>
      <c r="P721" s="86"/>
    </row>
    <row r="722">
      <c r="A722" s="80"/>
      <c r="C722" s="86"/>
      <c r="D722" s="86"/>
      <c r="H722" s="86"/>
      <c r="K722" s="86"/>
      <c r="L722" s="86"/>
      <c r="P722" s="86"/>
    </row>
    <row r="723">
      <c r="A723" s="80"/>
      <c r="C723" s="86"/>
      <c r="D723" s="86"/>
      <c r="H723" s="86"/>
      <c r="K723" s="86"/>
      <c r="L723" s="86"/>
      <c r="P723" s="86"/>
    </row>
    <row r="724">
      <c r="A724" s="80"/>
      <c r="C724" s="86"/>
      <c r="D724" s="86"/>
      <c r="H724" s="86"/>
      <c r="K724" s="86"/>
      <c r="L724" s="86"/>
      <c r="P724" s="86"/>
    </row>
    <row r="725">
      <c r="A725" s="80"/>
      <c r="C725" s="86"/>
      <c r="D725" s="86"/>
      <c r="H725" s="86"/>
      <c r="K725" s="86"/>
      <c r="L725" s="86"/>
      <c r="P725" s="86"/>
    </row>
    <row r="726">
      <c r="A726" s="80"/>
      <c r="C726" s="86"/>
      <c r="D726" s="86"/>
      <c r="H726" s="86"/>
      <c r="K726" s="86"/>
      <c r="L726" s="86"/>
      <c r="P726" s="86"/>
    </row>
    <row r="727">
      <c r="A727" s="80"/>
      <c r="C727" s="86"/>
      <c r="D727" s="86"/>
      <c r="H727" s="86"/>
      <c r="K727" s="86"/>
      <c r="L727" s="86"/>
      <c r="P727" s="86"/>
    </row>
    <row r="728">
      <c r="A728" s="80"/>
      <c r="C728" s="86"/>
      <c r="D728" s="86"/>
      <c r="H728" s="86"/>
      <c r="K728" s="86"/>
      <c r="L728" s="86"/>
      <c r="P728" s="86"/>
    </row>
    <row r="729">
      <c r="A729" s="80"/>
      <c r="C729" s="86"/>
      <c r="D729" s="86"/>
      <c r="H729" s="86"/>
      <c r="K729" s="86"/>
      <c r="L729" s="86"/>
      <c r="P729" s="86"/>
    </row>
    <row r="730">
      <c r="A730" s="80"/>
      <c r="C730" s="86"/>
      <c r="D730" s="86"/>
      <c r="H730" s="86"/>
      <c r="K730" s="86"/>
      <c r="L730" s="86"/>
      <c r="P730" s="86"/>
    </row>
    <row r="731">
      <c r="A731" s="80"/>
      <c r="C731" s="86"/>
      <c r="D731" s="86"/>
      <c r="H731" s="86"/>
      <c r="K731" s="86"/>
      <c r="L731" s="86"/>
      <c r="P731" s="86"/>
    </row>
    <row r="732">
      <c r="A732" s="80"/>
      <c r="C732" s="86"/>
      <c r="D732" s="86"/>
      <c r="H732" s="86"/>
      <c r="K732" s="86"/>
      <c r="L732" s="86"/>
      <c r="P732" s="86"/>
    </row>
    <row r="733">
      <c r="A733" s="80"/>
      <c r="C733" s="86"/>
      <c r="D733" s="86"/>
      <c r="H733" s="86"/>
      <c r="K733" s="86"/>
      <c r="L733" s="86"/>
      <c r="P733" s="86"/>
    </row>
    <row r="734">
      <c r="A734" s="80"/>
      <c r="C734" s="86"/>
      <c r="D734" s="86"/>
      <c r="H734" s="86"/>
      <c r="K734" s="86"/>
      <c r="L734" s="86"/>
      <c r="P734" s="86"/>
    </row>
    <row r="735">
      <c r="A735" s="80"/>
      <c r="C735" s="86"/>
      <c r="D735" s="86"/>
      <c r="H735" s="86"/>
      <c r="K735" s="86"/>
      <c r="L735" s="86"/>
      <c r="P735" s="86"/>
    </row>
    <row r="736">
      <c r="A736" s="80"/>
      <c r="C736" s="86"/>
      <c r="D736" s="86"/>
      <c r="H736" s="86"/>
      <c r="K736" s="86"/>
      <c r="L736" s="86"/>
      <c r="P736" s="86"/>
    </row>
    <row r="737">
      <c r="A737" s="80"/>
      <c r="C737" s="86"/>
      <c r="D737" s="86"/>
      <c r="H737" s="86"/>
      <c r="K737" s="86"/>
      <c r="L737" s="86"/>
      <c r="P737" s="86"/>
    </row>
    <row r="738">
      <c r="A738" s="80"/>
      <c r="C738" s="86"/>
      <c r="D738" s="86"/>
      <c r="H738" s="86"/>
      <c r="K738" s="86"/>
      <c r="L738" s="86"/>
      <c r="P738" s="86"/>
    </row>
    <row r="739">
      <c r="A739" s="80"/>
      <c r="C739" s="86"/>
      <c r="D739" s="86"/>
      <c r="H739" s="86"/>
      <c r="K739" s="86"/>
      <c r="L739" s="86"/>
      <c r="P739" s="86"/>
    </row>
    <row r="740">
      <c r="A740" s="80"/>
      <c r="C740" s="86"/>
      <c r="D740" s="86"/>
      <c r="H740" s="86"/>
      <c r="K740" s="86"/>
      <c r="L740" s="86"/>
      <c r="P740" s="86"/>
    </row>
    <row r="741">
      <c r="A741" s="80"/>
      <c r="C741" s="86"/>
      <c r="D741" s="86"/>
      <c r="H741" s="86"/>
      <c r="K741" s="86"/>
      <c r="L741" s="86"/>
      <c r="P741" s="86"/>
    </row>
    <row r="742">
      <c r="A742" s="80"/>
      <c r="C742" s="86"/>
      <c r="D742" s="86"/>
      <c r="H742" s="86"/>
      <c r="K742" s="86"/>
      <c r="L742" s="86"/>
      <c r="P742" s="86"/>
    </row>
    <row r="743">
      <c r="A743" s="80"/>
      <c r="C743" s="86"/>
      <c r="D743" s="86"/>
      <c r="H743" s="86"/>
      <c r="K743" s="86"/>
      <c r="L743" s="86"/>
      <c r="P743" s="86"/>
    </row>
    <row r="744">
      <c r="A744" s="80"/>
      <c r="C744" s="86"/>
      <c r="D744" s="86"/>
      <c r="H744" s="86"/>
      <c r="K744" s="86"/>
      <c r="L744" s="86"/>
      <c r="P744" s="86"/>
    </row>
    <row r="745">
      <c r="A745" s="80"/>
      <c r="C745" s="86"/>
      <c r="D745" s="86"/>
      <c r="H745" s="86"/>
      <c r="K745" s="86"/>
      <c r="L745" s="86"/>
      <c r="P745" s="86"/>
    </row>
    <row r="746">
      <c r="A746" s="80"/>
      <c r="C746" s="86"/>
      <c r="D746" s="86"/>
      <c r="H746" s="86"/>
      <c r="K746" s="86"/>
      <c r="L746" s="86"/>
      <c r="P746" s="86"/>
    </row>
    <row r="747">
      <c r="A747" s="80"/>
      <c r="C747" s="86"/>
      <c r="D747" s="86"/>
      <c r="H747" s="86"/>
      <c r="K747" s="86"/>
      <c r="L747" s="86"/>
      <c r="P747" s="86"/>
    </row>
    <row r="748">
      <c r="A748" s="80"/>
      <c r="C748" s="86"/>
      <c r="D748" s="86"/>
      <c r="H748" s="86"/>
      <c r="K748" s="86"/>
      <c r="L748" s="86"/>
      <c r="P748" s="86"/>
    </row>
    <row r="749">
      <c r="A749" s="80"/>
      <c r="C749" s="86"/>
      <c r="D749" s="86"/>
      <c r="H749" s="86"/>
      <c r="K749" s="86"/>
      <c r="L749" s="86"/>
      <c r="P749" s="86"/>
    </row>
    <row r="750">
      <c r="A750" s="80"/>
      <c r="C750" s="86"/>
      <c r="D750" s="86"/>
      <c r="H750" s="86"/>
      <c r="K750" s="86"/>
      <c r="L750" s="86"/>
      <c r="P750" s="86"/>
    </row>
    <row r="751">
      <c r="A751" s="80"/>
      <c r="C751" s="86"/>
      <c r="D751" s="86"/>
      <c r="H751" s="86"/>
      <c r="K751" s="86"/>
      <c r="L751" s="86"/>
      <c r="P751" s="86"/>
    </row>
    <row r="752">
      <c r="A752" s="80"/>
      <c r="C752" s="86"/>
      <c r="D752" s="86"/>
      <c r="H752" s="86"/>
      <c r="K752" s="86"/>
      <c r="L752" s="86"/>
      <c r="P752" s="86"/>
    </row>
    <row r="753">
      <c r="A753" s="80"/>
      <c r="C753" s="86"/>
      <c r="D753" s="86"/>
      <c r="H753" s="86"/>
      <c r="K753" s="86"/>
      <c r="L753" s="86"/>
      <c r="P753" s="86"/>
    </row>
    <row r="754">
      <c r="A754" s="80"/>
      <c r="C754" s="86"/>
      <c r="D754" s="86"/>
      <c r="H754" s="86"/>
      <c r="K754" s="86"/>
      <c r="L754" s="86"/>
      <c r="P754" s="86"/>
    </row>
    <row r="755">
      <c r="A755" s="80"/>
      <c r="C755" s="86"/>
      <c r="D755" s="86"/>
      <c r="H755" s="86"/>
      <c r="K755" s="86"/>
      <c r="L755" s="86"/>
      <c r="P755" s="86"/>
    </row>
    <row r="756">
      <c r="A756" s="80"/>
      <c r="C756" s="86"/>
      <c r="D756" s="86"/>
      <c r="H756" s="86"/>
      <c r="K756" s="86"/>
      <c r="L756" s="86"/>
      <c r="P756" s="86"/>
    </row>
    <row r="757">
      <c r="A757" s="80"/>
      <c r="C757" s="86"/>
      <c r="D757" s="86"/>
      <c r="H757" s="86"/>
      <c r="K757" s="86"/>
      <c r="L757" s="86"/>
      <c r="P757" s="86"/>
    </row>
    <row r="758">
      <c r="A758" s="80"/>
      <c r="C758" s="86"/>
      <c r="D758" s="86"/>
      <c r="H758" s="86"/>
      <c r="K758" s="86"/>
      <c r="L758" s="86"/>
      <c r="P758" s="86"/>
    </row>
    <row r="759">
      <c r="A759" s="80"/>
      <c r="C759" s="86"/>
      <c r="D759" s="86"/>
      <c r="H759" s="86"/>
      <c r="K759" s="86"/>
      <c r="L759" s="86"/>
      <c r="P759" s="86"/>
    </row>
    <row r="760">
      <c r="A760" s="80"/>
      <c r="C760" s="86"/>
      <c r="D760" s="86"/>
      <c r="H760" s="86"/>
      <c r="K760" s="86"/>
      <c r="L760" s="86"/>
      <c r="P760" s="86"/>
    </row>
    <row r="761">
      <c r="A761" s="80"/>
      <c r="C761" s="86"/>
      <c r="D761" s="86"/>
      <c r="H761" s="86"/>
      <c r="K761" s="86"/>
      <c r="L761" s="86"/>
      <c r="P761" s="86"/>
    </row>
    <row r="762">
      <c r="A762" s="80"/>
      <c r="C762" s="86"/>
      <c r="D762" s="86"/>
      <c r="H762" s="86"/>
      <c r="K762" s="86"/>
      <c r="L762" s="86"/>
      <c r="P762" s="86"/>
    </row>
    <row r="763">
      <c r="A763" s="80"/>
      <c r="C763" s="86"/>
      <c r="D763" s="86"/>
      <c r="H763" s="86"/>
      <c r="K763" s="86"/>
      <c r="L763" s="86"/>
      <c r="P763" s="86"/>
    </row>
    <row r="764">
      <c r="A764" s="80"/>
      <c r="C764" s="86"/>
      <c r="D764" s="86"/>
      <c r="H764" s="86"/>
      <c r="K764" s="86"/>
      <c r="L764" s="86"/>
      <c r="P764" s="86"/>
    </row>
    <row r="765">
      <c r="A765" s="80"/>
      <c r="C765" s="86"/>
      <c r="D765" s="86"/>
      <c r="H765" s="86"/>
      <c r="K765" s="86"/>
      <c r="L765" s="86"/>
      <c r="P765" s="86"/>
    </row>
    <row r="766">
      <c r="A766" s="80"/>
      <c r="C766" s="86"/>
      <c r="D766" s="86"/>
      <c r="H766" s="86"/>
      <c r="K766" s="86"/>
      <c r="L766" s="86"/>
      <c r="P766" s="86"/>
    </row>
    <row r="767">
      <c r="A767" s="80"/>
      <c r="C767" s="86"/>
      <c r="D767" s="86"/>
      <c r="H767" s="86"/>
      <c r="K767" s="86"/>
      <c r="L767" s="86"/>
      <c r="P767" s="86"/>
    </row>
    <row r="768">
      <c r="A768" s="80"/>
      <c r="C768" s="86"/>
      <c r="D768" s="86"/>
      <c r="H768" s="86"/>
      <c r="K768" s="86"/>
      <c r="L768" s="86"/>
      <c r="P768" s="86"/>
    </row>
    <row r="769">
      <c r="A769" s="80"/>
      <c r="C769" s="86"/>
      <c r="D769" s="86"/>
      <c r="H769" s="86"/>
      <c r="K769" s="86"/>
      <c r="L769" s="86"/>
      <c r="P769" s="86"/>
    </row>
    <row r="770">
      <c r="A770" s="80"/>
      <c r="C770" s="86"/>
      <c r="D770" s="86"/>
      <c r="H770" s="86"/>
      <c r="K770" s="86"/>
      <c r="L770" s="86"/>
      <c r="P770" s="86"/>
    </row>
    <row r="771">
      <c r="A771" s="80"/>
      <c r="C771" s="86"/>
      <c r="D771" s="86"/>
      <c r="H771" s="86"/>
      <c r="K771" s="86"/>
      <c r="L771" s="86"/>
      <c r="P771" s="86"/>
    </row>
    <row r="772">
      <c r="A772" s="80"/>
      <c r="C772" s="86"/>
      <c r="D772" s="86"/>
      <c r="H772" s="86"/>
      <c r="K772" s="86"/>
      <c r="L772" s="86"/>
      <c r="P772" s="86"/>
    </row>
    <row r="773">
      <c r="A773" s="80"/>
      <c r="C773" s="86"/>
      <c r="D773" s="86"/>
      <c r="H773" s="86"/>
      <c r="K773" s="86"/>
      <c r="L773" s="86"/>
      <c r="P773" s="86"/>
    </row>
    <row r="774">
      <c r="A774" s="80"/>
      <c r="C774" s="86"/>
      <c r="D774" s="86"/>
      <c r="H774" s="86"/>
      <c r="K774" s="86"/>
      <c r="L774" s="86"/>
      <c r="P774" s="86"/>
    </row>
    <row r="775">
      <c r="A775" s="80"/>
      <c r="C775" s="86"/>
      <c r="D775" s="86"/>
      <c r="H775" s="86"/>
      <c r="K775" s="86"/>
      <c r="L775" s="86"/>
      <c r="P775" s="86"/>
    </row>
    <row r="776">
      <c r="A776" s="80"/>
      <c r="C776" s="86"/>
      <c r="D776" s="86"/>
      <c r="H776" s="86"/>
      <c r="K776" s="86"/>
      <c r="L776" s="86"/>
      <c r="P776" s="86"/>
    </row>
    <row r="777">
      <c r="A777" s="80"/>
      <c r="C777" s="86"/>
      <c r="D777" s="86"/>
      <c r="H777" s="86"/>
      <c r="K777" s="86"/>
      <c r="L777" s="86"/>
      <c r="P777" s="86"/>
    </row>
    <row r="778">
      <c r="A778" s="80"/>
      <c r="C778" s="86"/>
      <c r="D778" s="86"/>
      <c r="H778" s="86"/>
      <c r="K778" s="86"/>
      <c r="L778" s="86"/>
      <c r="P778" s="86"/>
    </row>
    <row r="779">
      <c r="A779" s="80"/>
      <c r="C779" s="86"/>
      <c r="D779" s="86"/>
      <c r="H779" s="86"/>
      <c r="K779" s="86"/>
      <c r="L779" s="86"/>
      <c r="P779" s="86"/>
    </row>
    <row r="780">
      <c r="A780" s="80"/>
      <c r="C780" s="86"/>
      <c r="D780" s="86"/>
      <c r="H780" s="86"/>
      <c r="K780" s="86"/>
      <c r="L780" s="86"/>
      <c r="P780" s="86"/>
    </row>
    <row r="781">
      <c r="A781" s="80"/>
      <c r="C781" s="86"/>
      <c r="D781" s="86"/>
      <c r="H781" s="86"/>
      <c r="K781" s="86"/>
      <c r="L781" s="86"/>
      <c r="P781" s="86"/>
    </row>
    <row r="782">
      <c r="A782" s="80"/>
      <c r="C782" s="86"/>
      <c r="D782" s="86"/>
      <c r="H782" s="86"/>
      <c r="K782" s="86"/>
      <c r="L782" s="86"/>
      <c r="P782" s="86"/>
    </row>
    <row r="783">
      <c r="A783" s="80"/>
      <c r="C783" s="86"/>
      <c r="D783" s="86"/>
      <c r="H783" s="86"/>
      <c r="K783" s="86"/>
      <c r="L783" s="86"/>
      <c r="P783" s="86"/>
    </row>
    <row r="784">
      <c r="A784" s="80"/>
      <c r="C784" s="86"/>
      <c r="D784" s="86"/>
      <c r="H784" s="86"/>
      <c r="K784" s="86"/>
      <c r="L784" s="86"/>
      <c r="P784" s="86"/>
    </row>
    <row r="785">
      <c r="A785" s="80"/>
      <c r="C785" s="86"/>
      <c r="D785" s="86"/>
      <c r="H785" s="86"/>
      <c r="K785" s="86"/>
      <c r="L785" s="86"/>
      <c r="P785" s="86"/>
    </row>
    <row r="786">
      <c r="A786" s="80"/>
      <c r="C786" s="86"/>
      <c r="D786" s="86"/>
      <c r="H786" s="86"/>
      <c r="K786" s="86"/>
      <c r="L786" s="86"/>
      <c r="P786" s="86"/>
    </row>
    <row r="787">
      <c r="A787" s="80"/>
      <c r="C787" s="86"/>
      <c r="D787" s="86"/>
      <c r="H787" s="86"/>
      <c r="K787" s="86"/>
      <c r="L787" s="86"/>
      <c r="P787" s="86"/>
    </row>
    <row r="788">
      <c r="A788" s="80"/>
      <c r="C788" s="86"/>
      <c r="D788" s="86"/>
      <c r="H788" s="86"/>
      <c r="K788" s="86"/>
      <c r="L788" s="86"/>
      <c r="P788" s="86"/>
    </row>
    <row r="789">
      <c r="A789" s="80"/>
      <c r="C789" s="86"/>
      <c r="D789" s="86"/>
      <c r="H789" s="86"/>
      <c r="K789" s="86"/>
      <c r="L789" s="86"/>
      <c r="P789" s="86"/>
    </row>
    <row r="790">
      <c r="A790" s="80"/>
      <c r="C790" s="86"/>
      <c r="D790" s="86"/>
      <c r="H790" s="86"/>
      <c r="K790" s="86"/>
      <c r="L790" s="86"/>
      <c r="P790" s="86"/>
    </row>
    <row r="791">
      <c r="A791" s="80"/>
      <c r="C791" s="86"/>
      <c r="D791" s="86"/>
      <c r="H791" s="86"/>
      <c r="K791" s="86"/>
      <c r="L791" s="86"/>
      <c r="P791" s="86"/>
    </row>
    <row r="792">
      <c r="A792" s="80"/>
      <c r="C792" s="86"/>
      <c r="D792" s="86"/>
      <c r="H792" s="86"/>
      <c r="K792" s="86"/>
      <c r="L792" s="86"/>
      <c r="P792" s="86"/>
    </row>
    <row r="793">
      <c r="A793" s="80"/>
      <c r="C793" s="86"/>
      <c r="D793" s="86"/>
      <c r="H793" s="86"/>
      <c r="K793" s="86"/>
      <c r="L793" s="86"/>
      <c r="P793" s="86"/>
    </row>
    <row r="794">
      <c r="A794" s="80"/>
      <c r="C794" s="86"/>
      <c r="D794" s="86"/>
      <c r="H794" s="86"/>
      <c r="K794" s="86"/>
      <c r="L794" s="86"/>
      <c r="P794" s="86"/>
    </row>
    <row r="795">
      <c r="A795" s="80"/>
      <c r="C795" s="86"/>
      <c r="D795" s="86"/>
      <c r="H795" s="86"/>
      <c r="K795" s="86"/>
      <c r="L795" s="86"/>
      <c r="P795" s="86"/>
    </row>
    <row r="796">
      <c r="A796" s="80"/>
      <c r="C796" s="86"/>
      <c r="D796" s="86"/>
      <c r="H796" s="86"/>
      <c r="K796" s="86"/>
      <c r="L796" s="86"/>
      <c r="P796" s="86"/>
    </row>
    <row r="797">
      <c r="A797" s="80"/>
      <c r="C797" s="86"/>
      <c r="D797" s="86"/>
      <c r="H797" s="86"/>
      <c r="K797" s="86"/>
      <c r="L797" s="86"/>
      <c r="P797" s="86"/>
    </row>
    <row r="798">
      <c r="A798" s="80"/>
      <c r="C798" s="86"/>
      <c r="D798" s="86"/>
      <c r="H798" s="86"/>
      <c r="K798" s="86"/>
      <c r="L798" s="86"/>
      <c r="P798" s="86"/>
    </row>
    <row r="799">
      <c r="A799" s="80"/>
      <c r="C799" s="86"/>
      <c r="D799" s="86"/>
      <c r="H799" s="86"/>
      <c r="K799" s="86"/>
      <c r="L799" s="86"/>
      <c r="P799" s="86"/>
    </row>
    <row r="800">
      <c r="A800" s="80"/>
      <c r="C800" s="86"/>
      <c r="D800" s="86"/>
      <c r="H800" s="86"/>
      <c r="K800" s="86"/>
      <c r="L800" s="86"/>
      <c r="P800" s="86"/>
    </row>
    <row r="801">
      <c r="A801" s="80"/>
      <c r="C801" s="86"/>
      <c r="D801" s="86"/>
      <c r="H801" s="86"/>
      <c r="K801" s="86"/>
      <c r="L801" s="86"/>
      <c r="P801" s="86"/>
    </row>
    <row r="802">
      <c r="A802" s="80"/>
      <c r="C802" s="86"/>
      <c r="D802" s="86"/>
      <c r="H802" s="86"/>
      <c r="K802" s="86"/>
      <c r="L802" s="86"/>
      <c r="P802" s="86"/>
    </row>
    <row r="803">
      <c r="A803" s="80"/>
      <c r="C803" s="86"/>
      <c r="D803" s="86"/>
      <c r="H803" s="86"/>
      <c r="K803" s="86"/>
      <c r="L803" s="86"/>
      <c r="P803" s="86"/>
    </row>
    <row r="804">
      <c r="A804" s="80"/>
      <c r="C804" s="86"/>
      <c r="D804" s="86"/>
      <c r="H804" s="86"/>
      <c r="K804" s="86"/>
      <c r="L804" s="86"/>
      <c r="P804" s="86"/>
    </row>
    <row r="805">
      <c r="A805" s="80"/>
      <c r="C805" s="86"/>
      <c r="D805" s="86"/>
      <c r="H805" s="86"/>
      <c r="K805" s="86"/>
      <c r="L805" s="86"/>
      <c r="P805" s="86"/>
    </row>
    <row r="806">
      <c r="A806" s="80"/>
      <c r="C806" s="86"/>
      <c r="D806" s="86"/>
      <c r="H806" s="86"/>
      <c r="K806" s="86"/>
      <c r="L806" s="86"/>
      <c r="P806" s="86"/>
    </row>
    <row r="807">
      <c r="A807" s="80"/>
      <c r="C807" s="86"/>
      <c r="D807" s="86"/>
      <c r="H807" s="86"/>
      <c r="K807" s="86"/>
      <c r="L807" s="86"/>
      <c r="P807" s="86"/>
    </row>
    <row r="808">
      <c r="A808" s="80"/>
      <c r="C808" s="86"/>
      <c r="D808" s="86"/>
      <c r="H808" s="86"/>
      <c r="K808" s="86"/>
      <c r="L808" s="86"/>
      <c r="P808" s="86"/>
    </row>
    <row r="809">
      <c r="A809" s="80"/>
      <c r="C809" s="86"/>
      <c r="D809" s="86"/>
      <c r="H809" s="86"/>
      <c r="K809" s="86"/>
      <c r="L809" s="86"/>
      <c r="P809" s="86"/>
    </row>
    <row r="810">
      <c r="A810" s="80"/>
      <c r="C810" s="86"/>
      <c r="D810" s="86"/>
      <c r="H810" s="86"/>
      <c r="K810" s="86"/>
      <c r="L810" s="86"/>
      <c r="P810" s="86"/>
    </row>
    <row r="811">
      <c r="A811" s="80"/>
      <c r="C811" s="86"/>
      <c r="D811" s="86"/>
      <c r="H811" s="86"/>
      <c r="K811" s="86"/>
      <c r="L811" s="86"/>
      <c r="P811" s="86"/>
    </row>
    <row r="812">
      <c r="A812" s="80"/>
      <c r="C812" s="86"/>
      <c r="D812" s="86"/>
      <c r="H812" s="86"/>
      <c r="K812" s="86"/>
      <c r="L812" s="86"/>
      <c r="P812" s="86"/>
    </row>
    <row r="813">
      <c r="A813" s="80"/>
      <c r="C813" s="86"/>
      <c r="D813" s="86"/>
      <c r="H813" s="86"/>
      <c r="K813" s="86"/>
      <c r="L813" s="86"/>
      <c r="P813" s="86"/>
    </row>
    <row r="814">
      <c r="A814" s="80"/>
      <c r="C814" s="86"/>
      <c r="D814" s="86"/>
      <c r="H814" s="86"/>
      <c r="K814" s="86"/>
      <c r="L814" s="86"/>
      <c r="P814" s="86"/>
    </row>
    <row r="815">
      <c r="A815" s="80"/>
      <c r="C815" s="86"/>
      <c r="D815" s="86"/>
      <c r="H815" s="86"/>
      <c r="K815" s="86"/>
      <c r="L815" s="86"/>
      <c r="P815" s="86"/>
    </row>
    <row r="816">
      <c r="A816" s="80"/>
      <c r="C816" s="86"/>
      <c r="D816" s="86"/>
      <c r="H816" s="86"/>
      <c r="K816" s="86"/>
      <c r="L816" s="86"/>
      <c r="P816" s="86"/>
    </row>
    <row r="817">
      <c r="A817" s="80"/>
      <c r="C817" s="86"/>
      <c r="D817" s="86"/>
      <c r="H817" s="86"/>
      <c r="K817" s="86"/>
      <c r="L817" s="86"/>
      <c r="P817" s="86"/>
    </row>
    <row r="818">
      <c r="A818" s="80"/>
      <c r="C818" s="86"/>
      <c r="D818" s="86"/>
      <c r="H818" s="86"/>
      <c r="K818" s="86"/>
      <c r="L818" s="86"/>
      <c r="P818" s="86"/>
    </row>
    <row r="819">
      <c r="A819" s="80"/>
      <c r="C819" s="86"/>
      <c r="D819" s="86"/>
      <c r="H819" s="86"/>
      <c r="K819" s="86"/>
      <c r="L819" s="86"/>
      <c r="P819" s="86"/>
    </row>
    <row r="820">
      <c r="A820" s="80"/>
      <c r="C820" s="86"/>
      <c r="D820" s="86"/>
      <c r="H820" s="86"/>
      <c r="K820" s="86"/>
      <c r="L820" s="86"/>
      <c r="P820" s="86"/>
    </row>
    <row r="821">
      <c r="A821" s="80"/>
      <c r="C821" s="86"/>
      <c r="D821" s="86"/>
      <c r="H821" s="86"/>
      <c r="K821" s="86"/>
      <c r="L821" s="86"/>
      <c r="P821" s="86"/>
    </row>
    <row r="822">
      <c r="A822" s="80"/>
      <c r="C822" s="86"/>
      <c r="D822" s="86"/>
      <c r="H822" s="86"/>
      <c r="K822" s="86"/>
      <c r="L822" s="86"/>
      <c r="P822" s="86"/>
    </row>
    <row r="823">
      <c r="A823" s="80"/>
      <c r="C823" s="86"/>
      <c r="D823" s="86"/>
      <c r="H823" s="86"/>
      <c r="K823" s="86"/>
      <c r="L823" s="86"/>
      <c r="P823" s="86"/>
    </row>
    <row r="824">
      <c r="A824" s="80"/>
      <c r="C824" s="86"/>
      <c r="D824" s="86"/>
      <c r="H824" s="86"/>
      <c r="K824" s="86"/>
      <c r="L824" s="86"/>
      <c r="P824" s="86"/>
    </row>
    <row r="825">
      <c r="A825" s="80"/>
      <c r="C825" s="86"/>
      <c r="D825" s="86"/>
      <c r="H825" s="86"/>
      <c r="K825" s="86"/>
      <c r="L825" s="86"/>
      <c r="P825" s="86"/>
    </row>
    <row r="826">
      <c r="A826" s="80"/>
      <c r="C826" s="86"/>
      <c r="D826" s="86"/>
      <c r="H826" s="86"/>
      <c r="K826" s="86"/>
      <c r="L826" s="86"/>
      <c r="P826" s="86"/>
    </row>
    <row r="827">
      <c r="A827" s="80"/>
      <c r="C827" s="86"/>
      <c r="D827" s="86"/>
      <c r="H827" s="86"/>
      <c r="K827" s="86"/>
      <c r="L827" s="86"/>
      <c r="P827" s="86"/>
    </row>
    <row r="828">
      <c r="A828" s="80"/>
      <c r="C828" s="86"/>
      <c r="D828" s="86"/>
      <c r="H828" s="86"/>
      <c r="K828" s="86"/>
      <c r="L828" s="86"/>
      <c r="P828" s="86"/>
    </row>
    <row r="829">
      <c r="A829" s="80"/>
      <c r="C829" s="86"/>
      <c r="D829" s="86"/>
      <c r="H829" s="86"/>
      <c r="K829" s="86"/>
      <c r="L829" s="86"/>
      <c r="P829" s="86"/>
    </row>
    <row r="830">
      <c r="A830" s="80"/>
      <c r="C830" s="86"/>
      <c r="D830" s="86"/>
      <c r="H830" s="86"/>
      <c r="K830" s="86"/>
      <c r="L830" s="86"/>
      <c r="P830" s="86"/>
    </row>
    <row r="831">
      <c r="A831" s="80"/>
      <c r="C831" s="86"/>
      <c r="D831" s="86"/>
      <c r="H831" s="86"/>
      <c r="K831" s="86"/>
      <c r="L831" s="86"/>
      <c r="P831" s="86"/>
    </row>
    <row r="832">
      <c r="A832" s="80"/>
      <c r="C832" s="86"/>
      <c r="D832" s="86"/>
      <c r="H832" s="86"/>
      <c r="K832" s="86"/>
      <c r="L832" s="86"/>
      <c r="P832" s="86"/>
    </row>
    <row r="833">
      <c r="A833" s="80"/>
      <c r="C833" s="86"/>
      <c r="D833" s="86"/>
      <c r="H833" s="86"/>
      <c r="K833" s="86"/>
      <c r="L833" s="86"/>
      <c r="P833" s="86"/>
    </row>
    <row r="834">
      <c r="A834" s="80"/>
      <c r="C834" s="86"/>
      <c r="D834" s="86"/>
      <c r="H834" s="86"/>
      <c r="K834" s="86"/>
      <c r="L834" s="86"/>
      <c r="P834" s="86"/>
    </row>
    <row r="835">
      <c r="A835" s="80"/>
      <c r="C835" s="86"/>
      <c r="D835" s="86"/>
      <c r="H835" s="86"/>
      <c r="K835" s="86"/>
      <c r="L835" s="86"/>
      <c r="P835" s="86"/>
    </row>
    <row r="836">
      <c r="A836" s="80"/>
      <c r="C836" s="86"/>
      <c r="D836" s="86"/>
      <c r="H836" s="86"/>
      <c r="K836" s="86"/>
      <c r="L836" s="86"/>
      <c r="P836" s="86"/>
    </row>
    <row r="837">
      <c r="A837" s="80"/>
      <c r="C837" s="86"/>
      <c r="D837" s="86"/>
      <c r="H837" s="86"/>
      <c r="K837" s="86"/>
      <c r="L837" s="86"/>
      <c r="P837" s="86"/>
    </row>
    <row r="838">
      <c r="A838" s="80"/>
      <c r="C838" s="86"/>
      <c r="D838" s="86"/>
      <c r="H838" s="86"/>
      <c r="K838" s="86"/>
      <c r="L838" s="86"/>
      <c r="P838" s="86"/>
    </row>
    <row r="839">
      <c r="A839" s="80"/>
      <c r="C839" s="86"/>
      <c r="D839" s="86"/>
      <c r="H839" s="86"/>
      <c r="K839" s="86"/>
      <c r="L839" s="86"/>
      <c r="P839" s="86"/>
    </row>
    <row r="840">
      <c r="A840" s="80"/>
      <c r="C840" s="86"/>
      <c r="D840" s="86"/>
      <c r="H840" s="86"/>
      <c r="K840" s="86"/>
      <c r="L840" s="86"/>
      <c r="P840" s="86"/>
    </row>
    <row r="841">
      <c r="A841" s="80"/>
      <c r="C841" s="86"/>
      <c r="D841" s="86"/>
      <c r="H841" s="86"/>
      <c r="K841" s="86"/>
      <c r="L841" s="86"/>
      <c r="P841" s="86"/>
    </row>
    <row r="842">
      <c r="A842" s="80"/>
      <c r="C842" s="86"/>
      <c r="D842" s="86"/>
      <c r="H842" s="86"/>
      <c r="K842" s="86"/>
      <c r="L842" s="86"/>
      <c r="P842" s="86"/>
    </row>
    <row r="843">
      <c r="A843" s="80"/>
      <c r="C843" s="86"/>
      <c r="D843" s="86"/>
      <c r="H843" s="86"/>
      <c r="K843" s="86"/>
      <c r="L843" s="86"/>
      <c r="P843" s="86"/>
    </row>
    <row r="844">
      <c r="A844" s="80"/>
      <c r="C844" s="86"/>
      <c r="D844" s="86"/>
      <c r="H844" s="86"/>
      <c r="K844" s="86"/>
      <c r="L844" s="86"/>
      <c r="P844" s="86"/>
    </row>
    <row r="845">
      <c r="A845" s="80"/>
      <c r="C845" s="86"/>
      <c r="D845" s="86"/>
      <c r="H845" s="86"/>
      <c r="K845" s="86"/>
      <c r="L845" s="86"/>
      <c r="P845" s="86"/>
    </row>
    <row r="846">
      <c r="A846" s="80"/>
      <c r="C846" s="86"/>
      <c r="D846" s="86"/>
      <c r="H846" s="86"/>
      <c r="K846" s="86"/>
      <c r="L846" s="86"/>
      <c r="P846" s="86"/>
    </row>
    <row r="847">
      <c r="A847" s="80"/>
      <c r="C847" s="86"/>
      <c r="D847" s="86"/>
      <c r="H847" s="86"/>
      <c r="K847" s="86"/>
      <c r="L847" s="86"/>
      <c r="P847" s="86"/>
    </row>
    <row r="848">
      <c r="A848" s="80"/>
      <c r="C848" s="86"/>
      <c r="D848" s="86"/>
      <c r="H848" s="86"/>
      <c r="K848" s="86"/>
      <c r="L848" s="86"/>
      <c r="P848" s="86"/>
    </row>
    <row r="849">
      <c r="A849" s="80"/>
      <c r="C849" s="86"/>
      <c r="D849" s="86"/>
      <c r="H849" s="86"/>
      <c r="K849" s="86"/>
      <c r="L849" s="86"/>
      <c r="P849" s="86"/>
    </row>
    <row r="850">
      <c r="A850" s="80"/>
      <c r="C850" s="86"/>
      <c r="D850" s="86"/>
      <c r="H850" s="86"/>
      <c r="K850" s="86"/>
      <c r="L850" s="86"/>
      <c r="P850" s="86"/>
    </row>
    <row r="851">
      <c r="A851" s="80"/>
      <c r="C851" s="86"/>
      <c r="D851" s="86"/>
      <c r="H851" s="86"/>
      <c r="K851" s="86"/>
      <c r="L851" s="86"/>
      <c r="P851" s="86"/>
    </row>
    <row r="852">
      <c r="A852" s="80"/>
      <c r="C852" s="86"/>
      <c r="D852" s="86"/>
      <c r="H852" s="86"/>
      <c r="K852" s="86"/>
      <c r="L852" s="86"/>
      <c r="P852" s="86"/>
    </row>
    <row r="853">
      <c r="A853" s="80"/>
      <c r="C853" s="86"/>
      <c r="D853" s="86"/>
      <c r="H853" s="86"/>
      <c r="K853" s="86"/>
      <c r="L853" s="86"/>
      <c r="P853" s="86"/>
    </row>
    <row r="854">
      <c r="A854" s="80"/>
      <c r="C854" s="86"/>
      <c r="D854" s="86"/>
      <c r="H854" s="86"/>
      <c r="K854" s="86"/>
      <c r="L854" s="86"/>
      <c r="P854" s="86"/>
    </row>
    <row r="855">
      <c r="A855" s="80"/>
      <c r="C855" s="86"/>
      <c r="D855" s="86"/>
      <c r="H855" s="86"/>
      <c r="K855" s="86"/>
      <c r="L855" s="86"/>
      <c r="P855" s="86"/>
    </row>
    <row r="856">
      <c r="A856" s="80"/>
      <c r="C856" s="86"/>
      <c r="D856" s="86"/>
      <c r="H856" s="86"/>
      <c r="K856" s="86"/>
      <c r="L856" s="86"/>
      <c r="P856" s="86"/>
    </row>
    <row r="857">
      <c r="A857" s="80"/>
      <c r="C857" s="86"/>
      <c r="D857" s="86"/>
      <c r="H857" s="86"/>
      <c r="K857" s="86"/>
      <c r="L857" s="86"/>
      <c r="P857" s="86"/>
    </row>
    <row r="858">
      <c r="A858" s="80"/>
      <c r="C858" s="86"/>
      <c r="D858" s="86"/>
      <c r="H858" s="86"/>
      <c r="K858" s="86"/>
      <c r="L858" s="86"/>
      <c r="P858" s="86"/>
    </row>
    <row r="859">
      <c r="A859" s="80"/>
      <c r="C859" s="86"/>
      <c r="D859" s="86"/>
      <c r="H859" s="86"/>
      <c r="K859" s="86"/>
      <c r="L859" s="86"/>
      <c r="P859" s="86"/>
    </row>
    <row r="860">
      <c r="A860" s="80"/>
      <c r="C860" s="86"/>
      <c r="D860" s="86"/>
      <c r="H860" s="86"/>
      <c r="K860" s="86"/>
      <c r="L860" s="86"/>
      <c r="P860" s="86"/>
    </row>
    <row r="861">
      <c r="A861" s="80"/>
      <c r="C861" s="86"/>
      <c r="D861" s="86"/>
      <c r="H861" s="86"/>
      <c r="K861" s="86"/>
      <c r="L861" s="86"/>
      <c r="P861" s="86"/>
    </row>
    <row r="862">
      <c r="A862" s="80"/>
      <c r="C862" s="86"/>
      <c r="D862" s="86"/>
      <c r="H862" s="86"/>
      <c r="K862" s="86"/>
      <c r="L862" s="86"/>
      <c r="P862" s="86"/>
    </row>
    <row r="863">
      <c r="A863" s="80"/>
      <c r="C863" s="86"/>
      <c r="D863" s="86"/>
      <c r="H863" s="86"/>
      <c r="K863" s="86"/>
      <c r="L863" s="86"/>
      <c r="P863" s="86"/>
    </row>
    <row r="864">
      <c r="A864" s="80"/>
      <c r="C864" s="86"/>
      <c r="D864" s="86"/>
      <c r="H864" s="86"/>
      <c r="K864" s="86"/>
      <c r="L864" s="86"/>
      <c r="P864" s="86"/>
    </row>
    <row r="865">
      <c r="A865" s="80"/>
      <c r="C865" s="86"/>
      <c r="D865" s="86"/>
      <c r="H865" s="86"/>
      <c r="K865" s="86"/>
      <c r="L865" s="86"/>
      <c r="P865" s="86"/>
    </row>
    <row r="866">
      <c r="A866" s="80"/>
      <c r="C866" s="86"/>
      <c r="D866" s="86"/>
      <c r="H866" s="86"/>
      <c r="K866" s="86"/>
      <c r="L866" s="86"/>
      <c r="P866" s="86"/>
    </row>
    <row r="867">
      <c r="A867" s="80"/>
      <c r="C867" s="86"/>
      <c r="D867" s="86"/>
      <c r="H867" s="86"/>
      <c r="K867" s="86"/>
      <c r="L867" s="86"/>
      <c r="P867" s="86"/>
    </row>
    <row r="868">
      <c r="A868" s="80"/>
      <c r="C868" s="86"/>
      <c r="D868" s="86"/>
      <c r="H868" s="86"/>
      <c r="K868" s="86"/>
      <c r="L868" s="86"/>
      <c r="P868" s="86"/>
    </row>
    <row r="869">
      <c r="A869" s="80"/>
      <c r="C869" s="86"/>
      <c r="D869" s="86"/>
      <c r="H869" s="86"/>
      <c r="K869" s="86"/>
      <c r="L869" s="86"/>
      <c r="P869" s="86"/>
    </row>
    <row r="870">
      <c r="A870" s="80"/>
      <c r="C870" s="86"/>
      <c r="D870" s="86"/>
      <c r="H870" s="86"/>
      <c r="K870" s="86"/>
      <c r="L870" s="86"/>
      <c r="P870" s="86"/>
    </row>
    <row r="871">
      <c r="A871" s="80"/>
      <c r="C871" s="86"/>
      <c r="D871" s="86"/>
      <c r="H871" s="86"/>
      <c r="K871" s="86"/>
      <c r="L871" s="86"/>
      <c r="P871" s="86"/>
    </row>
    <row r="872">
      <c r="A872" s="80"/>
      <c r="C872" s="86"/>
      <c r="D872" s="86"/>
      <c r="H872" s="86"/>
      <c r="K872" s="86"/>
      <c r="L872" s="86"/>
      <c r="P872" s="86"/>
    </row>
    <row r="873">
      <c r="A873" s="80"/>
      <c r="C873" s="86"/>
      <c r="D873" s="86"/>
      <c r="H873" s="86"/>
      <c r="K873" s="86"/>
      <c r="L873" s="86"/>
      <c r="P873" s="86"/>
    </row>
    <row r="874">
      <c r="A874" s="80"/>
      <c r="C874" s="86"/>
      <c r="D874" s="86"/>
      <c r="H874" s="86"/>
      <c r="K874" s="86"/>
      <c r="L874" s="86"/>
      <c r="P874" s="86"/>
    </row>
    <row r="875">
      <c r="A875" s="80"/>
      <c r="C875" s="86"/>
      <c r="D875" s="86"/>
      <c r="H875" s="86"/>
      <c r="K875" s="86"/>
      <c r="L875" s="86"/>
      <c r="P875" s="86"/>
    </row>
    <row r="876">
      <c r="A876" s="80"/>
      <c r="C876" s="86"/>
      <c r="D876" s="86"/>
      <c r="H876" s="86"/>
      <c r="K876" s="86"/>
      <c r="L876" s="86"/>
      <c r="P876" s="86"/>
    </row>
    <row r="877">
      <c r="A877" s="80"/>
      <c r="C877" s="86"/>
      <c r="D877" s="86"/>
      <c r="H877" s="86"/>
      <c r="K877" s="86"/>
      <c r="L877" s="86"/>
      <c r="P877" s="86"/>
    </row>
    <row r="878">
      <c r="A878" s="80"/>
      <c r="C878" s="86"/>
      <c r="D878" s="86"/>
      <c r="H878" s="86"/>
      <c r="K878" s="86"/>
      <c r="L878" s="86"/>
      <c r="P878" s="86"/>
    </row>
    <row r="879">
      <c r="A879" s="80"/>
      <c r="C879" s="86"/>
      <c r="D879" s="86"/>
      <c r="H879" s="86"/>
      <c r="K879" s="86"/>
      <c r="L879" s="86"/>
      <c r="P879" s="86"/>
    </row>
    <row r="880">
      <c r="A880" s="80"/>
      <c r="C880" s="86"/>
      <c r="D880" s="86"/>
      <c r="H880" s="86"/>
      <c r="K880" s="86"/>
      <c r="L880" s="86"/>
      <c r="P880" s="86"/>
    </row>
    <row r="881">
      <c r="A881" s="80"/>
      <c r="C881" s="86"/>
      <c r="D881" s="86"/>
      <c r="H881" s="86"/>
      <c r="K881" s="86"/>
      <c r="L881" s="86"/>
      <c r="P881" s="86"/>
    </row>
    <row r="882">
      <c r="A882" s="80"/>
      <c r="C882" s="86"/>
      <c r="D882" s="86"/>
      <c r="H882" s="86"/>
      <c r="K882" s="86"/>
      <c r="L882" s="86"/>
      <c r="P882" s="86"/>
    </row>
    <row r="883">
      <c r="A883" s="80"/>
      <c r="C883" s="86"/>
      <c r="D883" s="86"/>
      <c r="H883" s="86"/>
      <c r="K883" s="86"/>
      <c r="L883" s="86"/>
      <c r="P883" s="86"/>
    </row>
    <row r="884">
      <c r="A884" s="80"/>
      <c r="C884" s="86"/>
      <c r="D884" s="86"/>
      <c r="H884" s="86"/>
      <c r="K884" s="86"/>
      <c r="L884" s="86"/>
      <c r="P884" s="86"/>
    </row>
    <row r="885">
      <c r="A885" s="80"/>
      <c r="C885" s="86"/>
      <c r="D885" s="86"/>
      <c r="H885" s="86"/>
      <c r="K885" s="86"/>
      <c r="L885" s="86"/>
      <c r="P885" s="86"/>
    </row>
    <row r="886">
      <c r="A886" s="80"/>
      <c r="C886" s="86"/>
      <c r="D886" s="86"/>
      <c r="H886" s="86"/>
      <c r="K886" s="86"/>
      <c r="L886" s="86"/>
      <c r="P886" s="86"/>
    </row>
    <row r="887">
      <c r="A887" s="80"/>
      <c r="C887" s="86"/>
      <c r="D887" s="86"/>
      <c r="H887" s="86"/>
      <c r="K887" s="86"/>
      <c r="L887" s="86"/>
      <c r="P887" s="86"/>
    </row>
    <row r="888">
      <c r="A888" s="80"/>
      <c r="C888" s="86"/>
      <c r="D888" s="86"/>
      <c r="H888" s="86"/>
      <c r="K888" s="86"/>
      <c r="L888" s="86"/>
      <c r="P888" s="86"/>
    </row>
    <row r="889">
      <c r="A889" s="80"/>
      <c r="C889" s="86"/>
      <c r="D889" s="86"/>
      <c r="H889" s="86"/>
      <c r="K889" s="86"/>
      <c r="L889" s="86"/>
      <c r="P889" s="86"/>
    </row>
    <row r="890">
      <c r="A890" s="80"/>
      <c r="C890" s="86"/>
      <c r="D890" s="86"/>
      <c r="H890" s="86"/>
      <c r="K890" s="86"/>
      <c r="L890" s="86"/>
      <c r="P890" s="86"/>
    </row>
    <row r="891">
      <c r="A891" s="80"/>
      <c r="C891" s="86"/>
      <c r="D891" s="86"/>
      <c r="H891" s="86"/>
      <c r="K891" s="86"/>
      <c r="L891" s="86"/>
      <c r="P891" s="86"/>
    </row>
    <row r="892">
      <c r="A892" s="80"/>
      <c r="C892" s="86"/>
      <c r="D892" s="86"/>
      <c r="H892" s="86"/>
      <c r="K892" s="86"/>
      <c r="L892" s="86"/>
      <c r="P892" s="86"/>
    </row>
    <row r="893">
      <c r="A893" s="80"/>
      <c r="C893" s="86"/>
      <c r="D893" s="86"/>
      <c r="H893" s="86"/>
      <c r="K893" s="86"/>
      <c r="L893" s="86"/>
      <c r="P893" s="86"/>
    </row>
    <row r="894">
      <c r="A894" s="80"/>
      <c r="C894" s="86"/>
      <c r="D894" s="86"/>
      <c r="H894" s="86"/>
      <c r="K894" s="86"/>
      <c r="L894" s="86"/>
      <c r="P894" s="86"/>
    </row>
    <row r="895">
      <c r="A895" s="80"/>
      <c r="C895" s="86"/>
      <c r="D895" s="86"/>
      <c r="H895" s="86"/>
      <c r="K895" s="86"/>
      <c r="L895" s="86"/>
      <c r="P895" s="86"/>
    </row>
    <row r="896">
      <c r="A896" s="80"/>
      <c r="C896" s="86"/>
      <c r="D896" s="86"/>
      <c r="H896" s="86"/>
      <c r="K896" s="86"/>
      <c r="L896" s="86"/>
      <c r="P896" s="86"/>
    </row>
    <row r="897">
      <c r="A897" s="80"/>
      <c r="C897" s="86"/>
      <c r="D897" s="86"/>
      <c r="H897" s="86"/>
      <c r="K897" s="86"/>
      <c r="L897" s="86"/>
      <c r="P897" s="86"/>
    </row>
    <row r="898">
      <c r="A898" s="80"/>
      <c r="C898" s="86"/>
      <c r="D898" s="86"/>
      <c r="H898" s="86"/>
      <c r="K898" s="86"/>
      <c r="L898" s="86"/>
      <c r="P898" s="86"/>
    </row>
    <row r="899">
      <c r="A899" s="80"/>
      <c r="C899" s="86"/>
      <c r="D899" s="86"/>
      <c r="H899" s="86"/>
      <c r="K899" s="86"/>
      <c r="L899" s="86"/>
      <c r="P899" s="86"/>
    </row>
    <row r="900">
      <c r="A900" s="80"/>
      <c r="C900" s="86"/>
      <c r="D900" s="86"/>
      <c r="H900" s="86"/>
      <c r="K900" s="86"/>
      <c r="L900" s="86"/>
      <c r="P900" s="86"/>
    </row>
    <row r="901">
      <c r="A901" s="80"/>
      <c r="C901" s="86"/>
      <c r="D901" s="86"/>
      <c r="H901" s="86"/>
      <c r="K901" s="86"/>
      <c r="L901" s="86"/>
      <c r="P901" s="86"/>
    </row>
    <row r="902">
      <c r="A902" s="80"/>
      <c r="C902" s="86"/>
      <c r="D902" s="86"/>
      <c r="H902" s="86"/>
      <c r="K902" s="86"/>
      <c r="L902" s="86"/>
      <c r="P902" s="86"/>
    </row>
    <row r="903">
      <c r="A903" s="80"/>
      <c r="C903" s="86"/>
      <c r="D903" s="86"/>
      <c r="H903" s="86"/>
      <c r="K903" s="86"/>
      <c r="L903" s="86"/>
      <c r="P903" s="86"/>
    </row>
    <row r="904">
      <c r="A904" s="80"/>
      <c r="C904" s="86"/>
      <c r="D904" s="86"/>
      <c r="H904" s="86"/>
      <c r="K904" s="86"/>
      <c r="L904" s="86"/>
      <c r="P904" s="86"/>
    </row>
    <row r="905">
      <c r="A905" s="80"/>
      <c r="C905" s="86"/>
      <c r="D905" s="86"/>
      <c r="H905" s="86"/>
      <c r="K905" s="86"/>
      <c r="L905" s="86"/>
      <c r="P905" s="86"/>
    </row>
    <row r="906">
      <c r="A906" s="80"/>
      <c r="C906" s="86"/>
      <c r="D906" s="86"/>
      <c r="H906" s="86"/>
      <c r="K906" s="86"/>
      <c r="L906" s="86"/>
      <c r="P906" s="86"/>
    </row>
    <row r="907">
      <c r="A907" s="80"/>
      <c r="C907" s="86"/>
      <c r="D907" s="86"/>
      <c r="H907" s="86"/>
      <c r="K907" s="86"/>
      <c r="L907" s="86"/>
      <c r="P907" s="86"/>
    </row>
    <row r="908">
      <c r="A908" s="80"/>
      <c r="C908" s="86"/>
      <c r="D908" s="86"/>
      <c r="H908" s="86"/>
      <c r="K908" s="86"/>
      <c r="L908" s="86"/>
      <c r="P908" s="86"/>
    </row>
    <row r="909">
      <c r="A909" s="80"/>
      <c r="C909" s="86"/>
      <c r="D909" s="86"/>
      <c r="H909" s="86"/>
      <c r="K909" s="86"/>
      <c r="L909" s="86"/>
      <c r="P909" s="86"/>
    </row>
    <row r="910">
      <c r="A910" s="80"/>
      <c r="C910" s="86"/>
      <c r="D910" s="86"/>
      <c r="H910" s="86"/>
      <c r="K910" s="86"/>
      <c r="L910" s="86"/>
      <c r="P910" s="86"/>
    </row>
    <row r="911">
      <c r="A911" s="80"/>
      <c r="C911" s="86"/>
      <c r="D911" s="86"/>
      <c r="H911" s="86"/>
      <c r="K911" s="86"/>
      <c r="L911" s="86"/>
      <c r="P911" s="86"/>
    </row>
    <row r="912">
      <c r="A912" s="80"/>
      <c r="C912" s="86"/>
      <c r="D912" s="86"/>
      <c r="H912" s="86"/>
      <c r="K912" s="86"/>
      <c r="L912" s="86"/>
      <c r="P912" s="86"/>
    </row>
    <row r="913">
      <c r="A913" s="80"/>
      <c r="C913" s="86"/>
      <c r="D913" s="86"/>
      <c r="H913" s="86"/>
      <c r="K913" s="86"/>
      <c r="L913" s="86"/>
      <c r="P913" s="86"/>
    </row>
    <row r="914">
      <c r="A914" s="80"/>
      <c r="C914" s="86"/>
      <c r="D914" s="86"/>
      <c r="H914" s="86"/>
      <c r="K914" s="86"/>
      <c r="L914" s="86"/>
      <c r="P914" s="86"/>
    </row>
    <row r="915">
      <c r="A915" s="80"/>
      <c r="C915" s="86"/>
      <c r="D915" s="86"/>
      <c r="H915" s="86"/>
      <c r="K915" s="86"/>
      <c r="L915" s="86"/>
      <c r="P915" s="86"/>
    </row>
    <row r="916">
      <c r="A916" s="80"/>
      <c r="C916" s="86"/>
      <c r="D916" s="86"/>
      <c r="H916" s="86"/>
      <c r="K916" s="86"/>
      <c r="L916" s="86"/>
      <c r="P916" s="86"/>
    </row>
    <row r="917">
      <c r="A917" s="80"/>
      <c r="C917" s="86"/>
      <c r="D917" s="86"/>
      <c r="H917" s="86"/>
      <c r="K917" s="86"/>
      <c r="L917" s="86"/>
      <c r="P917" s="86"/>
    </row>
    <row r="918">
      <c r="A918" s="80"/>
      <c r="C918" s="86"/>
      <c r="D918" s="86"/>
      <c r="H918" s="86"/>
      <c r="K918" s="86"/>
      <c r="L918" s="86"/>
      <c r="P918" s="86"/>
    </row>
    <row r="919">
      <c r="A919" s="80"/>
      <c r="C919" s="86"/>
      <c r="D919" s="86"/>
      <c r="H919" s="86"/>
      <c r="K919" s="86"/>
      <c r="L919" s="86"/>
      <c r="P919" s="86"/>
    </row>
    <row r="920">
      <c r="A920" s="80"/>
      <c r="C920" s="86"/>
      <c r="D920" s="86"/>
      <c r="H920" s="86"/>
      <c r="K920" s="86"/>
      <c r="L920" s="86"/>
      <c r="P920" s="86"/>
    </row>
    <row r="921">
      <c r="A921" s="80"/>
      <c r="C921" s="86"/>
      <c r="D921" s="86"/>
      <c r="H921" s="86"/>
      <c r="K921" s="86"/>
      <c r="L921" s="86"/>
      <c r="P921" s="86"/>
    </row>
    <row r="922">
      <c r="A922" s="80"/>
      <c r="C922" s="86"/>
      <c r="D922" s="86"/>
      <c r="H922" s="86"/>
      <c r="K922" s="86"/>
      <c r="L922" s="86"/>
      <c r="P922" s="86"/>
    </row>
    <row r="923">
      <c r="A923" s="80"/>
      <c r="C923" s="86"/>
      <c r="D923" s="86"/>
      <c r="H923" s="86"/>
      <c r="K923" s="86"/>
      <c r="L923" s="86"/>
      <c r="P923" s="86"/>
    </row>
    <row r="924">
      <c r="A924" s="80"/>
      <c r="C924" s="86"/>
      <c r="D924" s="86"/>
      <c r="H924" s="86"/>
      <c r="K924" s="86"/>
      <c r="L924" s="86"/>
      <c r="P924" s="86"/>
    </row>
    <row r="925">
      <c r="A925" s="80"/>
      <c r="C925" s="86"/>
      <c r="D925" s="86"/>
      <c r="H925" s="86"/>
      <c r="K925" s="86"/>
      <c r="L925" s="86"/>
      <c r="P925" s="86"/>
    </row>
    <row r="926">
      <c r="A926" s="80"/>
      <c r="C926" s="86"/>
      <c r="D926" s="86"/>
      <c r="H926" s="86"/>
      <c r="K926" s="86"/>
      <c r="L926" s="86"/>
      <c r="P926" s="86"/>
    </row>
    <row r="927">
      <c r="A927" s="80"/>
      <c r="C927" s="86"/>
      <c r="D927" s="86"/>
      <c r="H927" s="86"/>
      <c r="K927" s="86"/>
      <c r="L927" s="86"/>
      <c r="P927" s="86"/>
    </row>
    <row r="928">
      <c r="A928" s="80"/>
      <c r="C928" s="86"/>
      <c r="D928" s="86"/>
      <c r="H928" s="86"/>
      <c r="K928" s="86"/>
      <c r="L928" s="86"/>
      <c r="P928" s="86"/>
    </row>
    <row r="929">
      <c r="A929" s="80"/>
      <c r="C929" s="86"/>
      <c r="D929" s="86"/>
      <c r="H929" s="86"/>
      <c r="K929" s="86"/>
      <c r="L929" s="86"/>
      <c r="P929" s="86"/>
    </row>
    <row r="930">
      <c r="A930" s="80"/>
      <c r="C930" s="86"/>
      <c r="D930" s="86"/>
      <c r="H930" s="86"/>
      <c r="K930" s="86"/>
      <c r="L930" s="86"/>
      <c r="P930" s="86"/>
    </row>
    <row r="931">
      <c r="A931" s="80"/>
      <c r="C931" s="86"/>
      <c r="D931" s="86"/>
      <c r="H931" s="86"/>
      <c r="K931" s="86"/>
      <c r="L931" s="86"/>
      <c r="P931" s="86"/>
    </row>
    <row r="932">
      <c r="A932" s="80"/>
      <c r="C932" s="86"/>
      <c r="D932" s="86"/>
      <c r="H932" s="86"/>
      <c r="K932" s="86"/>
      <c r="L932" s="86"/>
      <c r="P932" s="86"/>
    </row>
    <row r="933">
      <c r="A933" s="80"/>
      <c r="C933" s="86"/>
      <c r="D933" s="86"/>
      <c r="H933" s="86"/>
      <c r="K933" s="86"/>
      <c r="L933" s="86"/>
      <c r="P933" s="86"/>
    </row>
    <row r="934">
      <c r="A934" s="80"/>
      <c r="C934" s="86"/>
      <c r="D934" s="86"/>
      <c r="H934" s="86"/>
      <c r="K934" s="86"/>
      <c r="L934" s="86"/>
      <c r="P934" s="86"/>
    </row>
    <row r="935">
      <c r="A935" s="80"/>
      <c r="C935" s="86"/>
      <c r="D935" s="86"/>
      <c r="H935" s="86"/>
      <c r="K935" s="86"/>
      <c r="L935" s="86"/>
      <c r="P935" s="86"/>
    </row>
    <row r="936">
      <c r="A936" s="80"/>
      <c r="C936" s="86"/>
      <c r="D936" s="86"/>
      <c r="H936" s="86"/>
      <c r="K936" s="86"/>
      <c r="L936" s="86"/>
      <c r="P936" s="86"/>
    </row>
    <row r="937">
      <c r="A937" s="80"/>
      <c r="C937" s="86"/>
      <c r="D937" s="86"/>
      <c r="H937" s="86"/>
      <c r="K937" s="86"/>
      <c r="L937" s="86"/>
      <c r="P937" s="86"/>
    </row>
    <row r="938">
      <c r="A938" s="80"/>
      <c r="C938" s="86"/>
      <c r="D938" s="86"/>
      <c r="H938" s="86"/>
      <c r="K938" s="86"/>
      <c r="L938" s="86"/>
      <c r="P938" s="86"/>
    </row>
    <row r="939">
      <c r="A939" s="80"/>
      <c r="C939" s="86"/>
      <c r="D939" s="86"/>
      <c r="H939" s="86"/>
      <c r="K939" s="86"/>
      <c r="L939" s="86"/>
      <c r="P939" s="86"/>
    </row>
    <row r="940">
      <c r="A940" s="80"/>
      <c r="C940" s="86"/>
      <c r="D940" s="86"/>
      <c r="H940" s="86"/>
      <c r="K940" s="86"/>
      <c r="L940" s="86"/>
      <c r="P940" s="86"/>
    </row>
    <row r="941">
      <c r="A941" s="80"/>
      <c r="C941" s="86"/>
      <c r="D941" s="86"/>
      <c r="H941" s="86"/>
      <c r="K941" s="86"/>
      <c r="L941" s="86"/>
      <c r="P941" s="86"/>
    </row>
    <row r="942">
      <c r="A942" s="80"/>
      <c r="C942" s="86"/>
      <c r="D942" s="86"/>
      <c r="H942" s="86"/>
      <c r="K942" s="86"/>
      <c r="L942" s="86"/>
      <c r="P942" s="86"/>
    </row>
    <row r="943">
      <c r="A943" s="80"/>
      <c r="C943" s="86"/>
      <c r="D943" s="86"/>
      <c r="H943" s="86"/>
      <c r="K943" s="86"/>
      <c r="L943" s="86"/>
      <c r="P943" s="86"/>
    </row>
    <row r="944">
      <c r="A944" s="80"/>
      <c r="C944" s="86"/>
      <c r="D944" s="86"/>
      <c r="H944" s="86"/>
      <c r="K944" s="86"/>
      <c r="L944" s="86"/>
      <c r="P944" s="86"/>
    </row>
    <row r="945">
      <c r="A945" s="80"/>
      <c r="C945" s="86"/>
      <c r="D945" s="86"/>
      <c r="H945" s="86"/>
      <c r="K945" s="86"/>
      <c r="L945" s="86"/>
      <c r="P945" s="86"/>
    </row>
    <row r="946">
      <c r="A946" s="80"/>
      <c r="C946" s="86"/>
      <c r="D946" s="86"/>
      <c r="H946" s="86"/>
      <c r="K946" s="86"/>
      <c r="L946" s="86"/>
      <c r="P946" s="86"/>
    </row>
    <row r="947">
      <c r="A947" s="80"/>
      <c r="C947" s="86"/>
      <c r="D947" s="86"/>
      <c r="H947" s="86"/>
      <c r="K947" s="86"/>
      <c r="L947" s="86"/>
      <c r="P947" s="86"/>
    </row>
    <row r="948">
      <c r="A948" s="80"/>
      <c r="C948" s="86"/>
      <c r="D948" s="86"/>
      <c r="H948" s="86"/>
      <c r="K948" s="86"/>
      <c r="L948" s="86"/>
      <c r="P948" s="86"/>
    </row>
    <row r="949">
      <c r="A949" s="80"/>
      <c r="C949" s="86"/>
      <c r="D949" s="86"/>
      <c r="H949" s="86"/>
      <c r="K949" s="86"/>
      <c r="L949" s="86"/>
      <c r="P949" s="86"/>
    </row>
    <row r="950">
      <c r="A950" s="80"/>
      <c r="C950" s="86"/>
      <c r="D950" s="86"/>
      <c r="H950" s="86"/>
      <c r="K950" s="86"/>
      <c r="L950" s="86"/>
      <c r="P950" s="86"/>
    </row>
    <row r="951">
      <c r="A951" s="80"/>
      <c r="C951" s="86"/>
      <c r="D951" s="86"/>
      <c r="H951" s="86"/>
      <c r="K951" s="86"/>
      <c r="L951" s="86"/>
      <c r="P951" s="86"/>
    </row>
    <row r="952">
      <c r="A952" s="80"/>
      <c r="C952" s="86"/>
      <c r="D952" s="86"/>
      <c r="H952" s="86"/>
      <c r="K952" s="86"/>
      <c r="L952" s="86"/>
      <c r="P952" s="86"/>
    </row>
    <row r="953">
      <c r="A953" s="80"/>
      <c r="C953" s="86"/>
      <c r="D953" s="86"/>
      <c r="H953" s="86"/>
      <c r="K953" s="86"/>
      <c r="L953" s="86"/>
      <c r="P953" s="86"/>
    </row>
    <row r="954">
      <c r="A954" s="80"/>
      <c r="C954" s="86"/>
      <c r="D954" s="86"/>
      <c r="H954" s="86"/>
      <c r="K954" s="86"/>
      <c r="L954" s="86"/>
      <c r="P954" s="86"/>
    </row>
    <row r="955">
      <c r="A955" s="80"/>
      <c r="C955" s="86"/>
      <c r="D955" s="86"/>
      <c r="H955" s="86"/>
      <c r="K955" s="86"/>
      <c r="L955" s="86"/>
      <c r="P955" s="86"/>
    </row>
    <row r="956">
      <c r="A956" s="80"/>
      <c r="C956" s="86"/>
      <c r="D956" s="86"/>
      <c r="H956" s="86"/>
      <c r="K956" s="86"/>
      <c r="L956" s="86"/>
      <c r="P956" s="86"/>
    </row>
    <row r="957">
      <c r="A957" s="80"/>
      <c r="C957" s="86"/>
      <c r="D957" s="86"/>
      <c r="H957" s="86"/>
      <c r="K957" s="86"/>
      <c r="L957" s="86"/>
      <c r="P957" s="86"/>
    </row>
    <row r="958">
      <c r="A958" s="80"/>
      <c r="C958" s="86"/>
      <c r="D958" s="86"/>
      <c r="H958" s="86"/>
      <c r="K958" s="86"/>
      <c r="L958" s="86"/>
      <c r="P958" s="86"/>
    </row>
    <row r="959">
      <c r="A959" s="80"/>
      <c r="C959" s="86"/>
      <c r="D959" s="86"/>
      <c r="H959" s="86"/>
      <c r="K959" s="86"/>
      <c r="L959" s="86"/>
      <c r="P959" s="86"/>
    </row>
    <row r="960">
      <c r="A960" s="80"/>
      <c r="C960" s="86"/>
      <c r="D960" s="86"/>
      <c r="H960" s="86"/>
      <c r="K960" s="86"/>
      <c r="L960" s="86"/>
      <c r="P960" s="86"/>
    </row>
    <row r="961">
      <c r="A961" s="80"/>
      <c r="C961" s="86"/>
      <c r="D961" s="86"/>
      <c r="H961" s="86"/>
      <c r="K961" s="86"/>
      <c r="L961" s="86"/>
      <c r="P961" s="86"/>
    </row>
    <row r="962">
      <c r="A962" s="80"/>
      <c r="C962" s="86"/>
      <c r="D962" s="86"/>
      <c r="H962" s="86"/>
      <c r="K962" s="86"/>
      <c r="L962" s="86"/>
      <c r="P962" s="86"/>
    </row>
    <row r="963">
      <c r="A963" s="80"/>
      <c r="C963" s="86"/>
      <c r="D963" s="86"/>
      <c r="H963" s="86"/>
      <c r="K963" s="86"/>
      <c r="L963" s="86"/>
      <c r="P963" s="86"/>
    </row>
    <row r="964">
      <c r="A964" s="80"/>
      <c r="C964" s="86"/>
      <c r="D964" s="86"/>
      <c r="H964" s="86"/>
      <c r="K964" s="86"/>
      <c r="L964" s="86"/>
      <c r="P964" s="86"/>
    </row>
    <row r="965">
      <c r="A965" s="80"/>
      <c r="C965" s="86"/>
      <c r="D965" s="86"/>
      <c r="H965" s="86"/>
      <c r="K965" s="86"/>
      <c r="L965" s="86"/>
      <c r="P965" s="86"/>
    </row>
    <row r="966">
      <c r="A966" s="80"/>
      <c r="C966" s="86"/>
      <c r="D966" s="86"/>
      <c r="H966" s="86"/>
      <c r="K966" s="86"/>
      <c r="L966" s="86"/>
      <c r="P966" s="86"/>
    </row>
    <row r="967">
      <c r="A967" s="80"/>
      <c r="C967" s="86"/>
      <c r="D967" s="86"/>
      <c r="H967" s="86"/>
      <c r="K967" s="86"/>
      <c r="L967" s="86"/>
      <c r="P967" s="86"/>
    </row>
    <row r="968">
      <c r="A968" s="80"/>
      <c r="C968" s="86"/>
      <c r="D968" s="86"/>
      <c r="H968" s="86"/>
      <c r="K968" s="86"/>
      <c r="L968" s="86"/>
      <c r="P968" s="86"/>
    </row>
    <row r="969">
      <c r="A969" s="80"/>
      <c r="C969" s="86"/>
      <c r="D969" s="86"/>
      <c r="H969" s="86"/>
      <c r="K969" s="86"/>
      <c r="L969" s="86"/>
      <c r="P969" s="86"/>
    </row>
    <row r="970">
      <c r="A970" s="80"/>
      <c r="C970" s="86"/>
      <c r="D970" s="86"/>
      <c r="H970" s="86"/>
      <c r="K970" s="86"/>
      <c r="L970" s="86"/>
      <c r="P970" s="86"/>
    </row>
    <row r="971">
      <c r="A971" s="80"/>
      <c r="C971" s="86"/>
      <c r="D971" s="86"/>
      <c r="H971" s="86"/>
      <c r="K971" s="86"/>
      <c r="L971" s="86"/>
      <c r="P971" s="86"/>
    </row>
    <row r="972">
      <c r="A972" s="80"/>
      <c r="C972" s="86"/>
      <c r="D972" s="86"/>
      <c r="H972" s="86"/>
      <c r="K972" s="86"/>
      <c r="L972" s="86"/>
      <c r="P972" s="86"/>
    </row>
    <row r="973">
      <c r="A973" s="80"/>
      <c r="C973" s="86"/>
      <c r="D973" s="86"/>
      <c r="H973" s="86"/>
      <c r="K973" s="86"/>
      <c r="L973" s="86"/>
      <c r="P973" s="86"/>
    </row>
    <row r="974">
      <c r="A974" s="80"/>
      <c r="C974" s="86"/>
      <c r="D974" s="86"/>
      <c r="H974" s="86"/>
      <c r="K974" s="86"/>
      <c r="L974" s="86"/>
      <c r="P974" s="86"/>
    </row>
    <row r="975">
      <c r="A975" s="80"/>
      <c r="C975" s="86"/>
      <c r="D975" s="86"/>
      <c r="H975" s="86"/>
      <c r="K975" s="86"/>
      <c r="L975" s="86"/>
      <c r="P975" s="86"/>
    </row>
    <row r="976">
      <c r="A976" s="80"/>
      <c r="C976" s="86"/>
      <c r="D976" s="86"/>
      <c r="H976" s="86"/>
      <c r="K976" s="86"/>
      <c r="L976" s="86"/>
      <c r="P976" s="86"/>
    </row>
    <row r="977">
      <c r="A977" s="80"/>
      <c r="C977" s="86"/>
      <c r="D977" s="86"/>
      <c r="H977" s="86"/>
      <c r="K977" s="86"/>
      <c r="L977" s="86"/>
      <c r="P977" s="86"/>
    </row>
    <row r="978">
      <c r="A978" s="80"/>
      <c r="C978" s="86"/>
      <c r="D978" s="86"/>
      <c r="H978" s="86"/>
      <c r="K978" s="86"/>
      <c r="L978" s="86"/>
      <c r="P978" s="86"/>
    </row>
    <row r="979">
      <c r="A979" s="80"/>
      <c r="C979" s="86"/>
      <c r="D979" s="86"/>
      <c r="H979" s="86"/>
      <c r="K979" s="86"/>
      <c r="L979" s="86"/>
      <c r="P979" s="86"/>
    </row>
    <row r="980">
      <c r="A980" s="80"/>
      <c r="C980" s="86"/>
      <c r="D980" s="86"/>
      <c r="H980" s="86"/>
      <c r="K980" s="86"/>
      <c r="L980" s="86"/>
      <c r="P980" s="86"/>
    </row>
    <row r="981">
      <c r="A981" s="80"/>
      <c r="C981" s="86"/>
      <c r="D981" s="86"/>
      <c r="H981" s="86"/>
      <c r="K981" s="86"/>
      <c r="L981" s="86"/>
      <c r="P981" s="86"/>
    </row>
    <row r="982">
      <c r="A982" s="80"/>
      <c r="C982" s="86"/>
      <c r="D982" s="86"/>
      <c r="H982" s="86"/>
      <c r="K982" s="86"/>
      <c r="L982" s="86"/>
      <c r="P982" s="86"/>
    </row>
    <row r="983">
      <c r="A983" s="80"/>
      <c r="C983" s="86"/>
      <c r="D983" s="86"/>
      <c r="H983" s="86"/>
      <c r="K983" s="86"/>
      <c r="L983" s="86"/>
      <c r="P983" s="86"/>
    </row>
    <row r="984">
      <c r="A984" s="80"/>
      <c r="C984" s="86"/>
      <c r="D984" s="86"/>
      <c r="H984" s="86"/>
      <c r="K984" s="86"/>
      <c r="L984" s="86"/>
      <c r="P984" s="86"/>
    </row>
    <row r="985">
      <c r="A985" s="80"/>
      <c r="C985" s="86"/>
      <c r="D985" s="86"/>
      <c r="H985" s="86"/>
      <c r="K985" s="86"/>
      <c r="L985" s="86"/>
      <c r="P985" s="86"/>
    </row>
    <row r="986">
      <c r="A986" s="80"/>
      <c r="C986" s="86"/>
      <c r="D986" s="86"/>
      <c r="H986" s="86"/>
      <c r="K986" s="86"/>
      <c r="L986" s="86"/>
      <c r="P986" s="86"/>
    </row>
    <row r="987">
      <c r="A987" s="80"/>
      <c r="C987" s="86"/>
      <c r="D987" s="86"/>
      <c r="H987" s="86"/>
      <c r="K987" s="86"/>
      <c r="L987" s="86"/>
      <c r="P987" s="86"/>
    </row>
    <row r="988">
      <c r="A988" s="80"/>
      <c r="C988" s="86"/>
      <c r="D988" s="86"/>
      <c r="H988" s="86"/>
      <c r="K988" s="86"/>
      <c r="L988" s="86"/>
      <c r="P988" s="86"/>
    </row>
    <row r="989">
      <c r="A989" s="80"/>
      <c r="C989" s="86"/>
      <c r="D989" s="86"/>
      <c r="H989" s="86"/>
      <c r="K989" s="86"/>
      <c r="L989" s="86"/>
      <c r="P989" s="86"/>
    </row>
    <row r="990">
      <c r="A990" s="80"/>
      <c r="C990" s="86"/>
      <c r="D990" s="86"/>
      <c r="H990" s="86"/>
      <c r="K990" s="86"/>
      <c r="L990" s="86"/>
      <c r="P990" s="86"/>
    </row>
    <row r="991">
      <c r="A991" s="80"/>
      <c r="C991" s="86"/>
      <c r="D991" s="86"/>
      <c r="H991" s="86"/>
      <c r="K991" s="86"/>
      <c r="L991" s="86"/>
      <c r="P991" s="86"/>
    </row>
    <row r="992">
      <c r="A992" s="80"/>
      <c r="C992" s="86"/>
      <c r="D992" s="86"/>
      <c r="H992" s="86"/>
      <c r="K992" s="86"/>
      <c r="L992" s="86"/>
      <c r="P992" s="86"/>
    </row>
    <row r="993">
      <c r="A993" s="80"/>
      <c r="C993" s="86"/>
      <c r="D993" s="86"/>
      <c r="H993" s="86"/>
      <c r="K993" s="86"/>
      <c r="L993" s="86"/>
      <c r="P993" s="86"/>
    </row>
    <row r="994">
      <c r="A994" s="80"/>
      <c r="C994" s="86"/>
      <c r="D994" s="86"/>
      <c r="H994" s="86"/>
      <c r="K994" s="86"/>
      <c r="L994" s="86"/>
      <c r="P994" s="86"/>
    </row>
    <row r="995">
      <c r="A995" s="80"/>
      <c r="C995" s="86"/>
      <c r="D995" s="86"/>
      <c r="H995" s="86"/>
      <c r="K995" s="86"/>
      <c r="L995" s="86"/>
      <c r="P995" s="86"/>
    </row>
    <row r="996">
      <c r="A996" s="80"/>
      <c r="C996" s="86"/>
      <c r="D996" s="86"/>
      <c r="H996" s="86"/>
      <c r="K996" s="86"/>
      <c r="L996" s="86"/>
      <c r="P996" s="86"/>
    </row>
    <row r="997">
      <c r="A997" s="80"/>
      <c r="C997" s="86"/>
      <c r="D997" s="86"/>
      <c r="H997" s="86"/>
      <c r="K997" s="86"/>
      <c r="L997" s="86"/>
      <c r="P997" s="86"/>
    </row>
    <row r="998">
      <c r="A998" s="80"/>
      <c r="C998" s="86"/>
      <c r="D998" s="86"/>
      <c r="H998" s="86"/>
      <c r="K998" s="86"/>
      <c r="L998" s="86"/>
      <c r="P998" s="86"/>
    </row>
    <row r="999">
      <c r="A999" s="80"/>
      <c r="C999" s="86"/>
      <c r="D999" s="86"/>
      <c r="H999" s="86"/>
      <c r="K999" s="86"/>
      <c r="L999" s="86"/>
      <c r="P999" s="86"/>
    </row>
    <row r="1000">
      <c r="A1000" s="80"/>
      <c r="C1000" s="86"/>
      <c r="D1000" s="86"/>
      <c r="H1000" s="86"/>
      <c r="K1000" s="86"/>
      <c r="L1000" s="86"/>
      <c r="P1000" s="86"/>
    </row>
  </sheetData>
  <mergeCells count="3">
    <mergeCell ref="B1:R2"/>
    <mergeCell ref="B41:R42"/>
    <mergeCell ref="B89:R9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25.88"/>
    <col customWidth="1" min="3" max="3" width="13.38"/>
    <col customWidth="1" min="4" max="4" width="7.25"/>
    <col customWidth="1" min="5" max="5" width="10.63"/>
    <col customWidth="1" min="6" max="6" width="21.5"/>
    <col customWidth="1" min="9" max="9" width="13.5"/>
    <col customWidth="1" min="10" max="10" width="15.88"/>
    <col customWidth="1" min="11" max="11" width="3.13"/>
    <col customWidth="1" min="12" max="12" width="6.88"/>
    <col customWidth="1" min="13" max="13" width="8.5"/>
    <col customWidth="1" min="14" max="14" width="2.88"/>
    <col customWidth="1" min="15" max="15" width="8.38"/>
    <col customWidth="1" min="16" max="16" width="6.63"/>
    <col customWidth="1" min="17" max="17" width="9.38"/>
    <col customWidth="1" min="18" max="18" width="9.5"/>
    <col customWidth="1" min="19" max="19" width="9.13"/>
  </cols>
  <sheetData>
    <row r="1" ht="24.75" customHeight="1">
      <c r="A1" s="95"/>
      <c r="B1" s="96" t="s">
        <v>1511</v>
      </c>
      <c r="C1" s="97" t="s">
        <v>9</v>
      </c>
      <c r="D1" s="98" t="s">
        <v>1477</v>
      </c>
      <c r="E1" s="99" t="s">
        <v>1523</v>
      </c>
      <c r="F1" s="100" t="s">
        <v>1524</v>
      </c>
      <c r="G1" s="101" t="s">
        <v>1525</v>
      </c>
      <c r="H1" s="101" t="s">
        <v>1481</v>
      </c>
      <c r="I1" s="101" t="s">
        <v>1482</v>
      </c>
      <c r="J1" s="100" t="s">
        <v>1526</v>
      </c>
      <c r="K1" s="102"/>
      <c r="L1" s="103" t="s">
        <v>1512</v>
      </c>
      <c r="M1" s="104" t="s">
        <v>1527</v>
      </c>
      <c r="N1" s="105"/>
      <c r="O1" s="106" t="s">
        <v>1519</v>
      </c>
      <c r="P1" s="106" t="s">
        <v>1528</v>
      </c>
      <c r="Q1" s="104" t="s">
        <v>1529</v>
      </c>
      <c r="R1" s="107" t="s">
        <v>1530</v>
      </c>
      <c r="S1" s="108" t="s">
        <v>1531</v>
      </c>
      <c r="T1" s="109" t="s">
        <v>1532</v>
      </c>
    </row>
    <row r="2">
      <c r="A2" s="110" t="str">
        <f t="array" ref="A2">IFERROR(
  INDEX(Refined_Data!O:O, MATCH(B2, Refined_Data!A:A, FALSE)),
"")</f>
        <v>Chan, Chinda</v>
      </c>
      <c r="B2" s="111" t="str">
        <f>Refined_Data!A17</f>
        <v>Chan, Chinda</v>
      </c>
      <c r="C2" s="112" t="str">
        <f>IFERROR(VLOOKUP(B2, Refined_Data!A:Z, 4, FALSE), "")</f>
        <v>Bilingual-French</v>
      </c>
      <c r="D2" s="113" t="str">
        <f>IF(B2="","", IFERROR(VLOOKUP(B2, Refined_Data!A:Z, 5, FALSE), ""))</f>
        <v>Night</v>
      </c>
      <c r="E2" s="114">
        <f>IFERROR(VLOOKUP(B2, Refined_Data!A:Z, 3, FALSE),"")</f>
        <v>2</v>
      </c>
      <c r="F2" s="115" t="str">
        <f t="array" ref="F2">IF(B2="","",
  IFERROR(
    TEXTJOIN(", ", TRUE,
      IF(INDEX(Refined_Data!K:K, MATCH(B2, Refined_Data!A:A, 0))="Yes","SAFE",""),
      IF(INDEX(Refined_Data!L:L, MATCH(B2, Refined_Data!A:A, 0))="Yes","TRBLSHOOT",""),
      IF(INDEX(Refined_Data!M:M, MATCH(B2, Refined_Data!A:A, 0))="Yes","BMRC","")
    ),
  "")
)</f>
        <v/>
      </c>
      <c r="G2" s="116" t="str">
        <f>IFERROR(VLOOKUP(B2, Refined_Data!A:Z, 8, FALSE), "")</f>
        <v>M0397</v>
      </c>
      <c r="H2" s="116">
        <f>IFERROR(VLOOKUP(B2, Refined_Data!A:Z, 9, FALSE), "")</f>
        <v>100766860</v>
      </c>
      <c r="I2" s="116">
        <f>IFERROR(VLOOKUP(B2, Refined_Data!A:Z, 10, FALSE), "")</f>
        <v>1060052</v>
      </c>
      <c r="J2" s="117" t="str">
        <f>IFERROR(VLOOKUP(B2, Refined_Data!A:Z, 14, FALSE), "")</f>
        <v>Rwano, Guy Fremin</v>
      </c>
      <c r="K2" s="118" t="str">
        <f t="shared" ref="K2:K129" si="1">IF(L2="", "",
  IF(L2 &gt; M2, "↑",
  IF(L2 &lt; M2, "↓",
  "→")))</f>
        <v>↓</v>
      </c>
      <c r="L2" s="119">
        <f>IFERROR(VLOOKUP(A2, Current_Stats!A:Z, 7, FALSE), "")</f>
        <v>0.59</v>
      </c>
      <c r="M2" s="119">
        <f>IFERROR(VLOOKUP(A2, Previous_Stats!A:Z, 7, FALSE), "")</f>
        <v>0.648</v>
      </c>
      <c r="N2" s="120" t="str">
        <f t="shared" ref="N2:N129" si="2">IF(O2="", "",
  IF(O2 &gt; P2, "↑",
  IF(O2 &lt; P2, "↓",
  "→")))</f>
        <v>↑</v>
      </c>
      <c r="O2" s="119">
        <f>IFERROR(VLOOKUP(A2, Current_Stats!A:Z, 8, FALSE), "")</f>
        <v>0.41</v>
      </c>
      <c r="P2" s="119">
        <f>IFERROR(VLOOKUP(A2, Previous_Stats!A:Z, 8, FALSE), "")</f>
        <v>0.352</v>
      </c>
      <c r="Q2" s="121" t="str">
        <f>IFERROR(VLOOKUP(B2, Shift_Analysis!A:Z, 6, FALSE), "")</f>
        <v>1</v>
      </c>
      <c r="R2" s="122" t="str">
        <f>IFERROR(VLOOKUP(B2, Shift_Analysis!A:Z, 7, FALSE), "")</f>
        <v>2</v>
      </c>
      <c r="S2" s="123">
        <f>IFERROR(VLOOKUP(A2, Current_Stats!A:Z, 3, FALSE),"")</f>
        <v>14</v>
      </c>
    </row>
    <row r="3">
      <c r="A3" s="110" t="str">
        <f t="array" ref="A3">IFERROR(
  INDEX(Refined_Data!O:O, MATCH(B3, Refined_Data!A:A, FALSE)),
"")</f>
        <v>Flanagan-Fortin, Shawn</v>
      </c>
      <c r="B3" s="124" t="str">
        <f>Refined_Data!A31</f>
        <v>Flanagan-Fortin, Shawn</v>
      </c>
      <c r="C3" s="112" t="str">
        <f>IFERROR(VLOOKUP(B3, Refined_Data!A:Z, 4, FALSE), "")</f>
        <v>English</v>
      </c>
      <c r="D3" s="113" t="str">
        <f>IF(B3="","", IFERROR(VLOOKUP(B3, Refined_Data!A:Z, 5, FALSE), ""))</f>
        <v>Evening</v>
      </c>
      <c r="E3" s="114">
        <f>IFERROR(VLOOKUP(B3, Refined_Data!A:Z, 3, FALSE),"")</f>
        <v>4</v>
      </c>
      <c r="F3" s="125" t="str">
        <f t="array" ref="F3">IF(B3="","",
  IFERROR(
    TEXTJOIN(", ", TRUE,
      IF(INDEX(Refined_Data!K:K, MATCH(B3, Refined_Data!A:A, 0))="Yes","SAFE",""),
      IF(INDEX(Refined_Data!L:L, MATCH(B3, Refined_Data!A:A, 0))="Yes","TRBLSHOOT",""),
      IF(INDEX(Refined_Data!M:M, MATCH(B3, Refined_Data!A:A, 0))="Yes","BMRC","")
    ),
  "")
)</f>
        <v>SAFE, BMRC</v>
      </c>
      <c r="G3" s="126" t="str">
        <f>IFERROR(VLOOKUP(B3, Refined_Data!A:Z, 8, FALSE), "")</f>
        <v>M0113</v>
      </c>
      <c r="H3" s="126">
        <f>IFERROR(VLOOKUP(B3, Refined_Data!A:Z, 9, FALSE), "")</f>
        <v>100967974</v>
      </c>
      <c r="I3" s="126">
        <f>IFERROR(VLOOKUP(B3, Refined_Data!A:Z, 10, FALSE), "")</f>
        <v>1067360</v>
      </c>
      <c r="J3" s="127" t="str">
        <f>IFERROR(VLOOKUP(B3, Refined_Data!A:Z, 14, FALSE), "")</f>
        <v>Dhindsa, Sukhjinder</v>
      </c>
      <c r="K3" s="118" t="str">
        <f t="shared" si="1"/>
        <v>→</v>
      </c>
      <c r="L3" s="119">
        <f>IFERROR(VLOOKUP(A3, Current_Stats!A:Z, 7, FALSE), "")</f>
        <v>0.632</v>
      </c>
      <c r="M3" s="119">
        <f>IFERROR(VLOOKUP(A3, Previous_Stats!A:Z, 7, FALSE), "")</f>
        <v>0.632</v>
      </c>
      <c r="N3" s="120" t="str">
        <f t="shared" si="2"/>
        <v>→</v>
      </c>
      <c r="O3" s="119">
        <f>IFERROR(VLOOKUP(A3, Current_Stats!A:Z, 8, FALSE), "")</f>
        <v>0.368</v>
      </c>
      <c r="P3" s="119">
        <f>IFERROR(VLOOKUP(A3, Previous_Stats!A:Z, 8, FALSE), "")</f>
        <v>0.368</v>
      </c>
      <c r="Q3" s="112" t="str">
        <f>IFERROR(VLOOKUP(B3, Shift_Analysis!A:Z, 6, FALSE), "")</f>
        <v>3</v>
      </c>
      <c r="R3" s="114" t="str">
        <f>IFERROR(VLOOKUP(B3, Shift_Analysis!A:Z, 7, FALSE), "")</f>
        <v>3</v>
      </c>
      <c r="S3" s="123">
        <f>IFERROR(VLOOKUP(A3, Current_Stats!A:Z, 3, FALSE),"")</f>
        <v>7</v>
      </c>
    </row>
    <row r="4">
      <c r="A4" s="110" t="str">
        <f t="array" ref="A4">IFERROR(
  INDEX(Refined_Data!O:O, MATCH(B4, Refined_Data!A:A, FALSE)),
"")</f>
        <v>Ho, Destiny</v>
      </c>
      <c r="B4" s="124" t="str">
        <f>Refined_Data!A40</f>
        <v>Ho, Hong (Destiny)</v>
      </c>
      <c r="C4" s="112" t="str">
        <f>IFERROR(VLOOKUP(B4, Refined_Data!A:Z, 4, FALSE), "")</f>
        <v>English</v>
      </c>
      <c r="D4" s="113" t="str">
        <f>IF(B4="","", IFERROR(VLOOKUP(B4, Refined_Data!A:Z, 5, FALSE), ""))</f>
        <v>Day</v>
      </c>
      <c r="E4" s="114">
        <f>IFERROR(VLOOKUP(B4, Refined_Data!A:Z, 3, FALSE),"")</f>
        <v>2</v>
      </c>
      <c r="F4" s="125" t="str">
        <f t="array" ref="F4">IF(B4="","",
  IFERROR(
    TEXTJOIN(", ", TRUE,
      IF(INDEX(Refined_Data!K:K, MATCH(B4, Refined_Data!A:A, 0))="Yes","SAFE",""),
      IF(INDEX(Refined_Data!L:L, MATCH(B4, Refined_Data!A:A, 0))="Yes","TRBLSHOOT",""),
      IF(INDEX(Refined_Data!M:M, MATCH(B4, Refined_Data!A:A, 0))="Yes","BMRC","")
    ),
  "")
)</f>
        <v>SAFE</v>
      </c>
      <c r="G4" s="126" t="str">
        <f>IFERROR(VLOOKUP(B4, Refined_Data!A:Z, 8, FALSE), "")</f>
        <v>M0131</v>
      </c>
      <c r="H4" s="126">
        <f>IFERROR(VLOOKUP(B4, Refined_Data!A:Z, 9, FALSE), "")</f>
        <v>100956362</v>
      </c>
      <c r="I4" s="126">
        <f>IFERROR(VLOOKUP(B4, Refined_Data!A:Z, 10, FALSE), "")</f>
        <v>1020178</v>
      </c>
      <c r="J4" s="127" t="str">
        <f>IFERROR(VLOOKUP(B4, Refined_Data!A:Z, 14, FALSE), "")</f>
        <v>Gillingham, Shelley</v>
      </c>
      <c r="K4" s="118" t="str">
        <f t="shared" si="1"/>
        <v>↓</v>
      </c>
      <c r="L4" s="119">
        <f>IFERROR(VLOOKUP(A4, Current_Stats!A:Z, 7, FALSE), "")</f>
        <v>0.476</v>
      </c>
      <c r="M4" s="119">
        <f>IFERROR(VLOOKUP(A4, Previous_Stats!A:Z, 7, FALSE), "")</f>
        <v>0.504</v>
      </c>
      <c r="N4" s="120" t="str">
        <f t="shared" si="2"/>
        <v>↑</v>
      </c>
      <c r="O4" s="119">
        <f>IFERROR(VLOOKUP(A4, Current_Stats!A:Z, 8, FALSE), "")</f>
        <v>0.524</v>
      </c>
      <c r="P4" s="119">
        <f>IFERROR(VLOOKUP(A4, Previous_Stats!A:Z, 8, FALSE), "")</f>
        <v>0.496</v>
      </c>
      <c r="Q4" s="112" t="str">
        <f>IFERROR(VLOOKUP(B4, Shift_Analysis!A:Z, 6, FALSE), "")</f>
        <v>2</v>
      </c>
      <c r="R4" s="114" t="str">
        <f>IFERROR(VLOOKUP(B4, Shift_Analysis!A:Z, 7, FALSE), "")</f>
        <v>2</v>
      </c>
      <c r="S4" s="123">
        <f>IFERROR(VLOOKUP(A4, Current_Stats!A:Z, 3, FALSE),"")</f>
        <v>13</v>
      </c>
    </row>
    <row r="5">
      <c r="A5" s="110" t="str">
        <f t="array" ref="A5">IFERROR(
  INDEX(Refined_Data!O:O, MATCH(B5, Refined_Data!A:A, FALSE)),
"")</f>
        <v>Kenol, Sheila</v>
      </c>
      <c r="B5" s="124" t="str">
        <f>Refined_Data!A50</f>
        <v>Kenol, Sheilla</v>
      </c>
      <c r="C5" s="112" t="str">
        <f>IFERROR(VLOOKUP(B5, Refined_Data!A:Z, 4, FALSE), "")</f>
        <v>Bilingual-French</v>
      </c>
      <c r="D5" s="113" t="str">
        <f>IF(B5="","", IFERROR(VLOOKUP(B5, Refined_Data!A:Z, 5, FALSE), ""))</f>
        <v>Night</v>
      </c>
      <c r="E5" s="114">
        <f>IFERROR(VLOOKUP(B5, Refined_Data!A:Z, 3, FALSE),"")</f>
        <v>4</v>
      </c>
      <c r="F5" s="125" t="str">
        <f t="array" ref="F5">IF(B5="","",
  IFERROR(
    TEXTJOIN(", ", TRUE,
      IF(INDEX(Refined_Data!K:K, MATCH(B5, Refined_Data!A:A, 0))="Yes","SAFE",""),
      IF(INDEX(Refined_Data!L:L, MATCH(B5, Refined_Data!A:A, 0))="Yes","TRBLSHOOT",""),
      IF(INDEX(Refined_Data!M:M, MATCH(B5, Refined_Data!A:A, 0))="Yes","BMRC","")
    ),
  "")
)</f>
        <v>SAFE, TRBLSHOOT</v>
      </c>
      <c r="G5" s="126" t="str">
        <f>IFERROR(VLOOKUP(B5, Refined_Data!A:Z, 8, FALSE), "")</f>
        <v>M0143</v>
      </c>
      <c r="H5" s="126">
        <f>IFERROR(VLOOKUP(B5, Refined_Data!A:Z, 9, FALSE), "")</f>
        <v>100956486</v>
      </c>
      <c r="I5" s="126">
        <f>IFERROR(VLOOKUP(B5, Refined_Data!A:Z, 10, FALSE), "")</f>
        <v>1067180</v>
      </c>
      <c r="J5" s="127" t="str">
        <f>IFERROR(VLOOKUP(B5, Refined_Data!A:Z, 14, FALSE), "")</f>
        <v>Herrati, Houcine</v>
      </c>
      <c r="K5" s="118" t="str">
        <f t="shared" si="1"/>
        <v>↑</v>
      </c>
      <c r="L5" s="119">
        <f>IFERROR(VLOOKUP(A5, Current_Stats!A:Z, 7, FALSE), "")</f>
        <v>0.658</v>
      </c>
      <c r="M5" s="119">
        <f>IFERROR(VLOOKUP(A5, Previous_Stats!A:Z, 7, FALSE), "")</f>
        <v>0.571</v>
      </c>
      <c r="N5" s="120" t="str">
        <f t="shared" si="2"/>
        <v>↓</v>
      </c>
      <c r="O5" s="119">
        <f>IFERROR(VLOOKUP(A5, Current_Stats!A:Z, 8, FALSE), "")</f>
        <v>0.342</v>
      </c>
      <c r="P5" s="119">
        <f>IFERROR(VLOOKUP(A5, Previous_Stats!A:Z, 8, FALSE), "")</f>
        <v>0.429</v>
      </c>
      <c r="Q5" s="112" t="str">
        <f>IFERROR(VLOOKUP(B5, Shift_Analysis!A:Z, 6, FALSE), "")</f>
        <v>1</v>
      </c>
      <c r="R5" s="114" t="str">
        <f>IFERROR(VLOOKUP(B5, Shift_Analysis!A:Z, 7, FALSE), "")</f>
        <v>1</v>
      </c>
      <c r="S5" s="123">
        <f>IFERROR(VLOOKUP(A5, Current_Stats!A:Z, 3, FALSE),"")</f>
        <v>24</v>
      </c>
    </row>
    <row r="6">
      <c r="A6" s="110" t="str">
        <f t="array" ref="A6">IFERROR(
  INDEX(Refined_Data!O:O, MATCH(B6, Refined_Data!A:A, FALSE)),
"")</f>
        <v>Khattabi, Mohammed Najib</v>
      </c>
      <c r="B6" s="124" t="str">
        <f>Refined_Data!A51</f>
        <v>Khattabi, Mohammed Najib</v>
      </c>
      <c r="C6" s="112" t="str">
        <f>IFERROR(VLOOKUP(B6, Refined_Data!A:Z, 4, FALSE), "")</f>
        <v>French</v>
      </c>
      <c r="D6" s="113" t="str">
        <f>IF(B6="","", IFERROR(VLOOKUP(B6, Refined_Data!A:Z, 5, FALSE), ""))</f>
        <v>Evening</v>
      </c>
      <c r="E6" s="114">
        <f>IFERROR(VLOOKUP(B6, Refined_Data!A:Z, 3, FALSE),"")</f>
        <v>4</v>
      </c>
      <c r="F6" s="125" t="str">
        <f t="array" ref="F6">IF(B6="","",
  IFERROR(
    TEXTJOIN(", ", TRUE,
      IF(INDEX(Refined_Data!K:K, MATCH(B6, Refined_Data!A:A, 0))="Yes","SAFE",""),
      IF(INDEX(Refined_Data!L:L, MATCH(B6, Refined_Data!A:A, 0))="Yes","TRBLSHOOT",""),
      IF(INDEX(Refined_Data!M:M, MATCH(B6, Refined_Data!A:A, 0))="Yes","BMRC","")
    ),
  "")
)</f>
        <v/>
      </c>
      <c r="G6" s="126" t="str">
        <f>IFERROR(VLOOKUP(B6, Refined_Data!A:Z, 8, FALSE), "")</f>
        <v>M0145</v>
      </c>
      <c r="H6" s="126">
        <f>IFERROR(VLOOKUP(B6, Refined_Data!A:Z, 9, FALSE), "")</f>
        <v>100997309</v>
      </c>
      <c r="I6" s="126">
        <f>IFERROR(VLOOKUP(B6, Refined_Data!A:Z, 10, FALSE), "")</f>
        <v>1060034</v>
      </c>
      <c r="J6" s="127" t="str">
        <f>IFERROR(VLOOKUP(B6, Refined_Data!A:Z, 14, FALSE), "")</f>
        <v>Lo, Mamadou</v>
      </c>
      <c r="K6" s="118" t="str">
        <f t="shared" si="1"/>
        <v>↑</v>
      </c>
      <c r="L6" s="119">
        <f>IFERROR(VLOOKUP(A6, Current_Stats!A:Z, 7, FALSE), "")</f>
        <v>0.93</v>
      </c>
      <c r="M6" s="119">
        <f>IFERROR(VLOOKUP(A6, Previous_Stats!A:Z, 7, FALSE), "")</f>
        <v>0.894</v>
      </c>
      <c r="N6" s="120" t="str">
        <f t="shared" si="2"/>
        <v>↓</v>
      </c>
      <c r="O6" s="119">
        <f>IFERROR(VLOOKUP(A6, Current_Stats!A:Z, 8, FALSE), "")</f>
        <v>0.07</v>
      </c>
      <c r="P6" s="119">
        <f>IFERROR(VLOOKUP(A6, Previous_Stats!A:Z, 8, FALSE), "")</f>
        <v>0.106</v>
      </c>
      <c r="Q6" s="112" t="str">
        <f>IFERROR(VLOOKUP(B6, Shift_Analysis!A:Z, 6, FALSE), "")</f>
        <v>1</v>
      </c>
      <c r="R6" s="114" t="str">
        <f>IFERROR(VLOOKUP(B6, Shift_Analysis!A:Z, 7, FALSE), "")</f>
        <v>1</v>
      </c>
      <c r="S6" s="123">
        <f>IFERROR(VLOOKUP(A6, Current_Stats!A:Z, 3, FALSE),"")</f>
        <v>24</v>
      </c>
    </row>
    <row r="7" hidden="1">
      <c r="A7" s="110" t="str">
        <f t="array" ref="A7">IFERROR(
  INDEX(Refined_Data!O:O, MATCH(B7, Refined_Data!A:A, FALSE)),
"")</f>
        <v>Lee, Robert</v>
      </c>
      <c r="B7" s="124" t="str">
        <f>Refined_Data!A57</f>
        <v>Lee, Robert</v>
      </c>
      <c r="C7" s="112" t="str">
        <f>IFERROR(VLOOKUP(B7, Refined_Data!A:Z, 4, FALSE), "")</f>
        <v>English</v>
      </c>
      <c r="D7" s="113" t="str">
        <f>IF(B7="","", IFERROR(VLOOKUP(B7, Refined_Data!A:Z, 5, FALSE), ""))</f>
        <v/>
      </c>
      <c r="E7" s="114">
        <f>IFERROR(VLOOKUP(B7, Refined_Data!A:Z, 3, FALSE),"")</f>
        <v>1</v>
      </c>
      <c r="F7" s="125" t="str">
        <f t="array" ref="F7">IF(B7="","",
  IFERROR(
    TEXTJOIN(", ", TRUE,
      IF(INDEX(Refined_Data!K:K, MATCH(B7, Refined_Data!A:A, 0))="Yes","SAFE",""),
      IF(INDEX(Refined_Data!L:L, MATCH(B7, Refined_Data!A:A, 0))="Yes","TRBLSHOOT",""),
      IF(INDEX(Refined_Data!M:M, MATCH(B7, Refined_Data!A:A, 0))="Yes","BMRC","")
    ),
  "")
)</f>
        <v/>
      </c>
      <c r="G7" s="126" t="str">
        <f>IFERROR(VLOOKUP(B7, Refined_Data!A:Z, 8, FALSE), "")</f>
        <v>M0534</v>
      </c>
      <c r="H7" s="126">
        <f>IFERROR(VLOOKUP(B7, Refined_Data!A:Z, 9, FALSE), "")</f>
        <v>106001469</v>
      </c>
      <c r="I7" s="126">
        <f>IFERROR(VLOOKUP(B7, Refined_Data!A:Z, 10, FALSE), "")</f>
        <v>1060025</v>
      </c>
      <c r="J7" s="127" t="str">
        <f>IFERROR(VLOOKUP(B7, Refined_Data!A:Z, 14, FALSE), "")</f>
        <v>Coghiel, Caren</v>
      </c>
      <c r="K7" s="118" t="str">
        <f t="shared" si="1"/>
        <v>→</v>
      </c>
      <c r="L7" s="119">
        <f>IFERROR(VLOOKUP(A7, Current_Stats!A:Z, 7, FALSE), "")</f>
        <v>0</v>
      </c>
      <c r="M7" s="119">
        <f>IFERROR(VLOOKUP(A7, Previous_Stats!A:Z, 7, FALSE), "")</f>
        <v>0</v>
      </c>
      <c r="N7" s="120" t="str">
        <f t="shared" si="2"/>
        <v>→</v>
      </c>
      <c r="O7" s="119">
        <f>IFERROR(VLOOKUP(A7, Current_Stats!A:Z, 8, FALSE), "")</f>
        <v>1</v>
      </c>
      <c r="P7" s="119">
        <f>IFERROR(VLOOKUP(A7, Previous_Stats!A:Z, 8, FALSE), "")</f>
        <v>1</v>
      </c>
      <c r="Q7" s="112" t="str">
        <f>IFERROR(VLOOKUP(B7, Shift_Analysis!A:Z, 6, FALSE), "")</f>
        <v/>
      </c>
      <c r="R7" s="114" t="str">
        <f>IFERROR(VLOOKUP(B7, Shift_Analysis!A:Z, 7, FALSE), "")</f>
        <v/>
      </c>
      <c r="S7" s="123">
        <f>IFERROR(VLOOKUP(A7, Current_Stats!A:Z, 3, FALSE),"")</f>
        <v>7</v>
      </c>
    </row>
    <row r="8">
      <c r="A8" s="110" t="str">
        <f t="array" ref="A8">IFERROR(
  INDEX(Refined_Data!O:O, MATCH(B8, Refined_Data!A:A, FALSE)),
"")</f>
        <v>Mertens, Antonia</v>
      </c>
      <c r="B8" s="124" t="str">
        <f>Refined_Data!A66</f>
        <v>Mertens, Antonia</v>
      </c>
      <c r="C8" s="112" t="str">
        <f>IFERROR(VLOOKUP(B8, Refined_Data!A:Z, 4, FALSE), "")</f>
        <v>English</v>
      </c>
      <c r="D8" s="113" t="str">
        <f>IF(B8="","", IFERROR(VLOOKUP(B8, Refined_Data!A:Z, 5, FALSE), ""))</f>
        <v>Day</v>
      </c>
      <c r="E8" s="114">
        <f>IFERROR(VLOOKUP(B8, Refined_Data!A:Z, 3, FALSE),"")</f>
        <v>2</v>
      </c>
      <c r="F8" s="125" t="str">
        <f t="array" ref="F8">IF(B8="","",
  IFERROR(
    TEXTJOIN(", ", TRUE,
      IF(INDEX(Refined_Data!K:K, MATCH(B8, Refined_Data!A:A, 0))="Yes","SAFE",""),
      IF(INDEX(Refined_Data!L:L, MATCH(B8, Refined_Data!A:A, 0))="Yes","TRBLSHOOT",""),
      IF(INDEX(Refined_Data!M:M, MATCH(B8, Refined_Data!A:A, 0))="Yes","BMRC","")
    ),
  "")
)</f>
        <v>TRBLSHOOT</v>
      </c>
      <c r="G8" s="126" t="str">
        <f>IFERROR(VLOOKUP(B8, Refined_Data!A:Z, 8, FALSE), "")</f>
        <v>M0031</v>
      </c>
      <c r="H8" s="126">
        <f>IFERROR(VLOOKUP(B8, Refined_Data!A:Z, 9, FALSE), "")</f>
        <v>100988378</v>
      </c>
      <c r="I8" s="126">
        <f>IFERROR(VLOOKUP(B8, Refined_Data!A:Z, 10, FALSE), "")</f>
        <v>1030045</v>
      </c>
      <c r="J8" s="127" t="str">
        <f>IFERROR(VLOOKUP(B8, Refined_Data!A:Z, 14, FALSE), "")</f>
        <v>Dhindsa, Sukhjinder</v>
      </c>
      <c r="K8" s="118" t="str">
        <f t="shared" si="1"/>
        <v>↑</v>
      </c>
      <c r="L8" s="119">
        <f>IFERROR(VLOOKUP(A8, Current_Stats!A:Z, 7, FALSE), "")</f>
        <v>0.521</v>
      </c>
      <c r="M8" s="119">
        <f>IFERROR(VLOOKUP(A8, Previous_Stats!A:Z, 7, FALSE), "")</f>
        <v>0.519</v>
      </c>
      <c r="N8" s="120" t="str">
        <f t="shared" si="2"/>
        <v>↓</v>
      </c>
      <c r="O8" s="119">
        <f>IFERROR(VLOOKUP(A8, Current_Stats!A:Z, 8, FALSE), "")</f>
        <v>0.479</v>
      </c>
      <c r="P8" s="119">
        <f>IFERROR(VLOOKUP(A8, Previous_Stats!A:Z, 8, FALSE), "")</f>
        <v>0.481</v>
      </c>
      <c r="Q8" s="112" t="str">
        <f>IFERROR(VLOOKUP(B8, Shift_Analysis!A:Z, 6, FALSE), "")</f>
        <v>1</v>
      </c>
      <c r="R8" s="114" t="str">
        <f>IFERROR(VLOOKUP(B8, Shift_Analysis!A:Z, 7, FALSE), "")</f>
        <v>1</v>
      </c>
      <c r="S8" s="123">
        <f>IFERROR(VLOOKUP(A8, Current_Stats!A:Z, 3, FALSE),"")</f>
        <v>15</v>
      </c>
    </row>
    <row r="9" hidden="1">
      <c r="A9" s="110" t="str">
        <f t="array" ref="A9">IFERROR(
  INDEX(Refined_Data!O:O, MATCH(B9, Refined_Data!A:A, FALSE)),
"")</f>
        <v>Nhek, Sotham</v>
      </c>
      <c r="B9" s="124" t="str">
        <f>Refined_Data!A72</f>
        <v>Nhek, Sotham</v>
      </c>
      <c r="C9" s="112" t="str">
        <f>IFERROR(VLOOKUP(B9, Refined_Data!A:Z, 4, FALSE), "")</f>
        <v>Bilingual-French</v>
      </c>
      <c r="D9" s="113" t="str">
        <f>IF(B9="","", IFERROR(VLOOKUP(B9, Refined_Data!A:Z, 5, FALSE), ""))</f>
        <v/>
      </c>
      <c r="E9" s="114">
        <f>IFERROR(VLOOKUP(B9, Refined_Data!A:Z, 3, FALSE),"")</f>
        <v>1</v>
      </c>
      <c r="F9" s="125" t="str">
        <f t="array" ref="F9">IF(B9="","",
  IFERROR(
    TEXTJOIN(", ", TRUE,
      IF(INDEX(Refined_Data!K:K, MATCH(B9, Refined_Data!A:A, 0))="Yes","SAFE",""),
      IF(INDEX(Refined_Data!L:L, MATCH(B9, Refined_Data!A:A, 0))="Yes","TRBLSHOOT",""),
      IF(INDEX(Refined_Data!M:M, MATCH(B9, Refined_Data!A:A, 0))="Yes","BMRC","")
    ),
  "")
)</f>
        <v/>
      </c>
      <c r="G9" s="126" t="str">
        <f>IFERROR(VLOOKUP(B9, Refined_Data!A:Z, 8, FALSE), "")</f>
        <v>M0529</v>
      </c>
      <c r="H9" s="126">
        <f>IFERROR(VLOOKUP(B9, Refined_Data!A:Z, 9, FALSE), "")</f>
        <v>106001466</v>
      </c>
      <c r="I9" s="126">
        <f>IFERROR(VLOOKUP(B9, Refined_Data!A:Z, 10, FALSE), "")</f>
        <v>1060047</v>
      </c>
      <c r="J9" s="127" t="str">
        <f>IFERROR(VLOOKUP(B9, Refined_Data!A:Z, 14, FALSE), "")</f>
        <v>Diegue, Kerry</v>
      </c>
      <c r="K9" s="118" t="str">
        <f t="shared" si="1"/>
        <v>→</v>
      </c>
      <c r="L9" s="119">
        <f>IFERROR(VLOOKUP(A9, Current_Stats!A:Z, 7, FALSE), "")</f>
        <v>0</v>
      </c>
      <c r="M9" s="119">
        <f>IFERROR(VLOOKUP(A9, Previous_Stats!A:Z, 7, FALSE), "")</f>
        <v>0</v>
      </c>
      <c r="N9" s="120" t="str">
        <f t="shared" si="2"/>
        <v>→</v>
      </c>
      <c r="O9" s="119">
        <f>IFERROR(VLOOKUP(A9, Current_Stats!A:Z, 8, FALSE), "")</f>
        <v>1</v>
      </c>
      <c r="P9" s="119">
        <f>IFERROR(VLOOKUP(A9, Previous_Stats!A:Z, 8, FALSE), "")</f>
        <v>1</v>
      </c>
      <c r="Q9" s="112" t="str">
        <f>IFERROR(VLOOKUP(B9, Shift_Analysis!A:Z, 6, FALSE), "")</f>
        <v/>
      </c>
      <c r="R9" s="114" t="str">
        <f>IFERROR(VLOOKUP(B9, Shift_Analysis!A:Z, 7, FALSE), "")</f>
        <v/>
      </c>
      <c r="S9" s="123">
        <f>IFERROR(VLOOKUP(A9, Current_Stats!A:Z, 3, FALSE),"")</f>
        <v>4</v>
      </c>
    </row>
    <row r="10" hidden="1">
      <c r="A10" s="110" t="str">
        <f t="array" ref="A10">IFERROR(
  INDEX(Refined_Data!O:O, MATCH(B10, Refined_Data!A:A, FALSE)),
"")</f>
        <v/>
      </c>
      <c r="B10" s="124" t="str">
        <f>Refined_Data!A79</f>
        <v>Peter Brown</v>
      </c>
      <c r="C10" s="112" t="str">
        <f>IFERROR(VLOOKUP(B10, Refined_Data!A:Z, 4, FALSE), "")</f>
        <v>English</v>
      </c>
      <c r="D10" s="113" t="str">
        <f>IF(B10="","", IFERROR(VLOOKUP(B10, Refined_Data!A:Z, 5, FALSE), ""))</f>
        <v/>
      </c>
      <c r="E10" s="114" t="str">
        <f>IFERROR(VLOOKUP(B10, Refined_Data!A:Z, 3, FALSE),"")</f>
        <v>Trainee</v>
      </c>
      <c r="F10" s="125" t="str">
        <f t="array" ref="F10">IF(B10="","",
  IFERROR(
    TEXTJOIN(", ", TRUE,
      IF(INDEX(Refined_Data!K:K, MATCH(B10, Refined_Data!A:A, 0))="Yes","SAFE",""),
      IF(INDEX(Refined_Data!L:L, MATCH(B10, Refined_Data!A:A, 0))="Yes","TRBLSHOOT",""),
      IF(INDEX(Refined_Data!M:M, MATCH(B10, Refined_Data!A:A, 0))="Yes","BMRC","")
    ),
  "")
)</f>
        <v/>
      </c>
      <c r="G10" s="126" t="str">
        <f>IFERROR(VLOOKUP(B10, Refined_Data!A:Z, 8, FALSE), "")</f>
        <v/>
      </c>
      <c r="H10" s="126" t="str">
        <f>IFERROR(VLOOKUP(B10, Refined_Data!A:Z, 9, FALSE), "")</f>
        <v/>
      </c>
      <c r="I10" s="126">
        <f>IFERROR(VLOOKUP(B10, Refined_Data!A:Z, 10, FALSE), "")</f>
        <v>1060075</v>
      </c>
      <c r="J10" s="127" t="str">
        <f>IFERROR(VLOOKUP(B10, Refined_Data!A:Z, 14, FALSE), "")</f>
        <v>Diegue, Kerry</v>
      </c>
      <c r="K10" s="118" t="str">
        <f t="shared" si="1"/>
        <v/>
      </c>
      <c r="L10" s="119" t="str">
        <f>IFERROR(VLOOKUP(A10, Current_Stats!A:Z, 7, FALSE), "")</f>
        <v/>
      </c>
      <c r="M10" s="119" t="str">
        <f>IFERROR(VLOOKUP(A10, Previous_Stats!A:Z, 7, FALSE), "")</f>
        <v/>
      </c>
      <c r="N10" s="120" t="str">
        <f t="shared" si="2"/>
        <v/>
      </c>
      <c r="O10" s="119" t="str">
        <f>IFERROR(VLOOKUP(A10, Current_Stats!A:Z, 8, FALSE), "")</f>
        <v/>
      </c>
      <c r="P10" s="119" t="str">
        <f>IFERROR(VLOOKUP(A10, Previous_Stats!A:Z, 8, FALSE), "")</f>
        <v/>
      </c>
      <c r="Q10" s="112" t="str">
        <f>IFERROR(VLOOKUP(B10, Shift_Analysis!A:Z, 6, FALSE), "")</f>
        <v/>
      </c>
      <c r="R10" s="114" t="str">
        <f>IFERROR(VLOOKUP(B10, Shift_Analysis!A:Z, 7, FALSE), "")</f>
        <v/>
      </c>
      <c r="S10" s="123" t="str">
        <f>IFERROR(VLOOKUP(A10, Current_Stats!A:Z, 3, FALSE),"")</f>
        <v/>
      </c>
    </row>
    <row r="11">
      <c r="A11" s="110" t="str">
        <f t="array" ref="A11">IFERROR(
  INDEX(Refined_Data!O:O, MATCH(B11, Refined_Data!A:A, FALSE)),
"")</f>
        <v>Rea, Shannon</v>
      </c>
      <c r="B11" s="124" t="str">
        <f>Refined_Data!A86</f>
        <v>Rea, Shannon</v>
      </c>
      <c r="C11" s="112" t="str">
        <f>IFERROR(VLOOKUP(B11, Refined_Data!A:Z, 4, FALSE), "")</f>
        <v>English</v>
      </c>
      <c r="D11" s="113" t="str">
        <f>IF(B11="","", IFERROR(VLOOKUP(B11, Refined_Data!A:Z, 5, FALSE), ""))</f>
        <v>Evening</v>
      </c>
      <c r="E11" s="114">
        <f>IFERROR(VLOOKUP(B11, Refined_Data!A:Z, 3, FALSE),"")</f>
        <v>4</v>
      </c>
      <c r="F11" s="125" t="str">
        <f t="array" ref="F11">IF(B11="","",
  IFERROR(
    TEXTJOIN(", ", TRUE,
      IF(INDEX(Refined_Data!K:K, MATCH(B11, Refined_Data!A:A, 0))="Yes","SAFE",""),
      IF(INDEX(Refined_Data!L:L, MATCH(B11, Refined_Data!A:A, 0))="Yes","TRBLSHOOT",""),
      IF(INDEX(Refined_Data!M:M, MATCH(B11, Refined_Data!A:A, 0))="Yes","BMRC","")
    ),
  "")
)</f>
        <v>SAFE, TRBLSHOOT</v>
      </c>
      <c r="G11" s="126" t="str">
        <f>IFERROR(VLOOKUP(B11, Refined_Data!A:Z, 8, FALSE), "")</f>
        <v>M0205</v>
      </c>
      <c r="H11" s="126">
        <f>IFERROR(VLOOKUP(B11, Refined_Data!A:Z, 9, FALSE), "")</f>
        <v>100937529</v>
      </c>
      <c r="I11" s="126">
        <f>IFERROR(VLOOKUP(B11, Refined_Data!A:Z, 10, FALSE), "")</f>
        <v>1067368</v>
      </c>
      <c r="J11" s="127" t="str">
        <f>IFERROR(VLOOKUP(B11, Refined_Data!A:Z, 14, FALSE), "")</f>
        <v>Dhindsa, Sukhjinder</v>
      </c>
      <c r="K11" s="118" t="str">
        <f t="shared" si="1"/>
        <v>↑</v>
      </c>
      <c r="L11" s="119">
        <f>IFERROR(VLOOKUP(A11, Current_Stats!A:Z, 7, FALSE), "")</f>
        <v>0.832</v>
      </c>
      <c r="M11" s="119">
        <f>IFERROR(VLOOKUP(A11, Previous_Stats!A:Z, 7, FALSE), "")</f>
        <v>0.778</v>
      </c>
      <c r="N11" s="120" t="str">
        <f t="shared" si="2"/>
        <v>↓</v>
      </c>
      <c r="O11" s="119">
        <f>IFERROR(VLOOKUP(A11, Current_Stats!A:Z, 8, FALSE), "")</f>
        <v>0.168</v>
      </c>
      <c r="P11" s="119">
        <f>IFERROR(VLOOKUP(A11, Previous_Stats!A:Z, 8, FALSE), "")</f>
        <v>0.222</v>
      </c>
      <c r="Q11" s="112" t="str">
        <f>IFERROR(VLOOKUP(B11, Shift_Analysis!A:Z, 6, FALSE), "")</f>
        <v>2</v>
      </c>
      <c r="R11" s="114" t="str">
        <f>IFERROR(VLOOKUP(B11, Shift_Analysis!A:Z, 7, FALSE), "")</f>
        <v>2</v>
      </c>
      <c r="S11" s="123">
        <f>IFERROR(VLOOKUP(A11, Current_Stats!A:Z, 3, FALSE),"")</f>
        <v>16</v>
      </c>
    </row>
    <row r="12">
      <c r="A12" s="110" t="str">
        <f t="array" ref="A12">IFERROR(
  INDEX(Refined_Data!O:O, MATCH(B12, Refined_Data!A:A, FALSE)),
"")</f>
        <v>Senechal, Manon</v>
      </c>
      <c r="B12" s="124" t="str">
        <f>Refined_Data!A92</f>
        <v>Senechal, Manon</v>
      </c>
      <c r="C12" s="112" t="str">
        <f>IFERROR(VLOOKUP(B12, Refined_Data!A:Z, 4, FALSE), "")</f>
        <v>French</v>
      </c>
      <c r="D12" s="113" t="str">
        <f>IF(B12="","", IFERROR(VLOOKUP(B12, Refined_Data!A:Z, 5, FALSE), ""))</f>
        <v>Day</v>
      </c>
      <c r="E12" s="114">
        <f>IFERROR(VLOOKUP(B12, Refined_Data!A:Z, 3, FALSE),"")</f>
        <v>3</v>
      </c>
      <c r="F12" s="125" t="str">
        <f t="array" ref="F12">IF(B12="","",
  IFERROR(
    TEXTJOIN(", ", TRUE,
      IF(INDEX(Refined_Data!K:K, MATCH(B12, Refined_Data!A:A, 0))="Yes","SAFE",""),
      IF(INDEX(Refined_Data!L:L, MATCH(B12, Refined_Data!A:A, 0))="Yes","TRBLSHOOT",""),
      IF(INDEX(Refined_Data!M:M, MATCH(B12, Refined_Data!A:A, 0))="Yes","BMRC","")
    ),
  "")
)</f>
        <v/>
      </c>
      <c r="G12" s="126" t="str">
        <f>IFERROR(VLOOKUP(B12, Refined_Data!A:Z, 8, FALSE), "")</f>
        <v>M0218</v>
      </c>
      <c r="H12" s="126">
        <f>IFERROR(VLOOKUP(B12, Refined_Data!A:Z, 9, FALSE), "")</f>
        <v>100956377</v>
      </c>
      <c r="I12" s="126">
        <f>IFERROR(VLOOKUP(B12, Refined_Data!A:Z, 10, FALSE), "")</f>
        <v>1066132</v>
      </c>
      <c r="J12" s="127" t="str">
        <f>IFERROR(VLOOKUP(B12, Refined_Data!A:Z, 14, FALSE), "")</f>
        <v>Lo, Mamadou</v>
      </c>
      <c r="K12" s="118" t="str">
        <f t="shared" si="1"/>
        <v>↓</v>
      </c>
      <c r="L12" s="119">
        <f>IFERROR(VLOOKUP(A12, Current_Stats!A:Z, 7, FALSE), "")</f>
        <v>0.879</v>
      </c>
      <c r="M12" s="119">
        <f>IFERROR(VLOOKUP(A12, Previous_Stats!A:Z, 7, FALSE), "")</f>
        <v>0.909</v>
      </c>
      <c r="N12" s="120" t="str">
        <f t="shared" si="2"/>
        <v>↑</v>
      </c>
      <c r="O12" s="119">
        <f>IFERROR(VLOOKUP(A12, Current_Stats!A:Z, 8, FALSE), "")</f>
        <v>0.121</v>
      </c>
      <c r="P12" s="119">
        <f>IFERROR(VLOOKUP(A12, Previous_Stats!A:Z, 8, FALSE), "")</f>
        <v>0.091</v>
      </c>
      <c r="Q12" s="112" t="str">
        <f>IFERROR(VLOOKUP(B12, Shift_Analysis!A:Z, 6, FALSE), "")</f>
        <v>2</v>
      </c>
      <c r="R12" s="114" t="str">
        <f>IFERROR(VLOOKUP(B12, Shift_Analysis!A:Z, 7, FALSE), "")</f>
        <v>3</v>
      </c>
      <c r="S12" s="123">
        <f>IFERROR(VLOOKUP(A12, Current_Stats!A:Z, 3, FALSE),"")</f>
        <v>13</v>
      </c>
    </row>
    <row r="13">
      <c r="A13" s="110" t="str">
        <f t="array" ref="A13">IFERROR(
  INDEX(Refined_Data!O:O, MATCH(B13, Refined_Data!A:A, FALSE)),
"")</f>
        <v>Abouda, Mohammed</v>
      </c>
      <c r="B13" s="124" t="str">
        <f>Refined_Data!A2</f>
        <v>Abouda, Mohammed</v>
      </c>
      <c r="C13" s="112" t="str">
        <f>IFERROR(VLOOKUP(B13, Refined_Data!A:Z, 4, FALSE), "")</f>
        <v>Bilingual-French</v>
      </c>
      <c r="D13" s="113" t="str">
        <f>IF(B13="","", IFERROR(VLOOKUP(B13, Refined_Data!A:Z, 5, FALSE), ""))</f>
        <v>Day</v>
      </c>
      <c r="E13" s="114">
        <f>IFERROR(VLOOKUP(B13, Refined_Data!A:Z, 3, FALSE),"")</f>
        <v>2</v>
      </c>
      <c r="F13" s="125" t="str">
        <f t="array" ref="F13">IF(B13="","",
  IFERROR(
    TEXTJOIN(", ", TRUE,
      IF(INDEX(Refined_Data!K:K, MATCH(B13, Refined_Data!A:A, 0))="Yes","SAFE",""),
      IF(INDEX(Refined_Data!L:L, MATCH(B13, Refined_Data!A:A, 0))="Yes","TRBLSHOOT",""),
      IF(INDEX(Refined_Data!M:M, MATCH(B13, Refined_Data!A:A, 0))="Yes","BMRC","")
    ),
  "")
)</f>
        <v/>
      </c>
      <c r="G13" s="126" t="str">
        <f>IFERROR(VLOOKUP(B13, Refined_Data!A:Z, 8, FALSE), "")</f>
        <v>M0511</v>
      </c>
      <c r="H13" s="126">
        <f>IFERROR(VLOOKUP(B13, Refined_Data!A:Z, 9, FALSE), "")</f>
        <v>100773560</v>
      </c>
      <c r="I13" s="126">
        <f>IFERROR(VLOOKUP(B13, Refined_Data!A:Z, 10, FALSE), "")</f>
        <v>1060061</v>
      </c>
      <c r="J13" s="127" t="str">
        <f>IFERROR(VLOOKUP(B13, Refined_Data!A:Z, 14, FALSE), "")</f>
        <v>Lo, Mamadou</v>
      </c>
      <c r="K13" s="118" t="str">
        <f t="shared" si="1"/>
        <v>↓</v>
      </c>
      <c r="L13" s="119">
        <f>IFERROR(VLOOKUP(A13, Current_Stats!A:Z, 7, FALSE), "")</f>
        <v>0.494</v>
      </c>
      <c r="M13" s="119">
        <f>IFERROR(VLOOKUP(A13, Previous_Stats!A:Z, 7, FALSE), "")</f>
        <v>0.595</v>
      </c>
      <c r="N13" s="120" t="str">
        <f t="shared" si="2"/>
        <v>↑</v>
      </c>
      <c r="O13" s="119">
        <f>IFERROR(VLOOKUP(A13, Current_Stats!A:Z, 8, FALSE), "")</f>
        <v>0.506</v>
      </c>
      <c r="P13" s="119">
        <f>IFERROR(VLOOKUP(A13, Previous_Stats!A:Z, 8, FALSE), "")</f>
        <v>0.405</v>
      </c>
      <c r="Q13" s="112" t="str">
        <f>IFERROR(VLOOKUP(B13, Shift_Analysis!A:Z, 6, FALSE), "")</f>
        <v>1</v>
      </c>
      <c r="R13" s="114" t="str">
        <f>IFERROR(VLOOKUP(B13, Shift_Analysis!A:Z, 7, FALSE), "")</f>
        <v>1</v>
      </c>
      <c r="S13" s="123">
        <f>IFERROR(VLOOKUP(A13, Current_Stats!A:Z, 3, FALSE),"")</f>
        <v>14</v>
      </c>
    </row>
    <row r="14">
      <c r="A14" s="110" t="str">
        <f t="array" ref="A14">IFERROR(
  INDEX(Refined_Data!O:O, MATCH(B14, Refined_Data!A:A, FALSE)),
"")</f>
        <v>Goddard, Adrien</v>
      </c>
      <c r="B14" s="124" t="str">
        <f>Refined_Data!A3</f>
        <v>Adrien, Goddard</v>
      </c>
      <c r="C14" s="112" t="str">
        <f>IFERROR(VLOOKUP(B14, Refined_Data!A:Z, 4, FALSE), "")</f>
        <v>Bilingual-French</v>
      </c>
      <c r="D14" s="113" t="str">
        <f>IF(B14="","", IFERROR(VLOOKUP(B14, Refined_Data!A:Z, 5, FALSE), ""))</f>
        <v>Day</v>
      </c>
      <c r="E14" s="114">
        <f>IFERROR(VLOOKUP(B14, Refined_Data!A:Z, 3, FALSE),"")</f>
        <v>4</v>
      </c>
      <c r="F14" s="125" t="str">
        <f t="array" ref="F14">IF(B14="","",
  IFERROR(
    TEXTJOIN(", ", TRUE,
      IF(INDEX(Refined_Data!K:K, MATCH(B14, Refined_Data!A:A, 0))="Yes","SAFE",""),
      IF(INDEX(Refined_Data!L:L, MATCH(B14, Refined_Data!A:A, 0))="Yes","TRBLSHOOT",""),
      IF(INDEX(Refined_Data!M:M, MATCH(B14, Refined_Data!A:A, 0))="Yes","BMRC","")
    ),
  "")
)</f>
        <v/>
      </c>
      <c r="G14" s="126" t="str">
        <f>IFERROR(VLOOKUP(B14, Refined_Data!A:Z, 8, FALSE), "")</f>
        <v>M0062</v>
      </c>
      <c r="H14" s="126">
        <f>IFERROR(VLOOKUP(B14, Refined_Data!A:Z, 9, FALSE), "")</f>
        <v>100955706</v>
      </c>
      <c r="I14" s="126">
        <f>IFERROR(VLOOKUP(B14, Refined_Data!A:Z, 10, FALSE), "")</f>
        <v>1066843</v>
      </c>
      <c r="J14" s="127" t="str">
        <f>IFERROR(VLOOKUP(B14, Refined_Data!A:Z, 14, FALSE), "")</f>
        <v>Lo, Mamadou</v>
      </c>
      <c r="K14" s="118" t="str">
        <f t="shared" si="1"/>
        <v>→</v>
      </c>
      <c r="L14" s="119">
        <f>IFERROR(VLOOKUP(A14, Current_Stats!A:Z, 7, FALSE), "")</f>
        <v>1</v>
      </c>
      <c r="M14" s="119">
        <f>IFERROR(VLOOKUP(A14, Previous_Stats!A:Z, 7, FALSE), "")</f>
        <v>1</v>
      </c>
      <c r="N14" s="120" t="str">
        <f t="shared" si="2"/>
        <v>→</v>
      </c>
      <c r="O14" s="119">
        <f>IFERROR(VLOOKUP(A14, Current_Stats!A:Z, 8, FALSE), "")</f>
        <v>0</v>
      </c>
      <c r="P14" s="119">
        <f>IFERROR(VLOOKUP(A14, Previous_Stats!A:Z, 8, FALSE), "")</f>
        <v>0</v>
      </c>
      <c r="Q14" s="112" t="str">
        <f>IFERROR(VLOOKUP(B14, Shift_Analysis!A:Z, 6, FALSE), "")</f>
        <v>2</v>
      </c>
      <c r="R14" s="114" t="str">
        <f>IFERROR(VLOOKUP(B14, Shift_Analysis!A:Z, 7, FALSE), "")</f>
        <v>1</v>
      </c>
      <c r="S14" s="123">
        <f>IFERROR(VLOOKUP(A14, Current_Stats!A:Z, 3, FALSE),"")</f>
        <v>12</v>
      </c>
    </row>
    <row r="15">
      <c r="A15" s="110" t="str">
        <f t="array" ref="A15">IFERROR(
  INDEX(Refined_Data!O:O, MATCH(B15, Refined_Data!A:A, FALSE)),
"")</f>
        <v>Akherraz, Hajar</v>
      </c>
      <c r="B15" s="124" t="str">
        <f>Refined_Data!A5</f>
        <v>Akherraz, Hajar</v>
      </c>
      <c r="C15" s="112" t="str">
        <f>IFERROR(VLOOKUP(B15, Refined_Data!A:Z, 4, FALSE), "")</f>
        <v>French</v>
      </c>
      <c r="D15" s="113" t="str">
        <f>IF(B15="","", IFERROR(VLOOKUP(B15, Refined_Data!A:Z, 5, FALSE), ""))</f>
        <v>Night</v>
      </c>
      <c r="E15" s="114">
        <f>IFERROR(VLOOKUP(B15, Refined_Data!A:Z, 3, FALSE),"")</f>
        <v>4</v>
      </c>
      <c r="F15" s="125" t="str">
        <f t="array" ref="F15">IF(B15="","",
  IFERROR(
    TEXTJOIN(", ", TRUE,
      IF(INDEX(Refined_Data!K:K, MATCH(B15, Refined_Data!A:A, 0))="Yes","SAFE",""),
      IF(INDEX(Refined_Data!L:L, MATCH(B15, Refined_Data!A:A, 0))="Yes","TRBLSHOOT",""),
      IF(INDEX(Refined_Data!M:M, MATCH(B15, Refined_Data!A:A, 0))="Yes","BMRC","")
    ),
  "")
)</f>
        <v/>
      </c>
      <c r="G15" s="126" t="str">
        <f>IFERROR(VLOOKUP(B15, Refined_Data!A:Z, 8, FALSE), "")</f>
        <v>M0065</v>
      </c>
      <c r="H15" s="126">
        <f>IFERROR(VLOOKUP(B15, Refined_Data!A:Z, 9, FALSE), "")</f>
        <v>100996872</v>
      </c>
      <c r="I15" s="126">
        <f>IFERROR(VLOOKUP(B15, Refined_Data!A:Z, 10, FALSE), "")</f>
        <v>1110197</v>
      </c>
      <c r="J15" s="127" t="str">
        <f>IFERROR(VLOOKUP(B15, Refined_Data!A:Z, 14, FALSE), "")</f>
        <v>Herrati, Houcine</v>
      </c>
      <c r="K15" s="118" t="str">
        <f t="shared" si="1"/>
        <v>↓</v>
      </c>
      <c r="L15" s="119">
        <f>IFERROR(VLOOKUP(A15, Current_Stats!A:Z, 7, FALSE), "")</f>
        <v>0.556</v>
      </c>
      <c r="M15" s="119">
        <f>IFERROR(VLOOKUP(A15, Previous_Stats!A:Z, 7, FALSE), "")</f>
        <v>0.651</v>
      </c>
      <c r="N15" s="120" t="str">
        <f t="shared" si="2"/>
        <v>↑</v>
      </c>
      <c r="O15" s="119">
        <f>IFERROR(VLOOKUP(A15, Current_Stats!A:Z, 8, FALSE), "")</f>
        <v>0.444</v>
      </c>
      <c r="P15" s="119">
        <f>IFERROR(VLOOKUP(A15, Previous_Stats!A:Z, 8, FALSE), "")</f>
        <v>0.349</v>
      </c>
      <c r="Q15" s="112" t="str">
        <f>IFERROR(VLOOKUP(B15, Shift_Analysis!A:Z, 6, FALSE), "")</f>
        <v>2</v>
      </c>
      <c r="R15" s="114" t="str">
        <f>IFERROR(VLOOKUP(B15, Shift_Analysis!A:Z, 7, FALSE), "")</f>
        <v>3</v>
      </c>
      <c r="S15" s="123">
        <f>IFERROR(VLOOKUP(A15, Current_Stats!A:Z, 3, FALSE),"")</f>
        <v>23</v>
      </c>
    </row>
    <row r="16">
      <c r="A16" s="110" t="str">
        <f t="array" ref="A16">IFERROR(
  INDEX(Refined_Data!O:O, MATCH(B16, Refined_Data!A:A, FALSE)),
"")</f>
        <v>Auger, Adrien</v>
      </c>
      <c r="B16" s="124" t="str">
        <f>Refined_Data!A8</f>
        <v>Auger, Adrien</v>
      </c>
      <c r="C16" s="112" t="str">
        <f>IFERROR(VLOOKUP(B16, Refined_Data!A:Z, 4, FALSE), "")</f>
        <v>English</v>
      </c>
      <c r="D16" s="113" t="str">
        <f>IF(B16="","", IFERROR(VLOOKUP(B16, Refined_Data!A:Z, 5, FALSE), ""))</f>
        <v>Night</v>
      </c>
      <c r="E16" s="114">
        <f>IFERROR(VLOOKUP(B16, Refined_Data!A:Z, 3, FALSE),"")</f>
        <v>4</v>
      </c>
      <c r="F16" s="125" t="str">
        <f t="array" ref="F16">IF(B16="","",
  IFERROR(
    TEXTJOIN(", ", TRUE,
      IF(INDEX(Refined_Data!K:K, MATCH(B16, Refined_Data!A:A, 0))="Yes","SAFE",""),
      IF(INDEX(Refined_Data!L:L, MATCH(B16, Refined_Data!A:A, 0))="Yes","TRBLSHOOT",""),
      IF(INDEX(Refined_Data!M:M, MATCH(B16, Refined_Data!A:A, 0))="Yes","BMRC","")
    ),
  "")
)</f>
        <v>SAFE, TRBLSHOOT</v>
      </c>
      <c r="G16" s="126" t="str">
        <f>IFERROR(VLOOKUP(B16, Refined_Data!A:Z, 8, FALSE), "")</f>
        <v>M0069</v>
      </c>
      <c r="H16" s="126">
        <f>IFERROR(VLOOKUP(B16, Refined_Data!A:Z, 9, FALSE), "")</f>
        <v>100973054</v>
      </c>
      <c r="I16" s="126">
        <f>IFERROR(VLOOKUP(B16, Refined_Data!A:Z, 10, FALSE), "")</f>
        <v>1030139</v>
      </c>
      <c r="J16" s="127" t="str">
        <f>IFERROR(VLOOKUP(B16, Refined_Data!A:Z, 14, FALSE), "")</f>
        <v>Rwano, Guy Fremin</v>
      </c>
      <c r="K16" s="118" t="str">
        <f t="shared" si="1"/>
        <v>↓</v>
      </c>
      <c r="L16" s="119">
        <f>IFERROR(VLOOKUP(A16, Current_Stats!A:Z, 7, FALSE), "")</f>
        <v>0.677</v>
      </c>
      <c r="M16" s="119">
        <f>IFERROR(VLOOKUP(A16, Previous_Stats!A:Z, 7, FALSE), "")</f>
        <v>0.732</v>
      </c>
      <c r="N16" s="120" t="str">
        <f t="shared" si="2"/>
        <v>↑</v>
      </c>
      <c r="O16" s="119">
        <f>IFERROR(VLOOKUP(A16, Current_Stats!A:Z, 8, FALSE), "")</f>
        <v>0.323</v>
      </c>
      <c r="P16" s="119">
        <f>IFERROR(VLOOKUP(A16, Previous_Stats!A:Z, 8, FALSE), "")</f>
        <v>0.268</v>
      </c>
      <c r="Q16" s="112" t="str">
        <f>IFERROR(VLOOKUP(B16, Shift_Analysis!A:Z, 6, FALSE), "")</f>
        <v>1</v>
      </c>
      <c r="R16" s="114" t="str">
        <f>IFERROR(VLOOKUP(B16, Shift_Analysis!A:Z, 7, FALSE), "")</f>
        <v>2</v>
      </c>
      <c r="S16" s="123">
        <f>IFERROR(VLOOKUP(A16, Current_Stats!A:Z, 3, FALSE),"")</f>
        <v>16</v>
      </c>
    </row>
    <row r="17">
      <c r="A17" s="110" t="str">
        <f t="array" ref="A17">IFERROR(
  INDEX(Refined_Data!O:O, MATCH(B17, Refined_Data!A:A, FALSE)),
"")</f>
        <v>Baisi, Jean-Gabriel</v>
      </c>
      <c r="B17" s="124" t="str">
        <f>Refined_Data!A9</f>
        <v>Baisi , Jean-Gabriel</v>
      </c>
      <c r="C17" s="112" t="str">
        <f>IFERROR(VLOOKUP(B17, Refined_Data!A:Z, 4, FALSE), "")</f>
        <v>Bilingual-French</v>
      </c>
      <c r="D17" s="113" t="str">
        <f>IF(B17="","", IFERROR(VLOOKUP(B17, Refined_Data!A:Z, 5, FALSE), ""))</f>
        <v>Day</v>
      </c>
      <c r="E17" s="114">
        <f>IFERROR(VLOOKUP(B17, Refined_Data!A:Z, 3, FALSE),"")</f>
        <v>2</v>
      </c>
      <c r="F17" s="125" t="str">
        <f t="array" ref="F17">IF(B17="","",
  IFERROR(
    TEXTJOIN(", ", TRUE,
      IF(INDEX(Refined_Data!K:K, MATCH(B17, Refined_Data!A:A, 0))="Yes","SAFE",""),
      IF(INDEX(Refined_Data!L:L, MATCH(B17, Refined_Data!A:A, 0))="Yes","TRBLSHOOT",""),
      IF(INDEX(Refined_Data!M:M, MATCH(B17, Refined_Data!A:A, 0))="Yes","BMRC","")
    ),
  "")
)</f>
        <v/>
      </c>
      <c r="G17" s="126" t="str">
        <f>IFERROR(VLOOKUP(B17, Refined_Data!A:Z, 8, FALSE), "")</f>
        <v>M0516</v>
      </c>
      <c r="H17" s="126">
        <f>IFERROR(VLOOKUP(B17, Refined_Data!A:Z, 9, FALSE), "")</f>
        <v>100773726</v>
      </c>
      <c r="I17" s="126">
        <f>IFERROR(VLOOKUP(B17, Refined_Data!A:Z, 10, FALSE), "")</f>
        <v>1060067</v>
      </c>
      <c r="J17" s="127" t="str">
        <f>IFERROR(VLOOKUP(B17, Refined_Data!A:Z, 14, FALSE), "")</f>
        <v>Rwano, Guy Fremin</v>
      </c>
      <c r="K17" s="118" t="str">
        <f t="shared" si="1"/>
        <v>↑</v>
      </c>
      <c r="L17" s="119">
        <f>IFERROR(VLOOKUP(A17, Current_Stats!A:Z, 7, FALSE), "")</f>
        <v>0.295</v>
      </c>
      <c r="M17" s="119">
        <f>IFERROR(VLOOKUP(A17, Previous_Stats!A:Z, 7, FALSE), "")</f>
        <v>0.133</v>
      </c>
      <c r="N17" s="120" t="str">
        <f t="shared" si="2"/>
        <v>↓</v>
      </c>
      <c r="O17" s="119">
        <f>IFERROR(VLOOKUP(A17, Current_Stats!A:Z, 8, FALSE), "")</f>
        <v>0.705</v>
      </c>
      <c r="P17" s="119">
        <f>IFERROR(VLOOKUP(A17, Previous_Stats!A:Z, 8, FALSE), "")</f>
        <v>0.867</v>
      </c>
      <c r="Q17" s="112" t="str">
        <f>IFERROR(VLOOKUP(B17, Shift_Analysis!A:Z, 6, FALSE), "")</f>
        <v>1</v>
      </c>
      <c r="R17" s="114" t="str">
        <f>IFERROR(VLOOKUP(B17, Shift_Analysis!A:Z, 7, FALSE), "")</f>
        <v>1</v>
      </c>
      <c r="S17" s="123">
        <f>IFERROR(VLOOKUP(A17, Current_Stats!A:Z, 3, FALSE),"")</f>
        <v>14</v>
      </c>
    </row>
    <row r="18" hidden="1">
      <c r="A18" s="110" t="str">
        <f t="array" ref="A18">IFERROR(
  INDEX(Refined_Data!O:O, MATCH(B18, Refined_Data!A:A, FALSE)),
"")</f>
        <v/>
      </c>
      <c r="B18" s="124" t="str">
        <f>Refined_Data!A11</f>
        <v>Bindhu Harikrishnan</v>
      </c>
      <c r="C18" s="112" t="str">
        <f>IFERROR(VLOOKUP(B18, Refined_Data!A:Z, 4, FALSE), "")</f>
        <v>English</v>
      </c>
      <c r="D18" s="113" t="str">
        <f>IF(B18="","", IFERROR(VLOOKUP(B18, Refined_Data!A:Z, 5, FALSE), ""))</f>
        <v/>
      </c>
      <c r="E18" s="114" t="str">
        <f>IFERROR(VLOOKUP(B18, Refined_Data!A:Z, 3, FALSE),"")</f>
        <v>Trainee</v>
      </c>
      <c r="F18" s="125" t="str">
        <f t="array" ref="F18">IF(B18="","",
  IFERROR(
    TEXTJOIN(", ", TRUE,
      IF(INDEX(Refined_Data!K:K, MATCH(B18, Refined_Data!A:A, 0))="Yes","SAFE",""),
      IF(INDEX(Refined_Data!L:L, MATCH(B18, Refined_Data!A:A, 0))="Yes","TRBLSHOOT",""),
      IF(INDEX(Refined_Data!M:M, MATCH(B18, Refined_Data!A:A, 0))="Yes","BMRC","")
    ),
  "")
)</f>
        <v/>
      </c>
      <c r="G18" s="126" t="str">
        <f>IFERROR(VLOOKUP(B18, Refined_Data!A:Z, 8, FALSE), "")</f>
        <v/>
      </c>
      <c r="H18" s="126" t="str">
        <f>IFERROR(VLOOKUP(B18, Refined_Data!A:Z, 9, FALSE), "")</f>
        <v/>
      </c>
      <c r="I18" s="126">
        <f>IFERROR(VLOOKUP(B18, Refined_Data!A:Z, 10, FALSE), "")</f>
        <v>1060069</v>
      </c>
      <c r="J18" s="127" t="str">
        <f>IFERROR(VLOOKUP(B18, Refined_Data!A:Z, 14, FALSE), "")</f>
        <v>Diegue, Kerry</v>
      </c>
      <c r="K18" s="118" t="str">
        <f t="shared" si="1"/>
        <v/>
      </c>
      <c r="L18" s="63" t="str">
        <f>IFERROR(VLOOKUP(A18, Previous_Stats!B:Z, 6, FALSE), "")</f>
        <v/>
      </c>
      <c r="M18" s="119" t="str">
        <f>IFERROR(VLOOKUP(A18, Previous_Stats!B:Z, 7, FALSE), "")</f>
        <v/>
      </c>
      <c r="N18" s="120" t="str">
        <f t="shared" si="2"/>
        <v/>
      </c>
      <c r="O18" s="119" t="str">
        <f>IFERROR(VLOOKUP(A18, Current_Stats!B:Z, 8, FALSE), "")</f>
        <v/>
      </c>
      <c r="P18" s="119" t="str">
        <f>IFERROR(VLOOKUP(A18, Previous_Stats!B:Z, 8, FALSE), "")</f>
        <v/>
      </c>
      <c r="Q18" s="112" t="str">
        <f>IFERROR(VLOOKUP(B18, Shift_Analysis!A:Z, 6, FALSE), "")</f>
        <v/>
      </c>
      <c r="R18" s="114" t="str">
        <f>IFERROR(VLOOKUP(B18, Shift_Analysis!A:Z, 7, FALSE), "")</f>
        <v/>
      </c>
      <c r="S18" s="123" t="str">
        <f>IFERROR(VLOOKUP(A18, Current_Stats!A:Z, 3, FALSE),"")</f>
        <v/>
      </c>
    </row>
    <row r="19">
      <c r="A19" s="110" t="str">
        <f t="array" ref="A19">IFERROR(
  INDEX(Refined_Data!O:O, MATCH(B19, Refined_Data!A:A, FALSE)),
"")</f>
        <v>Brooks, Laura</v>
      </c>
      <c r="B19" s="124" t="str">
        <f>Refined_Data!A12</f>
        <v>Brooks, Laura</v>
      </c>
      <c r="C19" s="112" t="str">
        <f>IFERROR(VLOOKUP(B19, Refined_Data!A:Z, 4, FALSE), "")</f>
        <v>English</v>
      </c>
      <c r="D19" s="113" t="str">
        <f>IF(B19="","", IFERROR(VLOOKUP(B19, Refined_Data!A:Z, 5, FALSE), ""))</f>
        <v>Night</v>
      </c>
      <c r="E19" s="114">
        <f>IFERROR(VLOOKUP(B19, Refined_Data!A:Z, 3, FALSE),"")</f>
        <v>4</v>
      </c>
      <c r="F19" s="125" t="str">
        <f t="array" ref="F19">IF(B19="","",
  IFERROR(
    TEXTJOIN(", ", TRUE,
      IF(INDEX(Refined_Data!K:K, MATCH(B19, Refined_Data!A:A, 0))="Yes","SAFE",""),
      IF(INDEX(Refined_Data!L:L, MATCH(B19, Refined_Data!A:A, 0))="Yes","TRBLSHOOT",""),
      IF(INDEX(Refined_Data!M:M, MATCH(B19, Refined_Data!A:A, 0))="Yes","BMRC","")
    ),
  "")
)</f>
        <v>SAFE, TRBLSHOOT</v>
      </c>
      <c r="G19" s="126" t="str">
        <f>IFERROR(VLOOKUP(B19, Refined_Data!A:Z, 8, FALSE), "")</f>
        <v>M0082</v>
      </c>
      <c r="H19" s="126">
        <f>IFERROR(VLOOKUP(B19, Refined_Data!A:Z, 9, FALSE), "")</f>
        <v>100956364</v>
      </c>
      <c r="I19" s="126">
        <f>IFERROR(VLOOKUP(B19, Refined_Data!A:Z, 10, FALSE), "")</f>
        <v>1210687</v>
      </c>
      <c r="J19" s="127" t="str">
        <f>IFERROR(VLOOKUP(B19, Refined_Data!A:Z, 14, FALSE), "")</f>
        <v>Coghiel, Caren</v>
      </c>
      <c r="K19" s="118" t="str">
        <f t="shared" si="1"/>
        <v>→</v>
      </c>
      <c r="L19" s="119">
        <f>IFERROR(VLOOKUP(A19, Current_Stats!A:Z, 7, FALSE), "")</f>
        <v>0.515</v>
      </c>
      <c r="M19" s="119">
        <f>IFERROR(VLOOKUP(A19, Previous_Stats!A:Z, 7, FALSE), "")</f>
        <v>0.515</v>
      </c>
      <c r="N19" s="120" t="str">
        <f t="shared" si="2"/>
        <v>→</v>
      </c>
      <c r="O19" s="119">
        <f>IFERROR(VLOOKUP(A19, Current_Stats!A:Z, 8, FALSE), "")</f>
        <v>0.485</v>
      </c>
      <c r="P19" s="119">
        <f>IFERROR(VLOOKUP(A19, Previous_Stats!A:Z, 8, FALSE), "")</f>
        <v>0.485</v>
      </c>
      <c r="Q19" s="112" t="str">
        <f>IFERROR(VLOOKUP(B19, Shift_Analysis!A:Z, 6, FALSE), "")</f>
        <v>2</v>
      </c>
      <c r="R19" s="114" t="str">
        <f>IFERROR(VLOOKUP(B19, Shift_Analysis!A:Z, 7, FALSE), "")</f>
        <v>2</v>
      </c>
      <c r="S19" s="123">
        <f>IFERROR(VLOOKUP(A19, Current_Stats!A:Z, 3, FALSE),"")</f>
        <v>9</v>
      </c>
    </row>
    <row r="20">
      <c r="A20" s="110" t="str">
        <f t="array" ref="A20">IFERROR(
  INDEX(Refined_Data!O:O, MATCH(B20, Refined_Data!A:A, FALSE)),
"")</f>
        <v>Carvajal Yiptong, Diego Armando</v>
      </c>
      <c r="B20" s="124" t="str">
        <f>Refined_Data!A15</f>
        <v>Carvajal-Yiptong, Diego Armando</v>
      </c>
      <c r="C20" s="112" t="str">
        <f>IFERROR(VLOOKUP(B20, Refined_Data!A:Z, 4, FALSE), "")</f>
        <v>Bilingual-French</v>
      </c>
      <c r="D20" s="113" t="str">
        <f>IF(B20="","", IFERROR(VLOOKUP(B20, Refined_Data!A:Z, 5, FALSE), ""))</f>
        <v>Day</v>
      </c>
      <c r="E20" s="114">
        <f>IFERROR(VLOOKUP(B20, Refined_Data!A:Z, 3, FALSE),"")</f>
        <v>4</v>
      </c>
      <c r="F20" s="125" t="str">
        <f t="array" ref="F20">IF(B20="","",
  IFERROR(
    TEXTJOIN(", ", TRUE,
      IF(INDEX(Refined_Data!K:K, MATCH(B20, Refined_Data!A:A, 0))="Yes","SAFE",""),
      IF(INDEX(Refined_Data!L:L, MATCH(B20, Refined_Data!A:A, 0))="Yes","TRBLSHOOT",""),
      IF(INDEX(Refined_Data!M:M, MATCH(B20, Refined_Data!A:A, 0))="Yes","BMRC","")
    ),
  "")
)</f>
        <v>SAFE, TRBLSHOOT</v>
      </c>
      <c r="G20" s="126" t="str">
        <f>IFERROR(VLOOKUP(B20, Refined_Data!A:Z, 8, FALSE), "")</f>
        <v>M0087</v>
      </c>
      <c r="H20" s="126">
        <f>IFERROR(VLOOKUP(B20, Refined_Data!A:Z, 9, FALSE), "")</f>
        <v>100955811</v>
      </c>
      <c r="I20" s="126">
        <f>IFERROR(VLOOKUP(B20, Refined_Data!A:Z, 10, FALSE), "")</f>
        <v>1067281</v>
      </c>
      <c r="J20" s="127" t="str">
        <f>IFERROR(VLOOKUP(B20, Refined_Data!A:Z, 14, FALSE), "")</f>
        <v>Dhindsa, Sukhjinder</v>
      </c>
      <c r="K20" s="118" t="str">
        <f t="shared" si="1"/>
        <v>↓</v>
      </c>
      <c r="L20" s="119">
        <f>IFERROR(VLOOKUP(A20, Current_Stats!A:Z, 7, FALSE), "")</f>
        <v>0.857</v>
      </c>
      <c r="M20" s="119">
        <f>IFERROR(VLOOKUP(A20, Previous_Stats!A:Z, 7, FALSE), "")</f>
        <v>0.937</v>
      </c>
      <c r="N20" s="120" t="str">
        <f t="shared" si="2"/>
        <v>↑</v>
      </c>
      <c r="O20" s="119">
        <f>IFERROR(VLOOKUP(A20, Current_Stats!A:Z, 8, FALSE), "")</f>
        <v>0.143</v>
      </c>
      <c r="P20" s="119">
        <f>IFERROR(VLOOKUP(A20, Previous_Stats!A:Z, 8, FALSE), "")</f>
        <v>0.063</v>
      </c>
      <c r="Q20" s="112" t="str">
        <f>IFERROR(VLOOKUP(B20, Shift_Analysis!A:Z, 6, FALSE), "")</f>
        <v>2</v>
      </c>
      <c r="R20" s="114" t="str">
        <f>IFERROR(VLOOKUP(B20, Shift_Analysis!A:Z, 7, FALSE), "")</f>
        <v>2</v>
      </c>
      <c r="S20" s="123">
        <f>IFERROR(VLOOKUP(A20, Current_Stats!A:Z, 3, FALSE),"")</f>
        <v>13</v>
      </c>
    </row>
    <row r="21">
      <c r="A21" s="110" t="str">
        <f t="array" ref="A21">IFERROR(
  INDEX(Refined_Data!O:O, MATCH(B21, Refined_Data!A:A, FALSE)),
"")</f>
        <v>Chenard, William</v>
      </c>
      <c r="B21" s="124" t="str">
        <f>Refined_Data!A18</f>
        <v>Chénard, William</v>
      </c>
      <c r="C21" s="112" t="str">
        <f>IFERROR(VLOOKUP(B21, Refined_Data!A:Z, 4, FALSE), "")</f>
        <v>Bilingual-French</v>
      </c>
      <c r="D21" s="113" t="str">
        <f>IF(B21="","", IFERROR(VLOOKUP(B21, Refined_Data!A:Z, 5, FALSE), ""))</f>
        <v>Day</v>
      </c>
      <c r="E21" s="114">
        <f>IFERROR(VLOOKUP(B21, Refined_Data!A:Z, 3, FALSE),"")</f>
        <v>2</v>
      </c>
      <c r="F21" s="125" t="str">
        <f t="array" ref="F21">IF(B21="","",
  IFERROR(
    TEXTJOIN(", ", TRUE,
      IF(INDEX(Refined_Data!K:K, MATCH(B21, Refined_Data!A:A, 0))="Yes","SAFE",""),
      IF(INDEX(Refined_Data!L:L, MATCH(B21, Refined_Data!A:A, 0))="Yes","TRBLSHOOT",""),
      IF(INDEX(Refined_Data!M:M, MATCH(B21, Refined_Data!A:A, 0))="Yes","BMRC","")
    ),
  "")
)</f>
        <v/>
      </c>
      <c r="G21" s="126" t="str">
        <f>IFERROR(VLOOKUP(B21, Refined_Data!A:Z, 8, FALSE), "")</f>
        <v>M0090</v>
      </c>
      <c r="H21" s="126">
        <f>IFERROR(VLOOKUP(B21, Refined_Data!A:Z, 9, FALSE), "")</f>
        <v>100995563</v>
      </c>
      <c r="I21" s="126">
        <f>IFERROR(VLOOKUP(B21, Refined_Data!A:Z, 10, FALSE), "")</f>
        <v>1060011</v>
      </c>
      <c r="J21" s="127" t="str">
        <f>IFERROR(VLOOKUP(B21, Refined_Data!A:Z, 14, FALSE), "")</f>
        <v>Lo, Mamadou</v>
      </c>
      <c r="K21" s="118" t="str">
        <f t="shared" si="1"/>
        <v>↑</v>
      </c>
      <c r="L21" s="119">
        <f>IFERROR(VLOOKUP(A21, Current_Stats!A:Z, 7, FALSE), "")</f>
        <v>0.601</v>
      </c>
      <c r="M21" s="119">
        <f>IFERROR(VLOOKUP(A21, Previous_Stats!A:Z, 7, FALSE), "")</f>
        <v>0.514</v>
      </c>
      <c r="N21" s="120" t="str">
        <f t="shared" si="2"/>
        <v>↓</v>
      </c>
      <c r="O21" s="119">
        <f>IFERROR(VLOOKUP(A21, Current_Stats!A:Z, 8, FALSE), "")</f>
        <v>0.399</v>
      </c>
      <c r="P21" s="119">
        <f>IFERROR(VLOOKUP(A21, Previous_Stats!A:Z, 8, FALSE), "")</f>
        <v>0.486</v>
      </c>
      <c r="Q21" s="112" t="str">
        <f>IFERROR(VLOOKUP(B21, Shift_Analysis!A:Z, 6, FALSE), "")</f>
        <v>1</v>
      </c>
      <c r="R21" s="114" t="str">
        <f>IFERROR(VLOOKUP(B21, Shift_Analysis!A:Z, 7, FALSE), "")</f>
        <v>1</v>
      </c>
      <c r="S21" s="123">
        <f>IFERROR(VLOOKUP(A21, Current_Stats!A:Z, 3, FALSE),"")</f>
        <v>14</v>
      </c>
    </row>
    <row r="22" hidden="1">
      <c r="A22" s="110" t="str">
        <f t="array" ref="A22">IFERROR(
  INDEX(Refined_Data!O:O, MATCH(B22, Refined_Data!A:A, FALSE)),
"")</f>
        <v/>
      </c>
      <c r="B22" s="124" t="str">
        <f>Refined_Data!A20</f>
        <v>Christian Langcuyan</v>
      </c>
      <c r="C22" s="112" t="str">
        <f>IFERROR(VLOOKUP(B22, Refined_Data!A:Z, 4, FALSE), "")</f>
        <v>English</v>
      </c>
      <c r="D22" s="113" t="str">
        <f>IF(B22="","", IFERROR(VLOOKUP(B22, Refined_Data!A:Z, 5, FALSE), ""))</f>
        <v/>
      </c>
      <c r="E22" s="114" t="str">
        <f>IFERROR(VLOOKUP(B22, Refined_Data!A:Z, 3, FALSE),"")</f>
        <v>Trainee</v>
      </c>
      <c r="F22" s="125" t="str">
        <f t="array" ref="F22">IF(B22="","",
  IFERROR(
    TEXTJOIN(", ", TRUE,
      IF(INDEX(Refined_Data!K:K, MATCH(B22, Refined_Data!A:A, 0))="Yes","SAFE",""),
      IF(INDEX(Refined_Data!L:L, MATCH(B22, Refined_Data!A:A, 0))="Yes","TRBLSHOOT",""),
      IF(INDEX(Refined_Data!M:M, MATCH(B22, Refined_Data!A:A, 0))="Yes","BMRC","")
    ),
  "")
)</f>
        <v/>
      </c>
      <c r="G22" s="126" t="str">
        <f>IFERROR(VLOOKUP(B22, Refined_Data!A:Z, 8, FALSE), "")</f>
        <v/>
      </c>
      <c r="H22" s="126" t="str">
        <f>IFERROR(VLOOKUP(B22, Refined_Data!A:Z, 9, FALSE), "")</f>
        <v/>
      </c>
      <c r="I22" s="126">
        <f>IFERROR(VLOOKUP(B22, Refined_Data!A:Z, 10, FALSE), "")</f>
        <v>1060074</v>
      </c>
      <c r="J22" s="127" t="str">
        <f>IFERROR(VLOOKUP(B22, Refined_Data!A:Z, 14, FALSE), "")</f>
        <v>Diegue, Kerry</v>
      </c>
      <c r="K22" s="118" t="str">
        <f t="shared" si="1"/>
        <v/>
      </c>
      <c r="L22" s="119" t="str">
        <f>IFERROR(VLOOKUP(A22, Current_Stats!A:Z, 7, FALSE), "")</f>
        <v/>
      </c>
      <c r="M22" s="119" t="str">
        <f>IFERROR(VLOOKUP(A22, Previous_Stats!A:Z, 7, FALSE), "")</f>
        <v/>
      </c>
      <c r="N22" s="120" t="str">
        <f t="shared" si="2"/>
        <v/>
      </c>
      <c r="O22" s="119" t="str">
        <f>IFERROR(VLOOKUP(A22, Current_Stats!A:Z, 8, FALSE), "")</f>
        <v/>
      </c>
      <c r="P22" s="119" t="str">
        <f>IFERROR(VLOOKUP(A22, Previous_Stats!A:Z, 8, FALSE), "")</f>
        <v/>
      </c>
      <c r="Q22" s="112" t="str">
        <f>IFERROR(VLOOKUP(B22, Shift_Analysis!A:Z, 6, FALSE), "")</f>
        <v/>
      </c>
      <c r="R22" s="114" t="str">
        <f>IFERROR(VLOOKUP(B22, Shift_Analysis!A:Z, 7, FALSE), "")</f>
        <v/>
      </c>
      <c r="S22" s="123" t="str">
        <f>IFERROR(VLOOKUP(A22, Current_Stats!A:Z, 3, FALSE),"")</f>
        <v/>
      </c>
    </row>
    <row r="23" hidden="1">
      <c r="A23" s="110" t="str">
        <f t="array" ref="A23">IFERROR(
  INDEX(Refined_Data!O:O, MATCH(B23, Refined_Data!A:A, FALSE)),
"")</f>
        <v>Cobrana, Michelle</v>
      </c>
      <c r="B23" s="124" t="str">
        <f>Refined_Data!A21</f>
        <v>Cobrana, Mechille</v>
      </c>
      <c r="C23" s="112" t="str">
        <f>IFERROR(VLOOKUP(B23, Refined_Data!A:Z, 4, FALSE), "")</f>
        <v>English</v>
      </c>
      <c r="D23" s="113" t="str">
        <f>IF(B23="","", IFERROR(VLOOKUP(B23, Refined_Data!A:Z, 5, FALSE), ""))</f>
        <v/>
      </c>
      <c r="E23" s="114">
        <f>IFERROR(VLOOKUP(B23, Refined_Data!A:Z, 3, FALSE),"")</f>
        <v>1</v>
      </c>
      <c r="F23" s="125" t="str">
        <f t="array" ref="F23">IF(B23="","",
  IFERROR(
    TEXTJOIN(", ", TRUE,
      IF(INDEX(Refined_Data!K:K, MATCH(B23, Refined_Data!A:A, 0))="Yes","SAFE",""),
      IF(INDEX(Refined_Data!L:L, MATCH(B23, Refined_Data!A:A, 0))="Yes","TRBLSHOOT",""),
      IF(INDEX(Refined_Data!M:M, MATCH(B23, Refined_Data!A:A, 0))="Yes","BMRC","")
    ),
  "")
)</f>
        <v/>
      </c>
      <c r="G23" s="126" t="str">
        <f>IFERROR(VLOOKUP(B23, Refined_Data!A:Z, 8, FALSE), "")</f>
        <v>M0535</v>
      </c>
      <c r="H23" s="126">
        <f>IFERROR(VLOOKUP(B23, Refined_Data!A:Z, 9, FALSE), "")</f>
        <v>106001471</v>
      </c>
      <c r="I23" s="126">
        <f>IFERROR(VLOOKUP(B23, Refined_Data!A:Z, 10, FALSE), "")</f>
        <v>1060013</v>
      </c>
      <c r="J23" s="127" t="str">
        <f>IFERROR(VLOOKUP(B23, Refined_Data!A:Z, 14, FALSE), "")</f>
        <v>Gillingham, Shelley</v>
      </c>
      <c r="K23" s="118" t="str">
        <f t="shared" si="1"/>
        <v/>
      </c>
      <c r="L23" s="119" t="str">
        <f>IFERROR(VLOOKUP(A23, Current_Stats!A:Z, 7, FALSE), "")</f>
        <v/>
      </c>
      <c r="M23" s="119">
        <f>IFERROR(VLOOKUP(A23, Previous_Stats!A:Z, 7, FALSE), "")</f>
        <v>0</v>
      </c>
      <c r="N23" s="120" t="str">
        <f t="shared" si="2"/>
        <v/>
      </c>
      <c r="O23" s="119" t="str">
        <f>IFERROR(VLOOKUP(A23, Current_Stats!A:Z, 8, FALSE), "")</f>
        <v/>
      </c>
      <c r="P23" s="119">
        <f>IFERROR(VLOOKUP(A23, Previous_Stats!A:Z, 8, FALSE), "")</f>
        <v>1</v>
      </c>
      <c r="Q23" s="112" t="str">
        <f>IFERROR(VLOOKUP(B23, Shift_Analysis!A:Z, 6, FALSE), "")</f>
        <v/>
      </c>
      <c r="R23" s="114" t="str">
        <f>IFERROR(VLOOKUP(B23, Shift_Analysis!A:Z, 7, FALSE), "")</f>
        <v/>
      </c>
      <c r="S23" s="123" t="str">
        <f>IFERROR(VLOOKUP(A23, Current_Stats!A:Z, 3, FALSE),"")</f>
        <v/>
      </c>
    </row>
    <row r="24">
      <c r="A24" s="110" t="str">
        <f t="array" ref="A24">IFERROR(
  INDEX(Refined_Data!O:O, MATCH(B24, Refined_Data!A:A, FALSE)),
"")</f>
        <v>Deschineau, Shelsey Ann</v>
      </c>
      <c r="B24" s="124" t="str">
        <f>Refined_Data!A24</f>
        <v>Deschineau, Shelsey Ann</v>
      </c>
      <c r="C24" s="112" t="str">
        <f>IFERROR(VLOOKUP(B24, Refined_Data!A:Z, 4, FALSE), "")</f>
        <v>Bilingual-French</v>
      </c>
      <c r="D24" s="113" t="str">
        <f>IF(B24="","", IFERROR(VLOOKUP(B24, Refined_Data!A:Z, 5, FALSE), ""))</f>
        <v>Day</v>
      </c>
      <c r="E24" s="114">
        <f>IFERROR(VLOOKUP(B24, Refined_Data!A:Z, 3, FALSE),"")</f>
        <v>4</v>
      </c>
      <c r="F24" s="125" t="str">
        <f t="array" ref="F24">IF(B24="","",
  IFERROR(
    TEXTJOIN(", ", TRUE,
      IF(INDEX(Refined_Data!K:K, MATCH(B24, Refined_Data!A:A, 0))="Yes","SAFE",""),
      IF(INDEX(Refined_Data!L:L, MATCH(B24, Refined_Data!A:A, 0))="Yes","TRBLSHOOT",""),
      IF(INDEX(Refined_Data!M:M, MATCH(B24, Refined_Data!A:A, 0))="Yes","BMRC","")
    ),
  "")
)</f>
        <v>TRBLSHOOT</v>
      </c>
      <c r="G24" s="126" t="str">
        <f>IFERROR(VLOOKUP(B24, Refined_Data!A:Z, 8, FALSE), "")</f>
        <v>M0099</v>
      </c>
      <c r="H24" s="126">
        <f>IFERROR(VLOOKUP(B24, Refined_Data!A:Z, 9, FALSE), "")</f>
        <v>100966528</v>
      </c>
      <c r="I24" s="126">
        <f>IFERROR(VLOOKUP(B24, Refined_Data!A:Z, 10, FALSE), "")</f>
        <v>1066475</v>
      </c>
      <c r="J24" s="127" t="str">
        <f>IFERROR(VLOOKUP(B24, Refined_Data!A:Z, 14, FALSE), "")</f>
        <v>Diegue, Kerry</v>
      </c>
      <c r="K24" s="118" t="str">
        <f t="shared" si="1"/>
        <v>↑</v>
      </c>
      <c r="L24" s="119">
        <f>IFERROR(VLOOKUP(A24, Current_Stats!A:Z, 7, FALSE), "")</f>
        <v>0.51</v>
      </c>
      <c r="M24" s="119">
        <f>IFERROR(VLOOKUP(A24, Previous_Stats!A:Z, 7, FALSE), "")</f>
        <v>0.413</v>
      </c>
      <c r="N24" s="120" t="str">
        <f t="shared" si="2"/>
        <v>↓</v>
      </c>
      <c r="O24" s="119">
        <f>IFERROR(VLOOKUP(A24, Current_Stats!A:Z, 8, FALSE), "")</f>
        <v>0.49</v>
      </c>
      <c r="P24" s="119">
        <f>IFERROR(VLOOKUP(A24, Previous_Stats!A:Z, 8, FALSE), "")</f>
        <v>0.587</v>
      </c>
      <c r="Q24" s="112" t="str">
        <f>IFERROR(VLOOKUP(B24, Shift_Analysis!A:Z, 6, FALSE), "")</f>
        <v>1</v>
      </c>
      <c r="R24" s="114" t="str">
        <f>IFERROR(VLOOKUP(B24, Shift_Analysis!A:Z, 7, FALSE), "")</f>
        <v>1</v>
      </c>
      <c r="S24" s="123">
        <f>IFERROR(VLOOKUP(A24, Current_Stats!A:Z, 3, FALSE),"")</f>
        <v>11</v>
      </c>
    </row>
    <row r="25">
      <c r="A25" s="110" t="str">
        <f t="array" ref="A25">IFERROR(
  INDEX(Refined_Data!O:O, MATCH(B25, Refined_Data!A:A, FALSE)),
"")</f>
        <v>Fakhfakh, Souleymen</v>
      </c>
      <c r="B25" s="124" t="str">
        <f>Refined_Data!A30</f>
        <v>Fakhfakh, Souleymen</v>
      </c>
      <c r="C25" s="112" t="str">
        <f>IFERROR(VLOOKUP(B25, Refined_Data!A:Z, 4, FALSE), "")</f>
        <v>French</v>
      </c>
      <c r="D25" s="113" t="str">
        <f>IF(B25="","", IFERROR(VLOOKUP(B25, Refined_Data!A:Z, 5, FALSE), ""))</f>
        <v>Evening</v>
      </c>
      <c r="E25" s="114">
        <f>IFERROR(VLOOKUP(B25, Refined_Data!A:Z, 3, FALSE),"")</f>
        <v>4</v>
      </c>
      <c r="F25" s="125" t="str">
        <f t="array" ref="F25">IF(B25="","",
  IFERROR(
    TEXTJOIN(", ", TRUE,
      IF(INDEX(Refined_Data!K:K, MATCH(B25, Refined_Data!A:A, 0))="Yes","SAFE",""),
      IF(INDEX(Refined_Data!L:L, MATCH(B25, Refined_Data!A:A, 0))="Yes","TRBLSHOOT",""),
      IF(INDEX(Refined_Data!M:M, MATCH(B25, Refined_Data!A:A, 0))="Yes","BMRC","")
    ),
  "")
)</f>
        <v>TRBLSHOOT</v>
      </c>
      <c r="G25" s="126" t="str">
        <f>IFERROR(VLOOKUP(B25, Refined_Data!A:Z, 8, FALSE), "")</f>
        <v>M0111</v>
      </c>
      <c r="H25" s="126">
        <f>IFERROR(VLOOKUP(B25, Refined_Data!A:Z, 9, FALSE), "")</f>
        <v>100995918</v>
      </c>
      <c r="I25" s="126">
        <f>IFERROR(VLOOKUP(B25, Refined_Data!A:Z, 10, FALSE), "")</f>
        <v>1110128</v>
      </c>
      <c r="J25" s="127" t="str">
        <f>IFERROR(VLOOKUP(B25, Refined_Data!A:Z, 14, FALSE), "")</f>
        <v>Diegue, Kerry</v>
      </c>
      <c r="K25" s="118" t="str">
        <f t="shared" si="1"/>
        <v>↑</v>
      </c>
      <c r="L25" s="119">
        <f>IFERROR(VLOOKUP(A25, Current_Stats!A:Z, 7, FALSE), "")</f>
        <v>0.964</v>
      </c>
      <c r="M25" s="119">
        <f>IFERROR(VLOOKUP(A25, Previous_Stats!A:Z, 7, FALSE), "")</f>
        <v>0.948</v>
      </c>
      <c r="N25" s="120" t="str">
        <f t="shared" si="2"/>
        <v>↓</v>
      </c>
      <c r="O25" s="119">
        <f>IFERROR(VLOOKUP(A25, Current_Stats!A:Z, 8, FALSE), "")</f>
        <v>0.036</v>
      </c>
      <c r="P25" s="119">
        <f>IFERROR(VLOOKUP(A25, Previous_Stats!A:Z, 8, FALSE), "")</f>
        <v>0.052</v>
      </c>
      <c r="Q25" s="112" t="str">
        <f>IFERROR(VLOOKUP(B25, Shift_Analysis!A:Z, 6, FALSE), "")</f>
        <v>2</v>
      </c>
      <c r="R25" s="114" t="str">
        <f>IFERROR(VLOOKUP(B25, Shift_Analysis!A:Z, 7, FALSE), "")</f>
        <v>2</v>
      </c>
      <c r="S25" s="123">
        <f>IFERROR(VLOOKUP(A25, Current_Stats!A:Z, 3, FALSE),"")</f>
        <v>18</v>
      </c>
    </row>
    <row r="26">
      <c r="A26" s="110" t="str">
        <f t="array" ref="A26">IFERROR(
  INDEX(Refined_Data!O:O, MATCH(B26, Refined_Data!A:A, FALSE)),
"")</f>
        <v>Gagnon, Nancy</v>
      </c>
      <c r="B26" s="124" t="str">
        <f>Refined_Data!A33</f>
        <v>Gagnon, Nancy</v>
      </c>
      <c r="C26" s="112" t="str">
        <f>IFERROR(VLOOKUP(B26, Refined_Data!A:Z, 4, FALSE), "")</f>
        <v>Bilingual-French</v>
      </c>
      <c r="D26" s="113" t="str">
        <f>IF(B26="","", IFERROR(VLOOKUP(B26, Refined_Data!A:Z, 5, FALSE), ""))</f>
        <v>Night</v>
      </c>
      <c r="E26" s="114">
        <f>IFERROR(VLOOKUP(B26, Refined_Data!A:Z, 3, FALSE),"")</f>
        <v>4</v>
      </c>
      <c r="F26" s="125" t="str">
        <f t="array" ref="F26">IF(B26="","",
  IFERROR(
    TEXTJOIN(", ", TRUE,
      IF(INDEX(Refined_Data!K:K, MATCH(B26, Refined_Data!A:A, 0))="Yes","SAFE",""),
      IF(INDEX(Refined_Data!L:L, MATCH(B26, Refined_Data!A:A, 0))="Yes","TRBLSHOOT",""),
      IF(INDEX(Refined_Data!M:M, MATCH(B26, Refined_Data!A:A, 0))="Yes","BMRC","")
    ),
  "")
)</f>
        <v>SAFE, BMRC</v>
      </c>
      <c r="G26" s="126" t="str">
        <f>IFERROR(VLOOKUP(B26, Refined_Data!A:Z, 8, FALSE), "")</f>
        <v>M0116</v>
      </c>
      <c r="H26" s="126">
        <f>IFERROR(VLOOKUP(B26, Refined_Data!A:Z, 9, FALSE), "")</f>
        <v>44370265</v>
      </c>
      <c r="I26" s="126">
        <f>IFERROR(VLOOKUP(B26, Refined_Data!A:Z, 10, FALSE), "")</f>
        <v>1066465</v>
      </c>
      <c r="J26" s="127" t="str">
        <f>IFERROR(VLOOKUP(B26, Refined_Data!A:Z, 14, FALSE), "")</f>
        <v>Herrati, Houcine</v>
      </c>
      <c r="K26" s="118" t="str">
        <f t="shared" si="1"/>
        <v>↑</v>
      </c>
      <c r="L26" s="119">
        <f>IFERROR(VLOOKUP(A26, Current_Stats!A:Z, 7, FALSE), "")</f>
        <v>0.765</v>
      </c>
      <c r="M26" s="119">
        <f>IFERROR(VLOOKUP(A26, Previous_Stats!A:Z, 7, FALSE), "")</f>
        <v>0.693</v>
      </c>
      <c r="N26" s="120" t="str">
        <f t="shared" si="2"/>
        <v>↓</v>
      </c>
      <c r="O26" s="119">
        <f>IFERROR(VLOOKUP(A26, Current_Stats!A:Z, 8, FALSE), "")</f>
        <v>0.235</v>
      </c>
      <c r="P26" s="119">
        <f>IFERROR(VLOOKUP(A26, Previous_Stats!A:Z, 8, FALSE), "")</f>
        <v>0.307</v>
      </c>
      <c r="Q26" s="112" t="str">
        <f>IFERROR(VLOOKUP(B26, Shift_Analysis!A:Z, 6, FALSE), "")</f>
        <v>2</v>
      </c>
      <c r="R26" s="114" t="str">
        <f>IFERROR(VLOOKUP(B26, Shift_Analysis!A:Z, 7, FALSE), "")</f>
        <v>2</v>
      </c>
      <c r="S26" s="123">
        <f>IFERROR(VLOOKUP(A26, Current_Stats!A:Z, 3, FALSE),"")</f>
        <v>18</v>
      </c>
    </row>
    <row r="27">
      <c r="A27" s="110" t="str">
        <f t="array" ref="A27">IFERROR(
  INDEX(Refined_Data!O:O, MATCH(B27, Refined_Data!A:A, FALSE)),
"")</f>
        <v>Gil Cervino, Henrique Alexandre</v>
      </c>
      <c r="B27" s="124" t="str">
        <f>Refined_Data!A34</f>
        <v>Gil Cervino, Henrique Alexandre</v>
      </c>
      <c r="C27" s="112" t="str">
        <f>IFERROR(VLOOKUP(B27, Refined_Data!A:Z, 4, FALSE), "")</f>
        <v>Bilingual-French</v>
      </c>
      <c r="D27" s="113" t="str">
        <f>IF(B27="","", IFERROR(VLOOKUP(B27, Refined_Data!A:Z, 5, FALSE), ""))</f>
        <v>Day</v>
      </c>
      <c r="E27" s="114">
        <f>IFERROR(VLOOKUP(B27, Refined_Data!A:Z, 3, FALSE),"")</f>
        <v>4</v>
      </c>
      <c r="F27" s="125" t="str">
        <f t="array" ref="F27">IF(B27="","",
  IFERROR(
    TEXTJOIN(", ", TRUE,
      IF(INDEX(Refined_Data!K:K, MATCH(B27, Refined_Data!A:A, 0))="Yes","SAFE",""),
      IF(INDEX(Refined_Data!L:L, MATCH(B27, Refined_Data!A:A, 0))="Yes","TRBLSHOOT",""),
      IF(INDEX(Refined_Data!M:M, MATCH(B27, Refined_Data!A:A, 0))="Yes","BMRC","")
    ),
  "")
)</f>
        <v>SAFE, TRBLSHOOT</v>
      </c>
      <c r="G27" s="126" t="str">
        <f>IFERROR(VLOOKUP(B27, Refined_Data!A:Z, 8, FALSE), "")</f>
        <v>M0120</v>
      </c>
      <c r="H27" s="126">
        <f>IFERROR(VLOOKUP(B27, Refined_Data!A:Z, 9, FALSE), "")</f>
        <v>100960919</v>
      </c>
      <c r="I27" s="126">
        <f>IFERROR(VLOOKUP(B27, Refined_Data!A:Z, 10, FALSE), "")</f>
        <v>1066723</v>
      </c>
      <c r="J27" s="127" t="str">
        <f>IFERROR(VLOOKUP(B27, Refined_Data!A:Z, 14, FALSE), "")</f>
        <v>Dhindsa, Sukhjinder</v>
      </c>
      <c r="K27" s="118" t="str">
        <f t="shared" si="1"/>
        <v>↓</v>
      </c>
      <c r="L27" s="119">
        <f>IFERROR(VLOOKUP(A27, Current_Stats!A:Z, 7, FALSE), "")</f>
        <v>0.845</v>
      </c>
      <c r="M27" s="119">
        <f>IFERROR(VLOOKUP(A27, Previous_Stats!A:Z, 7, FALSE), "")</f>
        <v>0.855</v>
      </c>
      <c r="N27" s="120" t="str">
        <f t="shared" si="2"/>
        <v>↑</v>
      </c>
      <c r="O27" s="119">
        <f>IFERROR(VLOOKUP(A27, Current_Stats!A:Z, 8, FALSE), "")</f>
        <v>0.155</v>
      </c>
      <c r="P27" s="119">
        <f>IFERROR(VLOOKUP(A27, Previous_Stats!A:Z, 8, FALSE), "")</f>
        <v>0.145</v>
      </c>
      <c r="Q27" s="112" t="str">
        <f>IFERROR(VLOOKUP(B27, Shift_Analysis!A:Z, 6, FALSE), "")</f>
        <v>3</v>
      </c>
      <c r="R27" s="114" t="str">
        <f>IFERROR(VLOOKUP(B27, Shift_Analysis!A:Z, 7, FALSE), "")</f>
        <v>3</v>
      </c>
      <c r="S27" s="123">
        <f>IFERROR(VLOOKUP(A27, Current_Stats!A:Z, 3, FALSE),"")</f>
        <v>9</v>
      </c>
    </row>
    <row r="28" hidden="1">
      <c r="A28" s="110" t="str">
        <f t="array" ref="A28">IFERROR(
  INDEX(Refined_Data!O:O, MATCH(B28, Refined_Data!A:A, FALSE)),
"")</f>
        <v>Ginete, Maricel</v>
      </c>
      <c r="B28" s="124" t="str">
        <f>Refined_Data!A35</f>
        <v>Ginete, Maricel</v>
      </c>
      <c r="C28" s="112" t="str">
        <f>IFERROR(VLOOKUP(B28, Refined_Data!A:Z, 4, FALSE), "")</f>
        <v>English</v>
      </c>
      <c r="D28" s="113" t="str">
        <f>IF(B28="","", IFERROR(VLOOKUP(B28, Refined_Data!A:Z, 5, FALSE), ""))</f>
        <v/>
      </c>
      <c r="E28" s="114">
        <f>IFERROR(VLOOKUP(B28, Refined_Data!A:Z, 3, FALSE),"")</f>
        <v>1</v>
      </c>
      <c r="F28" s="125" t="str">
        <f t="array" ref="F28">IF(B28="","",
  IFERROR(
    TEXTJOIN(", ", TRUE,
      IF(INDEX(Refined_Data!K:K, MATCH(B28, Refined_Data!A:A, 0))="Yes","SAFE",""),
      IF(INDEX(Refined_Data!L:L, MATCH(B28, Refined_Data!A:A, 0))="Yes","TRBLSHOOT",""),
      IF(INDEX(Refined_Data!M:M, MATCH(B28, Refined_Data!A:A, 0))="Yes","BMRC","")
    ),
  "")
)</f>
        <v/>
      </c>
      <c r="G28" s="126" t="str">
        <f>IFERROR(VLOOKUP(B28, Refined_Data!A:Z, 8, FALSE), "")</f>
        <v>M0538</v>
      </c>
      <c r="H28" s="126">
        <f>IFERROR(VLOOKUP(B28, Refined_Data!A:Z, 9, FALSE), "")</f>
        <v>106001432</v>
      </c>
      <c r="I28" s="126">
        <f>IFERROR(VLOOKUP(B28, Refined_Data!A:Z, 10, FALSE), "")</f>
        <v>1060008</v>
      </c>
      <c r="J28" s="127" t="str">
        <f>IFERROR(VLOOKUP(B28, Refined_Data!A:Z, 14, FALSE), "")</f>
        <v>Coghiel, Caren</v>
      </c>
      <c r="K28" s="118" t="str">
        <f t="shared" si="1"/>
        <v>↓</v>
      </c>
      <c r="L28" s="119">
        <f>IFERROR(VLOOKUP(A28, Current_Stats!A:Z, 7, FALSE), "")</f>
        <v>0.455</v>
      </c>
      <c r="M28" s="119">
        <f>IFERROR(VLOOKUP(A28, Previous_Stats!A:Z, 7, FALSE), "")</f>
        <v>0.498</v>
      </c>
      <c r="N28" s="120" t="str">
        <f t="shared" si="2"/>
        <v>↑</v>
      </c>
      <c r="O28" s="119">
        <f>IFERROR(VLOOKUP(A28, Current_Stats!A:Z, 8, FALSE), "")</f>
        <v>0.545</v>
      </c>
      <c r="P28" s="119">
        <f>IFERROR(VLOOKUP(A28, Previous_Stats!A:Z, 8, FALSE), "")</f>
        <v>0.502</v>
      </c>
      <c r="Q28" s="112" t="str">
        <f>IFERROR(VLOOKUP(B28, Shift_Analysis!A:Z, 6, FALSE), "")</f>
        <v/>
      </c>
      <c r="R28" s="114" t="str">
        <f>IFERROR(VLOOKUP(B28, Shift_Analysis!A:Z, 7, FALSE), "")</f>
        <v/>
      </c>
      <c r="S28" s="123">
        <f>IFERROR(VLOOKUP(A28, Current_Stats!A:Z, 3, FALSE),"")</f>
        <v>7</v>
      </c>
    </row>
    <row r="29">
      <c r="A29" s="110" t="str">
        <f t="array" ref="A29">IFERROR(
  INDEX(Refined_Data!O:O, MATCH(B29, Refined_Data!A:A, FALSE)),
"")</f>
        <v>Guzman, Alexandre</v>
      </c>
      <c r="B29" s="124" t="str">
        <f>Refined_Data!A36</f>
        <v>Guzman, Alexandre</v>
      </c>
      <c r="C29" s="112" t="str">
        <f>IFERROR(VLOOKUP(B29, Refined_Data!A:Z, 4, FALSE), "")</f>
        <v>Bilingual-French</v>
      </c>
      <c r="D29" s="113" t="str">
        <f>IF(B29="","", IFERROR(VLOOKUP(B29, Refined_Data!A:Z, 5, FALSE), ""))</f>
        <v>Evening</v>
      </c>
      <c r="E29" s="114">
        <f>IFERROR(VLOOKUP(B29, Refined_Data!A:Z, 3, FALSE),"")</f>
        <v>2</v>
      </c>
      <c r="F29" s="125" t="str">
        <f t="array" ref="F29">IF(B29="","",
  IFERROR(
    TEXTJOIN(", ", TRUE,
      IF(INDEX(Refined_Data!K:K, MATCH(B29, Refined_Data!A:A, 0))="Yes","SAFE",""),
      IF(INDEX(Refined_Data!L:L, MATCH(B29, Refined_Data!A:A, 0))="Yes","TRBLSHOOT",""),
      IF(INDEX(Refined_Data!M:M, MATCH(B29, Refined_Data!A:A, 0))="Yes","BMRC","")
    ),
  "")
)</f>
        <v>TRBLSHOOT</v>
      </c>
      <c r="G29" s="126" t="str">
        <f>IFERROR(VLOOKUP(B29, Refined_Data!A:Z, 8, FALSE), "")</f>
        <v>M0515</v>
      </c>
      <c r="H29" s="126">
        <f>IFERROR(VLOOKUP(B29, Refined_Data!A:Z, 9, FALSE), "")</f>
        <v>100773718</v>
      </c>
      <c r="I29" s="126">
        <f>IFERROR(VLOOKUP(B29, Refined_Data!A:Z, 10, FALSE), "")</f>
        <v>1060064</v>
      </c>
      <c r="J29" s="127" t="str">
        <f>IFERROR(VLOOKUP(B29, Refined_Data!A:Z, 14, FALSE), "")</f>
        <v>Herrati, Houcine</v>
      </c>
      <c r="K29" s="118" t="str">
        <f t="shared" si="1"/>
        <v>↓</v>
      </c>
      <c r="L29" s="119">
        <f>IFERROR(VLOOKUP(A29, Current_Stats!A:Z, 7, FALSE), "")</f>
        <v>0.622</v>
      </c>
      <c r="M29" s="119">
        <f>IFERROR(VLOOKUP(A29, Previous_Stats!A:Z, 7, FALSE), "")</f>
        <v>0.7</v>
      </c>
      <c r="N29" s="120" t="str">
        <f t="shared" si="2"/>
        <v>↑</v>
      </c>
      <c r="O29" s="119">
        <f>IFERROR(VLOOKUP(A29, Current_Stats!A:Z, 8, FALSE), "")</f>
        <v>0.378</v>
      </c>
      <c r="P29" s="119">
        <f>IFERROR(VLOOKUP(A29, Previous_Stats!A:Z, 8, FALSE), "")</f>
        <v>0.3</v>
      </c>
      <c r="Q29" s="112" t="str">
        <f>IFERROR(VLOOKUP(B29, Shift_Analysis!A:Z, 6, FALSE), "")</f>
        <v>2</v>
      </c>
      <c r="R29" s="114" t="str">
        <f>IFERROR(VLOOKUP(B29, Shift_Analysis!A:Z, 7, FALSE), "")</f>
        <v>2</v>
      </c>
      <c r="S29" s="123">
        <f>IFERROR(VLOOKUP(A29, Current_Stats!A:Z, 3, FALSE),"")</f>
        <v>12</v>
      </c>
    </row>
    <row r="30">
      <c r="A30" s="110" t="str">
        <f t="array" ref="A30">IFERROR(
  INDEX(Refined_Data!O:O, MATCH(B30, Refined_Data!A:A, FALSE)),
"")</f>
        <v>Herbst, Emily Blythe</v>
      </c>
      <c r="B30" s="124" t="str">
        <f>Refined_Data!A37</f>
        <v>Herbst, Emily</v>
      </c>
      <c r="C30" s="112" t="str">
        <f>IFERROR(VLOOKUP(B30, Refined_Data!A:Z, 4, FALSE), "")</f>
        <v>Bilingual-English</v>
      </c>
      <c r="D30" s="113" t="str">
        <f>IF(B30="","", IFERROR(VLOOKUP(B30, Refined_Data!A:Z, 5, FALSE), ""))</f>
        <v>Day</v>
      </c>
      <c r="E30" s="114">
        <f>IFERROR(VLOOKUP(B30, Refined_Data!A:Z, 3, FALSE),"")</f>
        <v>4</v>
      </c>
      <c r="F30" s="125" t="str">
        <f t="array" ref="F30">IF(B30="","",
  IFERROR(
    TEXTJOIN(", ", TRUE,
      IF(INDEX(Refined_Data!K:K, MATCH(B30, Refined_Data!A:A, 0))="Yes","SAFE",""),
      IF(INDEX(Refined_Data!L:L, MATCH(B30, Refined_Data!A:A, 0))="Yes","TRBLSHOOT",""),
      IF(INDEX(Refined_Data!M:M, MATCH(B30, Refined_Data!A:A, 0))="Yes","BMRC","")
    ),
  "")
)</f>
        <v>SAFE, BMRC</v>
      </c>
      <c r="G30" s="126" t="str">
        <f>IFERROR(VLOOKUP(B30, Refined_Data!A:Z, 8, FALSE), "")</f>
        <v>M0128</v>
      </c>
      <c r="H30" s="126">
        <f>IFERROR(VLOOKUP(B30, Refined_Data!A:Z, 9, FALSE), "")</f>
        <v>100956515</v>
      </c>
      <c r="I30" s="126">
        <f>IFERROR(VLOOKUP(B30, Refined_Data!A:Z, 10, FALSE), "")</f>
        <v>1062106</v>
      </c>
      <c r="J30" s="127" t="str">
        <f>IFERROR(VLOOKUP(B30, Refined_Data!A:Z, 14, FALSE), "")</f>
        <v>Rwano, Guy Fremin</v>
      </c>
      <c r="K30" s="118" t="str">
        <f t="shared" si="1"/>
        <v>↑</v>
      </c>
      <c r="L30" s="119">
        <f>IFERROR(VLOOKUP(A30, Current_Stats!A:Z, 7, FALSE), "")</f>
        <v>0.474</v>
      </c>
      <c r="M30" s="119">
        <f>IFERROR(VLOOKUP(A30, Previous_Stats!A:Z, 7, FALSE), "")</f>
        <v>0.336</v>
      </c>
      <c r="N30" s="120" t="str">
        <f t="shared" si="2"/>
        <v>↓</v>
      </c>
      <c r="O30" s="119">
        <f>IFERROR(VLOOKUP(A30, Current_Stats!A:Z, 8, FALSE), "")</f>
        <v>0.526</v>
      </c>
      <c r="P30" s="119">
        <f>IFERROR(VLOOKUP(A30, Previous_Stats!A:Z, 8, FALSE), "")</f>
        <v>0.664</v>
      </c>
      <c r="Q30" s="112" t="str">
        <f>IFERROR(VLOOKUP(B30, Shift_Analysis!A:Z, 6, FALSE), "")</f>
        <v>2</v>
      </c>
      <c r="R30" s="114" t="str">
        <f>IFERROR(VLOOKUP(B30, Shift_Analysis!A:Z, 7, FALSE), "")</f>
        <v>2</v>
      </c>
      <c r="S30" s="123">
        <f>IFERROR(VLOOKUP(A30, Current_Stats!A:Z, 3, FALSE),"")</f>
        <v>13</v>
      </c>
    </row>
    <row r="31">
      <c r="A31" s="110" t="str">
        <f t="array" ref="A31">IFERROR(
  INDEX(Refined_Data!O:O, MATCH(B31, Refined_Data!A:A, FALSE)),
"")</f>
        <v>Hirwa, Jules Adam</v>
      </c>
      <c r="B31" s="124" t="str">
        <f>Refined_Data!A39</f>
        <v>Hirwa, Jules Adam</v>
      </c>
      <c r="C31" s="112" t="str">
        <f>IFERROR(VLOOKUP(B31, Refined_Data!A:Z, 4, FALSE), "")</f>
        <v>Bilingual-French</v>
      </c>
      <c r="D31" s="113" t="str">
        <f>IF(B31="","", IFERROR(VLOOKUP(B31, Refined_Data!A:Z, 5, FALSE), ""))</f>
        <v>Day</v>
      </c>
      <c r="E31" s="114">
        <f>IFERROR(VLOOKUP(B31, Refined_Data!A:Z, 3, FALSE),"")</f>
        <v>4</v>
      </c>
      <c r="F31" s="125" t="str">
        <f t="array" ref="F31">IF(B31="","",
  IFERROR(
    TEXTJOIN(", ", TRUE,
      IF(INDEX(Refined_Data!K:K, MATCH(B31, Refined_Data!A:A, 0))="Yes","SAFE",""),
      IF(INDEX(Refined_Data!L:L, MATCH(B31, Refined_Data!A:A, 0))="Yes","TRBLSHOOT",""),
      IF(INDEX(Refined_Data!M:M, MATCH(B31, Refined_Data!A:A, 0))="Yes","BMRC","")
    ),
  "")
)</f>
        <v>SAFE</v>
      </c>
      <c r="G31" s="126" t="str">
        <f>IFERROR(VLOOKUP(B31, Refined_Data!A:Z, 8, FALSE), "")</f>
        <v>M0130</v>
      </c>
      <c r="H31" s="126">
        <f>IFERROR(VLOOKUP(B31, Refined_Data!A:Z, 9, FALSE), "")</f>
        <v>100955723</v>
      </c>
      <c r="I31" s="126">
        <f>IFERROR(VLOOKUP(B31, Refined_Data!A:Z, 10, FALSE), "")</f>
        <v>1062322</v>
      </c>
      <c r="J31" s="127" t="str">
        <f>IFERROR(VLOOKUP(B31, Refined_Data!A:Z, 14, FALSE), "")</f>
        <v>Rwano, Guy Fremin</v>
      </c>
      <c r="K31" s="118" t="str">
        <f t="shared" si="1"/>
        <v>↓</v>
      </c>
      <c r="L31" s="119">
        <f>IFERROR(VLOOKUP(A31, Current_Stats!A:Z, 7, FALSE), "")</f>
        <v>0.694</v>
      </c>
      <c r="M31" s="119">
        <f>IFERROR(VLOOKUP(A31, Previous_Stats!A:Z, 7, FALSE), "")</f>
        <v>0.855</v>
      </c>
      <c r="N31" s="120" t="str">
        <f t="shared" si="2"/>
        <v>↑</v>
      </c>
      <c r="O31" s="119">
        <f>IFERROR(VLOOKUP(A31, Current_Stats!A:Z, 8, FALSE), "")</f>
        <v>0.306</v>
      </c>
      <c r="P31" s="119">
        <f>IFERROR(VLOOKUP(A31, Previous_Stats!A:Z, 8, FALSE), "")</f>
        <v>0.145</v>
      </c>
      <c r="Q31" s="112" t="str">
        <f>IFERROR(VLOOKUP(B31, Shift_Analysis!A:Z, 6, FALSE), "")</f>
        <v>2</v>
      </c>
      <c r="R31" s="114" t="str">
        <f>IFERROR(VLOOKUP(B31, Shift_Analysis!A:Z, 7, FALSE), "")</f>
        <v>2</v>
      </c>
      <c r="S31" s="123">
        <f>IFERROR(VLOOKUP(A31, Current_Stats!A:Z, 3, FALSE),"")</f>
        <v>11</v>
      </c>
    </row>
    <row r="32">
      <c r="A32" s="110" t="str">
        <f t="array" ref="A32">IFERROR(
  INDEX(Refined_Data!O:O, MATCH(B32, Refined_Data!A:A, FALSE)),
"")</f>
        <v>Ininahazwe, Sabrina Amanda</v>
      </c>
      <c r="B32" s="124" t="str">
        <f>Refined_Data!A41</f>
        <v>Ininahazwe, Sabrina Amanda</v>
      </c>
      <c r="C32" s="112" t="str">
        <f>IFERROR(VLOOKUP(B32, Refined_Data!A:Z, 4, FALSE), "")</f>
        <v>Bilingual-French</v>
      </c>
      <c r="D32" s="113" t="str">
        <f>IF(B32="","", IFERROR(VLOOKUP(B32, Refined_Data!A:Z, 5, FALSE), ""))</f>
        <v>Day</v>
      </c>
      <c r="E32" s="114">
        <f>IFERROR(VLOOKUP(B32, Refined_Data!A:Z, 3, FALSE),"")</f>
        <v>4</v>
      </c>
      <c r="F32" s="125" t="str">
        <f t="array" ref="F32">IF(B32="","",
  IFERROR(
    TEXTJOIN(", ", TRUE,
      IF(INDEX(Refined_Data!K:K, MATCH(B32, Refined_Data!A:A, 0))="Yes","SAFE",""),
      IF(INDEX(Refined_Data!L:L, MATCH(B32, Refined_Data!A:A, 0))="Yes","TRBLSHOOT",""),
      IF(INDEX(Refined_Data!M:M, MATCH(B32, Refined_Data!A:A, 0))="Yes","BMRC","")
    ),
  "")
)</f>
        <v>SAFE, TRBLSHOOT, BMRC</v>
      </c>
      <c r="G32" s="126" t="str">
        <f>IFERROR(VLOOKUP(B32, Refined_Data!A:Z, 8, FALSE), "")</f>
        <v>M0133</v>
      </c>
      <c r="H32" s="126">
        <f>IFERROR(VLOOKUP(B32, Refined_Data!A:Z, 9, FALSE), "")</f>
        <v>100956381</v>
      </c>
      <c r="I32" s="126">
        <f>IFERROR(VLOOKUP(B32, Refined_Data!A:Z, 10, FALSE), "")</f>
        <v>1062242</v>
      </c>
      <c r="J32" s="127" t="str">
        <f>IFERROR(VLOOKUP(B32, Refined_Data!A:Z, 14, FALSE), "")</f>
        <v>Diegue, Kerry</v>
      </c>
      <c r="K32" s="118" t="str">
        <f t="shared" si="1"/>
        <v>↓</v>
      </c>
      <c r="L32" s="119">
        <f>IFERROR(VLOOKUP(A32, Current_Stats!A:Z, 7, FALSE), "")</f>
        <v>0.677</v>
      </c>
      <c r="M32" s="119">
        <f>IFERROR(VLOOKUP(A32, Previous_Stats!A:Z, 7, FALSE), "")</f>
        <v>0.756</v>
      </c>
      <c r="N32" s="120" t="str">
        <f t="shared" si="2"/>
        <v>↑</v>
      </c>
      <c r="O32" s="119">
        <f>IFERROR(VLOOKUP(A32, Current_Stats!A:Z, 8, FALSE), "")</f>
        <v>0.323</v>
      </c>
      <c r="P32" s="119">
        <f>IFERROR(VLOOKUP(A32, Previous_Stats!A:Z, 8, FALSE), "")</f>
        <v>0.244</v>
      </c>
      <c r="Q32" s="112" t="str">
        <f>IFERROR(VLOOKUP(B32, Shift_Analysis!A:Z, 6, FALSE), "")</f>
        <v>2</v>
      </c>
      <c r="R32" s="114" t="str">
        <f>IFERROR(VLOOKUP(B32, Shift_Analysis!A:Z, 7, FALSE), "")</f>
        <v>3</v>
      </c>
      <c r="S32" s="123">
        <f>IFERROR(VLOOKUP(A32, Current_Stats!A:Z, 3, FALSE),"")</f>
        <v>13</v>
      </c>
    </row>
    <row r="33">
      <c r="A33" s="110" t="str">
        <f t="array" ref="A33">IFERROR(
  INDEX(Refined_Data!O:O, MATCH(B33, Refined_Data!A:A, FALSE)),
"")</f>
        <v>Joseph, Whilston</v>
      </c>
      <c r="B33" s="124" t="str">
        <f>Refined_Data!A46</f>
        <v>Joseph, Whilston</v>
      </c>
      <c r="C33" s="112" t="str">
        <f>IFERROR(VLOOKUP(B33, Refined_Data!A:Z, 4, FALSE), "")</f>
        <v>Bilingual-French</v>
      </c>
      <c r="D33" s="113" t="str">
        <f>IF(B33="","", IFERROR(VLOOKUP(B33, Refined_Data!A:Z, 5, FALSE), ""))</f>
        <v>Day</v>
      </c>
      <c r="E33" s="114">
        <f>IFERROR(VLOOKUP(B33, Refined_Data!A:Z, 3, FALSE),"")</f>
        <v>4</v>
      </c>
      <c r="F33" s="125" t="str">
        <f t="array" ref="F33">IF(B33="","",
  IFERROR(
    TEXTJOIN(", ", TRUE,
      IF(INDEX(Refined_Data!K:K, MATCH(B33, Refined_Data!A:A, 0))="Yes","SAFE",""),
      IF(INDEX(Refined_Data!L:L, MATCH(B33, Refined_Data!A:A, 0))="Yes","TRBLSHOOT",""),
      IF(INDEX(Refined_Data!M:M, MATCH(B33, Refined_Data!A:A, 0))="Yes","BMRC","")
    ),
  "")
)</f>
        <v>BMRC</v>
      </c>
      <c r="G33" s="126" t="str">
        <f>IFERROR(VLOOKUP(B33, Refined_Data!A:Z, 8, FALSE), "")</f>
        <v>M0060</v>
      </c>
      <c r="H33" s="126">
        <f>IFERROR(VLOOKUP(B33, Refined_Data!A:Z, 9, FALSE), "")</f>
        <v>100955836</v>
      </c>
      <c r="I33" s="126">
        <f>IFERROR(VLOOKUP(B33, Refined_Data!A:Z, 10, FALSE), "")</f>
        <v>1066780</v>
      </c>
      <c r="J33" s="127" t="str">
        <f>IFERROR(VLOOKUP(B33, Refined_Data!A:Z, 14, FALSE), "")</f>
        <v>Kollias, Peter</v>
      </c>
      <c r="K33" s="118" t="str">
        <f t="shared" si="1"/>
        <v>↓</v>
      </c>
      <c r="L33" s="119">
        <f>IFERROR(VLOOKUP(A33, Current_Stats!A:Z, 7, FALSE), "")</f>
        <v>0.637</v>
      </c>
      <c r="M33" s="119">
        <f>IFERROR(VLOOKUP(A33, Previous_Stats!A:Z, 7, FALSE), "")</f>
        <v>0.706</v>
      </c>
      <c r="N33" s="120" t="str">
        <f t="shared" si="2"/>
        <v>↑</v>
      </c>
      <c r="O33" s="119">
        <f>IFERROR(VLOOKUP(A33, Current_Stats!A:Z, 8, FALSE), "")</f>
        <v>0.363</v>
      </c>
      <c r="P33" s="119">
        <f>IFERROR(VLOOKUP(A33, Previous_Stats!A:Z, 8, FALSE), "")</f>
        <v>0.294</v>
      </c>
      <c r="Q33" s="112" t="str">
        <f>IFERROR(VLOOKUP(B33, Shift_Analysis!A:Z, 6, FALSE), "")</f>
        <v>2</v>
      </c>
      <c r="R33" s="114" t="str">
        <f>IFERROR(VLOOKUP(B33, Shift_Analysis!A:Z, 7, FALSE), "")</f>
        <v>2</v>
      </c>
      <c r="S33" s="123">
        <f>IFERROR(VLOOKUP(A33, Current_Stats!A:Z, 3, FALSE),"")</f>
        <v>14</v>
      </c>
    </row>
    <row r="34">
      <c r="A34" s="110" t="str">
        <f t="array" ref="A34">IFERROR(
  INDEX(Refined_Data!O:O, MATCH(B34, Refined_Data!A:A, FALSE)),
"")</f>
        <v>Mann, Talwinder</v>
      </c>
      <c r="B34" s="124" t="str">
        <f>Refined_Data!A48</f>
        <v>Kaur Mann, Talwinder</v>
      </c>
      <c r="C34" s="112" t="str">
        <f>IFERROR(VLOOKUP(B34, Refined_Data!A:Z, 4, FALSE), "")</f>
        <v>Bilingual-English</v>
      </c>
      <c r="D34" s="113" t="str">
        <f>IF(B34="","", IFERROR(VLOOKUP(B34, Refined_Data!A:Z, 5, FALSE), ""))</f>
        <v>Day</v>
      </c>
      <c r="E34" s="114">
        <f>IFERROR(VLOOKUP(B34, Refined_Data!A:Z, 3, FALSE),"")</f>
        <v>2</v>
      </c>
      <c r="F34" s="125" t="str">
        <f t="array" ref="F34">IF(B34="","",
  IFERROR(
    TEXTJOIN(", ", TRUE,
      IF(INDEX(Refined_Data!K:K, MATCH(B34, Refined_Data!A:A, 0))="Yes","SAFE",""),
      IF(INDEX(Refined_Data!L:L, MATCH(B34, Refined_Data!A:A, 0))="Yes","TRBLSHOOT",""),
      IF(INDEX(Refined_Data!M:M, MATCH(B34, Refined_Data!A:A, 0))="Yes","BMRC","")
    ),
  "")
)</f>
        <v/>
      </c>
      <c r="G34" s="126" t="str">
        <f>IFERROR(VLOOKUP(B34, Refined_Data!A:Z, 8, FALSE), "")</f>
        <v>M0141</v>
      </c>
      <c r="H34" s="126">
        <f>IFERROR(VLOOKUP(B34, Refined_Data!A:Z, 9, FALSE), "")</f>
        <v>100990270</v>
      </c>
      <c r="I34" s="126">
        <f>IFERROR(VLOOKUP(B34, Refined_Data!A:Z, 10, FALSE), "")</f>
        <v>1060004</v>
      </c>
      <c r="J34" s="127" t="str">
        <f>IFERROR(VLOOKUP(B34, Refined_Data!A:Z, 14, FALSE), "")</f>
        <v>Diegue, Kerry</v>
      </c>
      <c r="K34" s="118" t="str">
        <f t="shared" si="1"/>
        <v>↓</v>
      </c>
      <c r="L34" s="119">
        <f>IFERROR(VLOOKUP(A34, Current_Stats!A:Z, 7, FALSE), "")</f>
        <v>0.769</v>
      </c>
      <c r="M34" s="119">
        <f>IFERROR(VLOOKUP(A34, Previous_Stats!A:Z, 7, FALSE), "")</f>
        <v>0.837</v>
      </c>
      <c r="N34" s="120" t="str">
        <f t="shared" si="2"/>
        <v>↑</v>
      </c>
      <c r="O34" s="119">
        <f>IFERROR(VLOOKUP(A34, Current_Stats!A:Z, 8, FALSE), "")</f>
        <v>0.231</v>
      </c>
      <c r="P34" s="119">
        <f>IFERROR(VLOOKUP(A34, Previous_Stats!A:Z, 8, FALSE), "")</f>
        <v>0.163</v>
      </c>
      <c r="Q34" s="112" t="str">
        <f>IFERROR(VLOOKUP(B34, Shift_Analysis!A:Z, 6, FALSE), "")</f>
        <v>2</v>
      </c>
      <c r="R34" s="114" t="str">
        <f>IFERROR(VLOOKUP(B34, Shift_Analysis!A:Z, 7, FALSE), "")</f>
        <v>2</v>
      </c>
      <c r="S34" s="123">
        <f>IFERROR(VLOOKUP(A34, Current_Stats!A:Z, 3, FALSE),"")</f>
        <v>8</v>
      </c>
    </row>
    <row r="35">
      <c r="A35" s="110" t="str">
        <f t="array" ref="A35">IFERROR(
  INDEX(Refined_Data!O:O, MATCH(B35, Refined_Data!A:A, FALSE)),
"")</f>
        <v>Lapointe, Renelle</v>
      </c>
      <c r="B35" s="124" t="str">
        <f>Refined_Data!A55</f>
        <v>Lapointe, Renelle</v>
      </c>
      <c r="C35" s="112" t="str">
        <f>IFERROR(VLOOKUP(B35, Refined_Data!A:Z, 4, FALSE), "")</f>
        <v>Bilingual-French</v>
      </c>
      <c r="D35" s="113" t="str">
        <f>IF(B35="","", IFERROR(VLOOKUP(B35, Refined_Data!A:Z, 5, FALSE), ""))</f>
        <v>Evening</v>
      </c>
      <c r="E35" s="114">
        <f>IFERROR(VLOOKUP(B35, Refined_Data!A:Z, 3, FALSE),"")</f>
        <v>4</v>
      </c>
      <c r="F35" s="125" t="str">
        <f t="array" ref="F35">IF(B35="","",
  IFERROR(
    TEXTJOIN(", ", TRUE,
      IF(INDEX(Refined_Data!K:K, MATCH(B35, Refined_Data!A:A, 0))="Yes","SAFE",""),
      IF(INDEX(Refined_Data!L:L, MATCH(B35, Refined_Data!A:A, 0))="Yes","TRBLSHOOT",""),
      IF(INDEX(Refined_Data!M:M, MATCH(B35, Refined_Data!A:A, 0))="Yes","BMRC","")
    ),
  "")
)</f>
        <v>SAFE, TRBLSHOOT</v>
      </c>
      <c r="G35" s="126" t="str">
        <f>IFERROR(VLOOKUP(B35, Refined_Data!A:Z, 8, FALSE), "")</f>
        <v>M0156</v>
      </c>
      <c r="H35" s="126">
        <f>IFERROR(VLOOKUP(B35, Refined_Data!A:Z, 9, FALSE), "")</f>
        <v>100956388</v>
      </c>
      <c r="I35" s="126">
        <f>IFERROR(VLOOKUP(B35, Refined_Data!A:Z, 10, FALSE), "")</f>
        <v>1062508</v>
      </c>
      <c r="J35" s="127" t="str">
        <f>IFERROR(VLOOKUP(B35, Refined_Data!A:Z, 14, FALSE), "")</f>
        <v>Dhindsa, Sukhjinder</v>
      </c>
      <c r="K35" s="118" t="str">
        <f t="shared" si="1"/>
        <v>↑</v>
      </c>
      <c r="L35" s="119">
        <f>IFERROR(VLOOKUP(A35, Current_Stats!A:Z, 7, FALSE), "")</f>
        <v>0.727</v>
      </c>
      <c r="M35" s="119">
        <f>IFERROR(VLOOKUP(A35, Previous_Stats!A:Z, 7, FALSE), "")</f>
        <v>0.692</v>
      </c>
      <c r="N35" s="120" t="str">
        <f t="shared" si="2"/>
        <v>↓</v>
      </c>
      <c r="O35" s="119">
        <f>IFERROR(VLOOKUP(A35, Current_Stats!A:Z, 8, FALSE), "")</f>
        <v>0.273</v>
      </c>
      <c r="P35" s="119">
        <f>IFERROR(VLOOKUP(A35, Previous_Stats!A:Z, 8, FALSE), "")</f>
        <v>0.308</v>
      </c>
      <c r="Q35" s="112" t="str">
        <f>IFERROR(VLOOKUP(B35, Shift_Analysis!A:Z, 6, FALSE), "")</f>
        <v>2</v>
      </c>
      <c r="R35" s="114" t="str">
        <f>IFERROR(VLOOKUP(B35, Shift_Analysis!A:Z, 7, FALSE), "")</f>
        <v>2</v>
      </c>
      <c r="S35" s="123">
        <f>IFERROR(VLOOKUP(A35, Current_Stats!A:Z, 3, FALSE),"")</f>
        <v>14</v>
      </c>
    </row>
    <row r="36">
      <c r="A36" s="110" t="str">
        <f t="array" ref="A36">IFERROR(
  INDEX(Refined_Data!O:O, MATCH(B36, Refined_Data!A:A, FALSE)),
"")</f>
        <v>Malki, Amine</v>
      </c>
      <c r="B36" s="124" t="str">
        <f>Refined_Data!A59</f>
        <v>Malki, Amine</v>
      </c>
      <c r="C36" s="112" t="str">
        <f>IFERROR(VLOOKUP(B36, Refined_Data!A:Z, 4, FALSE), "")</f>
        <v>Bilingual-French</v>
      </c>
      <c r="D36" s="113" t="str">
        <f>IF(B36="","", IFERROR(VLOOKUP(B36, Refined_Data!A:Z, 5, FALSE), ""))</f>
        <v>Evening</v>
      </c>
      <c r="E36" s="114">
        <f>IFERROR(VLOOKUP(B36, Refined_Data!A:Z, 3, FALSE),"")</f>
        <v>2</v>
      </c>
      <c r="F36" s="125" t="str">
        <f t="array" ref="F36">IF(B36="","",
  IFERROR(
    TEXTJOIN(", ", TRUE,
      IF(INDEX(Refined_Data!K:K, MATCH(B36, Refined_Data!A:A, 0))="Yes","SAFE",""),
      IF(INDEX(Refined_Data!L:L, MATCH(B36, Refined_Data!A:A, 0))="Yes","TRBLSHOOT",""),
      IF(INDEX(Refined_Data!M:M, MATCH(B36, Refined_Data!A:A, 0))="Yes","BMRC","")
    ),
  "")
)</f>
        <v/>
      </c>
      <c r="G36" s="126" t="str">
        <f>IFERROR(VLOOKUP(B36, Refined_Data!A:Z, 8, FALSE), "")</f>
        <v>M0483</v>
      </c>
      <c r="H36" s="126">
        <f>IFERROR(VLOOKUP(B36, Refined_Data!A:Z, 9, FALSE), "")</f>
        <v>100769716</v>
      </c>
      <c r="I36" s="126">
        <f>IFERROR(VLOOKUP(B36, Refined_Data!A:Z, 10, FALSE), "")</f>
        <v>1060023</v>
      </c>
      <c r="J36" s="127" t="str">
        <f>IFERROR(VLOOKUP(B36, Refined_Data!A:Z, 14, FALSE), "")</f>
        <v>Herrati, Houcine</v>
      </c>
      <c r="K36" s="118" t="str">
        <f t="shared" si="1"/>
        <v>↑</v>
      </c>
      <c r="L36" s="119">
        <f>IFERROR(VLOOKUP(A36, Current_Stats!A:Z, 7, FALSE), "")</f>
        <v>0.35</v>
      </c>
      <c r="M36" s="119">
        <f>IFERROR(VLOOKUP(A36, Previous_Stats!A:Z, 7, FALSE), "")</f>
        <v>0.332</v>
      </c>
      <c r="N36" s="120" t="str">
        <f t="shared" si="2"/>
        <v>↓</v>
      </c>
      <c r="O36" s="119">
        <f>IFERROR(VLOOKUP(A36, Current_Stats!A:Z, 8, FALSE), "")</f>
        <v>0.65</v>
      </c>
      <c r="P36" s="119">
        <f>IFERROR(VLOOKUP(A36, Previous_Stats!A:Z, 8, FALSE), "")</f>
        <v>0.668</v>
      </c>
      <c r="Q36" s="112" t="str">
        <f>IFERROR(VLOOKUP(B36, Shift_Analysis!A:Z, 6, FALSE), "")</f>
        <v>1</v>
      </c>
      <c r="R36" s="114" t="str">
        <f>IFERROR(VLOOKUP(B36, Shift_Analysis!A:Z, 7, FALSE), "")</f>
        <v>1</v>
      </c>
      <c r="S36" s="123">
        <f>IFERROR(VLOOKUP(A36, Current_Stats!A:Z, 3, FALSE),"")</f>
        <v>15</v>
      </c>
    </row>
    <row r="37">
      <c r="A37" s="110" t="str">
        <f t="array" ref="A37">IFERROR(
  INDEX(Refined_Data!O:O, MATCH(B37, Refined_Data!A:A, FALSE)),
"")</f>
        <v>Mamputu, Patrick</v>
      </c>
      <c r="B37" s="124" t="str">
        <f>Refined_Data!A60</f>
        <v>Mamputu, Patrick</v>
      </c>
      <c r="C37" s="112" t="str">
        <f>IFERROR(VLOOKUP(B37, Refined_Data!A:Z, 4, FALSE), "")</f>
        <v>Bilingual-French</v>
      </c>
      <c r="D37" s="113" t="str">
        <f>IF(B37="","", IFERROR(VLOOKUP(B37, Refined_Data!A:Z, 5, FALSE), ""))</f>
        <v>Variable</v>
      </c>
      <c r="E37" s="114">
        <f>IFERROR(VLOOKUP(B37, Refined_Data!A:Z, 3, FALSE),"")</f>
        <v>3</v>
      </c>
      <c r="F37" s="125" t="str">
        <f t="array" ref="F37">IF(B37="","",
  IFERROR(
    TEXTJOIN(", ", TRUE,
      IF(INDEX(Refined_Data!K:K, MATCH(B37, Refined_Data!A:A, 0))="Yes","SAFE",""),
      IF(INDEX(Refined_Data!L:L, MATCH(B37, Refined_Data!A:A, 0))="Yes","TRBLSHOOT",""),
      IF(INDEX(Refined_Data!M:M, MATCH(B37, Refined_Data!A:A, 0))="Yes","BMRC","")
    ),
  "")
)</f>
        <v>SAFE</v>
      </c>
      <c r="G37" s="126" t="str">
        <f>IFERROR(VLOOKUP(B37, Refined_Data!A:Z, 8, FALSE), "")</f>
        <v>M0166</v>
      </c>
      <c r="H37" s="126">
        <f>IFERROR(VLOOKUP(B37, Refined_Data!A:Z, 9, FALSE), "")</f>
        <v>100992431</v>
      </c>
      <c r="I37" s="126">
        <f>IFERROR(VLOOKUP(B37, Refined_Data!A:Z, 10, FALSE), "")</f>
        <v>1066151</v>
      </c>
      <c r="J37" s="127" t="str">
        <f>IFERROR(VLOOKUP(B37, Refined_Data!A:Z, 14, FALSE), "")</f>
        <v>Herrati, Houcine</v>
      </c>
      <c r="K37" s="118" t="str">
        <f t="shared" si="1"/>
        <v>↑</v>
      </c>
      <c r="L37" s="119">
        <f>IFERROR(VLOOKUP(A37, Current_Stats!A:Z, 7, FALSE), "")</f>
        <v>0.467</v>
      </c>
      <c r="M37" s="119">
        <f>IFERROR(VLOOKUP(A37, Previous_Stats!A:Z, 7, FALSE), "")</f>
        <v>0.404</v>
      </c>
      <c r="N37" s="120" t="str">
        <f t="shared" si="2"/>
        <v>↓</v>
      </c>
      <c r="O37" s="119">
        <f>IFERROR(VLOOKUP(A37, Current_Stats!A:Z, 8, FALSE), "")</f>
        <v>0.533</v>
      </c>
      <c r="P37" s="119">
        <f>IFERROR(VLOOKUP(A37, Previous_Stats!A:Z, 8, FALSE), "")</f>
        <v>0.596</v>
      </c>
      <c r="Q37" s="112" t="str">
        <f>IFERROR(VLOOKUP(B37, Shift_Analysis!A:Z, 6, FALSE), "")</f>
        <v>2</v>
      </c>
      <c r="R37" s="114" t="str">
        <f>IFERROR(VLOOKUP(B37, Shift_Analysis!A:Z, 7, FALSE), "")</f>
        <v>2</v>
      </c>
      <c r="S37" s="123">
        <f>IFERROR(VLOOKUP(A37, Current_Stats!A:Z, 3, FALSE),"")</f>
        <v>16</v>
      </c>
    </row>
    <row r="38">
      <c r="A38" s="110" t="str">
        <f t="array" ref="A38">IFERROR(
  INDEX(Refined_Data!O:O, MATCH(B38, Refined_Data!A:A, FALSE)),
"")</f>
        <v>Mazari, Hichem</v>
      </c>
      <c r="B38" s="124" t="str">
        <f>Refined_Data!A62</f>
        <v>Mazari, Hichem</v>
      </c>
      <c r="C38" s="112" t="str">
        <f>IFERROR(VLOOKUP(B38, Refined_Data!A:Z, 4, FALSE), "")</f>
        <v>Bilingual-French</v>
      </c>
      <c r="D38" s="113" t="str">
        <f>IF(B38="","", IFERROR(VLOOKUP(B38, Refined_Data!A:Z, 5, FALSE), ""))</f>
        <v>Night</v>
      </c>
      <c r="E38" s="114">
        <f>IFERROR(VLOOKUP(B38, Refined_Data!A:Z, 3, FALSE),"")</f>
        <v>2</v>
      </c>
      <c r="F38" s="125" t="str">
        <f t="array" ref="F38">IF(B38="","",
  IFERROR(
    TEXTJOIN(", ", TRUE,
      IF(INDEX(Refined_Data!K:K, MATCH(B38, Refined_Data!A:A, 0))="Yes","SAFE",""),
      IF(INDEX(Refined_Data!L:L, MATCH(B38, Refined_Data!A:A, 0))="Yes","TRBLSHOOT",""),
      IF(INDEX(Refined_Data!M:M, MATCH(B38, Refined_Data!A:A, 0))="Yes","BMRC","")
    ),
  "")
)</f>
        <v/>
      </c>
      <c r="G38" s="126" t="str">
        <f>IFERROR(VLOOKUP(B38, Refined_Data!A:Z, 8, FALSE), "")</f>
        <v>M0512</v>
      </c>
      <c r="H38" s="126">
        <f>IFERROR(VLOOKUP(B38, Refined_Data!A:Z, 9, FALSE), "")</f>
        <v>100773651</v>
      </c>
      <c r="I38" s="126">
        <f>IFERROR(VLOOKUP(B38, Refined_Data!A:Z, 10, FALSE), "")</f>
        <v>1060062</v>
      </c>
      <c r="J38" s="127" t="str">
        <f>IFERROR(VLOOKUP(B38, Refined_Data!A:Z, 14, FALSE), "")</f>
        <v>Coghiel, Caren</v>
      </c>
      <c r="K38" s="118" t="str">
        <f t="shared" si="1"/>
        <v>↓</v>
      </c>
      <c r="L38" s="119">
        <f>IFERROR(VLOOKUP(A38, Current_Stats!A:Z, 7, FALSE), "")</f>
        <v>0.523</v>
      </c>
      <c r="M38" s="119">
        <f>IFERROR(VLOOKUP(A38, Previous_Stats!A:Z, 7, FALSE), "")</f>
        <v>0.609</v>
      </c>
      <c r="N38" s="120" t="str">
        <f t="shared" si="2"/>
        <v>↑</v>
      </c>
      <c r="O38" s="119">
        <f>IFERROR(VLOOKUP(A38, Current_Stats!A:Z, 8, FALSE), "")</f>
        <v>0.477</v>
      </c>
      <c r="P38" s="119">
        <f>IFERROR(VLOOKUP(A38, Previous_Stats!A:Z, 8, FALSE), "")</f>
        <v>0.391</v>
      </c>
      <c r="Q38" s="112" t="str">
        <f>IFERROR(VLOOKUP(B38, Shift_Analysis!A:Z, 6, FALSE), "")</f>
        <v>1</v>
      </c>
      <c r="R38" s="114" t="str">
        <f>IFERROR(VLOOKUP(B38, Shift_Analysis!A:Z, 7, FALSE), "")</f>
        <v>2</v>
      </c>
      <c r="S38" s="123">
        <f>IFERROR(VLOOKUP(A38, Current_Stats!A:Z, 3, FALSE),"")</f>
        <v>16</v>
      </c>
    </row>
    <row r="39" hidden="1">
      <c r="A39" s="110" t="str">
        <f t="array" ref="A39">IFERROR(
  INDEX(Refined_Data!O:O, MATCH(B39, Refined_Data!A:A, FALSE)),
"")</f>
        <v>McCrory, Michael</v>
      </c>
      <c r="B39" s="124" t="str">
        <f>Refined_Data!A63</f>
        <v>McCrory, Michael</v>
      </c>
      <c r="C39" s="112" t="str">
        <f>IFERROR(VLOOKUP(B39, Refined_Data!A:Z, 4, FALSE), "")</f>
        <v>English</v>
      </c>
      <c r="D39" s="113" t="str">
        <f>IF(B39="","", IFERROR(VLOOKUP(B39, Refined_Data!A:Z, 5, FALSE), ""))</f>
        <v/>
      </c>
      <c r="E39" s="114">
        <f>IFERROR(VLOOKUP(B39, Refined_Data!A:Z, 3, FALSE),"")</f>
        <v>1</v>
      </c>
      <c r="F39" s="125" t="str">
        <f t="array" ref="F39">IF(B39="","",
  IFERROR(
    TEXTJOIN(", ", TRUE,
      IF(INDEX(Refined_Data!K:K, MATCH(B39, Refined_Data!A:A, 0))="Yes","SAFE",""),
      IF(INDEX(Refined_Data!L:L, MATCH(B39, Refined_Data!A:A, 0))="Yes","TRBLSHOOT",""),
      IF(INDEX(Refined_Data!M:M, MATCH(B39, Refined_Data!A:A, 0))="Yes","BMRC","")
    ),
  "")
)</f>
        <v/>
      </c>
      <c r="G39" s="126" t="str">
        <f>IFERROR(VLOOKUP(B39, Refined_Data!A:Z, 8, FALSE), "")</f>
        <v>M0536</v>
      </c>
      <c r="H39" s="126">
        <f>IFERROR(VLOOKUP(B39, Refined_Data!A:Z, 9, FALSE), "")</f>
        <v>106001434</v>
      </c>
      <c r="I39" s="126">
        <f>IFERROR(VLOOKUP(B39, Refined_Data!A:Z, 10, FALSE), "")</f>
        <v>1060042</v>
      </c>
      <c r="J39" s="127" t="str">
        <f>IFERROR(VLOOKUP(B39, Refined_Data!A:Z, 14, FALSE), "")</f>
        <v>Gillingham, Shelley</v>
      </c>
      <c r="K39" s="118" t="str">
        <f t="shared" si="1"/>
        <v>↓</v>
      </c>
      <c r="L39" s="119">
        <f>IFERROR(VLOOKUP(A39, Current_Stats!A:Z, 7, FALSE), "")</f>
        <v>0.002</v>
      </c>
      <c r="M39" s="119">
        <f>IFERROR(VLOOKUP(A39, Previous_Stats!A:Z, 7, FALSE), "")</f>
        <v>0.042</v>
      </c>
      <c r="N39" s="120" t="str">
        <f t="shared" si="2"/>
        <v>↑</v>
      </c>
      <c r="O39" s="119">
        <f>IFERROR(VLOOKUP(A39, Current_Stats!A:Z, 8, FALSE), "")</f>
        <v>0.998</v>
      </c>
      <c r="P39" s="119">
        <f>IFERROR(VLOOKUP(A39, Previous_Stats!A:Z, 8, FALSE), "")</f>
        <v>0.958</v>
      </c>
      <c r="Q39" s="112" t="str">
        <f>IFERROR(VLOOKUP(B39, Shift_Analysis!A:Z, 6, FALSE), "")</f>
        <v/>
      </c>
      <c r="R39" s="114" t="str">
        <f>IFERROR(VLOOKUP(B39, Shift_Analysis!A:Z, 7, FALSE), "")</f>
        <v/>
      </c>
      <c r="S39" s="123">
        <f>IFERROR(VLOOKUP(A39, Current_Stats!A:Z, 3, FALSE),"")</f>
        <v>5</v>
      </c>
    </row>
    <row r="40">
      <c r="A40" s="110" t="str">
        <f t="array" ref="A40">IFERROR(
  INDEX(Refined_Data!O:O, MATCH(B40, Refined_Data!A:A, FALSE)),
"")</f>
        <v>Narayanaparambath, Ekta</v>
      </c>
      <c r="B40" s="124" t="str">
        <f>Refined_Data!A69</f>
        <v>Narayanaparambath, Ekta</v>
      </c>
      <c r="C40" s="112" t="str">
        <f>IFERROR(VLOOKUP(B40, Refined_Data!A:Z, 4, FALSE), "")</f>
        <v>English</v>
      </c>
      <c r="D40" s="113" t="str">
        <f>IF(B40="","", IFERROR(VLOOKUP(B40, Refined_Data!A:Z, 5, FALSE), ""))</f>
        <v>Day</v>
      </c>
      <c r="E40" s="114">
        <f>IFERROR(VLOOKUP(B40, Refined_Data!A:Z, 3, FALSE),"")</f>
        <v>2</v>
      </c>
      <c r="F40" s="125" t="str">
        <f t="array" ref="F40">IF(B40="","",
  IFERROR(
    TEXTJOIN(", ", TRUE,
      IF(INDEX(Refined_Data!K:K, MATCH(B40, Refined_Data!A:A, 0))="Yes","SAFE",""),
      IF(INDEX(Refined_Data!L:L, MATCH(B40, Refined_Data!A:A, 0))="Yes","TRBLSHOOT",""),
      IF(INDEX(Refined_Data!M:M, MATCH(B40, Refined_Data!A:A, 0))="Yes","BMRC","")
    ),
  "")
)</f>
        <v/>
      </c>
      <c r="G40" s="126" t="str">
        <f>IFERROR(VLOOKUP(B40, Refined_Data!A:Z, 8, FALSE), "")</f>
        <v>M0185</v>
      </c>
      <c r="H40" s="126">
        <f>IFERROR(VLOOKUP(B40, Refined_Data!A:Z, 9, FALSE), "")</f>
        <v>100956363</v>
      </c>
      <c r="I40" s="126">
        <f>IFERROR(VLOOKUP(B40, Refined_Data!A:Z, 10, FALSE), "")</f>
        <v>1020242</v>
      </c>
      <c r="J40" s="127" t="str">
        <f>IFERROR(VLOOKUP(B40, Refined_Data!A:Z, 14, FALSE), "")</f>
        <v>Gillingham, Shelley</v>
      </c>
      <c r="K40" s="118" t="str">
        <f t="shared" si="1"/>
        <v>↑</v>
      </c>
      <c r="L40" s="119">
        <f>IFERROR(VLOOKUP(A40, Current_Stats!A:Z, 7, FALSE), "")</f>
        <v>0.426</v>
      </c>
      <c r="M40" s="119">
        <f>IFERROR(VLOOKUP(A40, Previous_Stats!A:Z, 7, FALSE), "")</f>
        <v>0.414</v>
      </c>
      <c r="N40" s="120" t="str">
        <f t="shared" si="2"/>
        <v>↓</v>
      </c>
      <c r="O40" s="119">
        <f>IFERROR(VLOOKUP(A40, Current_Stats!A:Z, 8, FALSE), "")</f>
        <v>0.574</v>
      </c>
      <c r="P40" s="119">
        <f>IFERROR(VLOOKUP(A40, Previous_Stats!A:Z, 8, FALSE), "")</f>
        <v>0.586</v>
      </c>
      <c r="Q40" s="112" t="str">
        <f>IFERROR(VLOOKUP(B40, Shift_Analysis!A:Z, 6, FALSE), "")</f>
        <v>1</v>
      </c>
      <c r="R40" s="114" t="str">
        <f>IFERROR(VLOOKUP(B40, Shift_Analysis!A:Z, 7, FALSE), "")</f>
        <v>1</v>
      </c>
      <c r="S40" s="123">
        <f>IFERROR(VLOOKUP(A40, Current_Stats!A:Z, 3, FALSE),"")</f>
        <v>16</v>
      </c>
    </row>
    <row r="41">
      <c r="A41" s="110" t="str">
        <f t="array" ref="A41">IFERROR(
  INDEX(Refined_Data!O:O, MATCH(B41, Refined_Data!A:A, FALSE)),
"")</f>
        <v>Ndjiapanda, Arlette</v>
      </c>
      <c r="B41" s="124" t="str">
        <f>Refined_Data!A71</f>
        <v>Ndjiapanda, Arlette</v>
      </c>
      <c r="C41" s="112" t="str">
        <f>IFERROR(VLOOKUP(B41, Refined_Data!A:Z, 4, FALSE), "")</f>
        <v>Bilingual-French</v>
      </c>
      <c r="D41" s="113" t="str">
        <f>IF(B41="","", IFERROR(VLOOKUP(B41, Refined_Data!A:Z, 5, FALSE), ""))</f>
        <v>Evening</v>
      </c>
      <c r="E41" s="114">
        <f>IFERROR(VLOOKUP(B41, Refined_Data!A:Z, 3, FALSE),"")</f>
        <v>3</v>
      </c>
      <c r="F41" s="125" t="str">
        <f t="array" ref="F41">IF(B41="","",
  IFERROR(
    TEXTJOIN(", ", TRUE,
      IF(INDEX(Refined_Data!K:K, MATCH(B41, Refined_Data!A:A, 0))="Yes","SAFE",""),
      IF(INDEX(Refined_Data!L:L, MATCH(B41, Refined_Data!A:A, 0))="Yes","TRBLSHOOT",""),
      IF(INDEX(Refined_Data!M:M, MATCH(B41, Refined_Data!A:A, 0))="Yes","BMRC","")
    ),
  "")
)</f>
        <v/>
      </c>
      <c r="G41" s="126" t="str">
        <f>IFERROR(VLOOKUP(B41, Refined_Data!A:Z, 8, FALSE), "")</f>
        <v>M0187</v>
      </c>
      <c r="H41" s="126">
        <f>IFERROR(VLOOKUP(B41, Refined_Data!A:Z, 9, FALSE), "")</f>
        <v>100956520</v>
      </c>
      <c r="I41" s="126">
        <f>IFERROR(VLOOKUP(B41, Refined_Data!A:Z, 10, FALSE), "")</f>
        <v>1062202</v>
      </c>
      <c r="J41" s="127" t="str">
        <f>IFERROR(VLOOKUP(B41, Refined_Data!A:Z, 14, FALSE), "")</f>
        <v>Lo, Mamadou</v>
      </c>
      <c r="K41" s="118" t="str">
        <f t="shared" si="1"/>
        <v>↑</v>
      </c>
      <c r="L41" s="119">
        <f>IFERROR(VLOOKUP(A41, Current_Stats!A:Z, 7, FALSE), "")</f>
        <v>0.835</v>
      </c>
      <c r="M41" s="119">
        <f>IFERROR(VLOOKUP(A41, Previous_Stats!A:Z, 7, FALSE), "")</f>
        <v>0.773</v>
      </c>
      <c r="N41" s="120" t="str">
        <f t="shared" si="2"/>
        <v>↓</v>
      </c>
      <c r="O41" s="119">
        <f>IFERROR(VLOOKUP(A41, Current_Stats!A:Z, 8, FALSE), "")</f>
        <v>0.165</v>
      </c>
      <c r="P41" s="119">
        <f>IFERROR(VLOOKUP(A41, Previous_Stats!A:Z, 8, FALSE), "")</f>
        <v>0.227</v>
      </c>
      <c r="Q41" s="112" t="str">
        <f>IFERROR(VLOOKUP(B41, Shift_Analysis!A:Z, 6, FALSE), "")</f>
        <v>2</v>
      </c>
      <c r="R41" s="114" t="str">
        <f>IFERROR(VLOOKUP(B41, Shift_Analysis!A:Z, 7, FALSE), "")</f>
        <v>2</v>
      </c>
      <c r="S41" s="123">
        <f>IFERROR(VLOOKUP(A41, Current_Stats!A:Z, 3, FALSE),"")</f>
        <v>14</v>
      </c>
    </row>
    <row r="42">
      <c r="A42" s="110" t="str">
        <f t="array" ref="A42">IFERROR(
  INDEX(Refined_Data!O:O, MATCH(B42, Refined_Data!A:A, FALSE)),
"")</f>
        <v>Petruska, Jennifer</v>
      </c>
      <c r="B42" s="124" t="str">
        <f>Refined_Data!A80</f>
        <v>Petruska, Jennifer</v>
      </c>
      <c r="C42" s="112" t="str">
        <f>IFERROR(VLOOKUP(B42, Refined_Data!A:Z, 4, FALSE), "")</f>
        <v>English</v>
      </c>
      <c r="D42" s="113" t="str">
        <f>IF(B42="","", IFERROR(VLOOKUP(B42, Refined_Data!A:Z, 5, FALSE), ""))</f>
        <v>Day</v>
      </c>
      <c r="E42" s="114">
        <f>IFERROR(VLOOKUP(B42, Refined_Data!A:Z, 3, FALSE),"")</f>
        <v>2</v>
      </c>
      <c r="F42" s="125" t="str">
        <f t="array" ref="F42">IF(B42="","",
  IFERROR(
    TEXTJOIN(", ", TRUE,
      IF(INDEX(Refined_Data!K:K, MATCH(B42, Refined_Data!A:A, 0))="Yes","SAFE",""),
      IF(INDEX(Refined_Data!L:L, MATCH(B42, Refined_Data!A:A, 0))="Yes","TRBLSHOOT",""),
      IF(INDEX(Refined_Data!M:M, MATCH(B42, Refined_Data!A:A, 0))="Yes","BMRC","")
    ),
  "")
)</f>
        <v/>
      </c>
      <c r="G42" s="126" t="str">
        <f>IFERROR(VLOOKUP(B42, Refined_Data!A:Z, 8, FALSE), "")</f>
        <v>M0195</v>
      </c>
      <c r="H42" s="126">
        <f>IFERROR(VLOOKUP(B42, Refined_Data!A:Z, 9, FALSE), "")</f>
        <v>100956351</v>
      </c>
      <c r="I42" s="126">
        <f>IFERROR(VLOOKUP(B42, Refined_Data!A:Z, 10, FALSE), "")</f>
        <v>1210806</v>
      </c>
      <c r="J42" s="127" t="str">
        <f>IFERROR(VLOOKUP(B42, Refined_Data!A:Z, 14, FALSE), "")</f>
        <v>Gillingham, Shelley</v>
      </c>
      <c r="K42" s="118" t="str">
        <f t="shared" si="1"/>
        <v>↓</v>
      </c>
      <c r="L42" s="119">
        <f>IFERROR(VLOOKUP(A42, Current_Stats!A:Z, 7, FALSE), "")</f>
        <v>0.369</v>
      </c>
      <c r="M42" s="119">
        <f>IFERROR(VLOOKUP(A42, Previous_Stats!A:Z, 7, FALSE), "")</f>
        <v>0.549</v>
      </c>
      <c r="N42" s="120" t="str">
        <f t="shared" si="2"/>
        <v>↑</v>
      </c>
      <c r="O42" s="119">
        <f>IFERROR(VLOOKUP(A42, Current_Stats!A:Z, 8, FALSE), "")</f>
        <v>0.631</v>
      </c>
      <c r="P42" s="119">
        <f>IFERROR(VLOOKUP(A42, Previous_Stats!A:Z, 8, FALSE), "")</f>
        <v>0.451</v>
      </c>
      <c r="Q42" s="112" t="str">
        <f>IFERROR(VLOOKUP(B42, Shift_Analysis!A:Z, 6, FALSE), "")</f>
        <v>1</v>
      </c>
      <c r="R42" s="114" t="str">
        <f>IFERROR(VLOOKUP(B42, Shift_Analysis!A:Z, 7, FALSE), "")</f>
        <v>1</v>
      </c>
      <c r="S42" s="123">
        <f>IFERROR(VLOOKUP(A42, Current_Stats!A:Z, 3, FALSE),"")</f>
        <v>12</v>
      </c>
    </row>
    <row r="43">
      <c r="A43" s="110" t="str">
        <f t="array" ref="A43">IFERROR(
  INDEX(Refined_Data!O:O, MATCH(B43, Refined_Data!A:A, FALSE)),
"")</f>
        <v>Pierre, Christopher</v>
      </c>
      <c r="B43" s="124" t="str">
        <f>Refined_Data!A82</f>
        <v>Pierre, Christopher</v>
      </c>
      <c r="C43" s="112" t="str">
        <f>IFERROR(VLOOKUP(B43, Refined_Data!A:Z, 4, FALSE), "")</f>
        <v>Bilingual-English</v>
      </c>
      <c r="D43" s="113" t="str">
        <f>IF(B43="","", IFERROR(VLOOKUP(B43, Refined_Data!A:Z, 5, FALSE), ""))</f>
        <v>Evening</v>
      </c>
      <c r="E43" s="114">
        <f>IFERROR(VLOOKUP(B43, Refined_Data!A:Z, 3, FALSE),"")</f>
        <v>4</v>
      </c>
      <c r="F43" s="125" t="str">
        <f t="array" ref="F43">IF(B43="","",
  IFERROR(
    TEXTJOIN(", ", TRUE,
      IF(INDEX(Refined_Data!K:K, MATCH(B43, Refined_Data!A:A, 0))="Yes","SAFE",""),
      IF(INDEX(Refined_Data!L:L, MATCH(B43, Refined_Data!A:A, 0))="Yes","TRBLSHOOT",""),
      IF(INDEX(Refined_Data!M:M, MATCH(B43, Refined_Data!A:A, 0))="Yes","BMRC","")
    ),
  "")
)</f>
        <v/>
      </c>
      <c r="G43" s="126" t="str">
        <f>IFERROR(VLOOKUP(B43, Refined_Data!A:Z, 8, FALSE), "")</f>
        <v>M0197</v>
      </c>
      <c r="H43" s="126">
        <f>IFERROR(VLOOKUP(B43, Refined_Data!A:Z, 9, FALSE), "")</f>
        <v>100955923</v>
      </c>
      <c r="I43" s="126">
        <f>IFERROR(VLOOKUP(B43, Refined_Data!A:Z, 10, FALSE), "")</f>
        <v>1067168</v>
      </c>
      <c r="J43" s="127" t="str">
        <f>IFERROR(VLOOKUP(B43, Refined_Data!A:Z, 14, FALSE), "")</f>
        <v>Kollias, Peter</v>
      </c>
      <c r="K43" s="118" t="str">
        <f t="shared" si="1"/>
        <v>↓</v>
      </c>
      <c r="L43" s="119">
        <f>IFERROR(VLOOKUP(A43, Current_Stats!A:Z, 7, FALSE), "")</f>
        <v>0.756</v>
      </c>
      <c r="M43" s="119">
        <f>IFERROR(VLOOKUP(A43, Previous_Stats!A:Z, 7, FALSE), "")</f>
        <v>0.813</v>
      </c>
      <c r="N43" s="120" t="str">
        <f t="shared" si="2"/>
        <v>↑</v>
      </c>
      <c r="O43" s="119">
        <f>IFERROR(VLOOKUP(A43, Current_Stats!A:Z, 8, FALSE), "")</f>
        <v>0.244</v>
      </c>
      <c r="P43" s="119">
        <f>IFERROR(VLOOKUP(A43, Previous_Stats!A:Z, 8, FALSE), "")</f>
        <v>0.187</v>
      </c>
      <c r="Q43" s="112" t="str">
        <f>IFERROR(VLOOKUP(B43, Shift_Analysis!A:Z, 6, FALSE), "")</f>
        <v>1</v>
      </c>
      <c r="R43" s="114" t="str">
        <f>IFERROR(VLOOKUP(B43, Shift_Analysis!A:Z, 7, FALSE), "")</f>
        <v>1</v>
      </c>
      <c r="S43" s="123">
        <f>IFERROR(VLOOKUP(A43, Current_Stats!A:Z, 3, FALSE),"")</f>
        <v>16</v>
      </c>
    </row>
    <row r="44">
      <c r="A44" s="110" t="str">
        <f t="array" ref="A44">IFERROR(
  INDEX(Refined_Data!O:O, MATCH(B44, Refined_Data!A:A, FALSE)),
"")</f>
        <v>Quero, Michael</v>
      </c>
      <c r="B44" s="124" t="str">
        <f>Refined_Data!A84</f>
        <v>Quero, Michael</v>
      </c>
      <c r="C44" s="112" t="str">
        <f>IFERROR(VLOOKUP(B44, Refined_Data!A:Z, 4, FALSE), "")</f>
        <v>English</v>
      </c>
      <c r="D44" s="113" t="str">
        <f>IF(B44="","", IFERROR(VLOOKUP(B44, Refined_Data!A:Z, 5, FALSE), ""))</f>
        <v>Evening</v>
      </c>
      <c r="E44" s="114">
        <f>IFERROR(VLOOKUP(B44, Refined_Data!A:Z, 3, FALSE),"")</f>
        <v>3</v>
      </c>
      <c r="F44" s="125" t="str">
        <f t="array" ref="F44">IF(B44="","",
  IFERROR(
    TEXTJOIN(", ", TRUE,
      IF(INDEX(Refined_Data!K:K, MATCH(B44, Refined_Data!A:A, 0))="Yes","SAFE",""),
      IF(INDEX(Refined_Data!L:L, MATCH(B44, Refined_Data!A:A, 0))="Yes","TRBLSHOOT",""),
      IF(INDEX(Refined_Data!M:M, MATCH(B44, Refined_Data!A:A, 0))="Yes","BMRC","")
    ),
  "")
)</f>
        <v>SAFE</v>
      </c>
      <c r="G44" s="126" t="str">
        <f>IFERROR(VLOOKUP(B44, Refined_Data!A:Z, 8, FALSE), "")</f>
        <v>M0203</v>
      </c>
      <c r="H44" s="126">
        <f>IFERROR(VLOOKUP(B44, Refined_Data!A:Z, 9, FALSE), "")</f>
        <v>100955717</v>
      </c>
      <c r="I44" s="126">
        <f>IFERROR(VLOOKUP(B44, Refined_Data!A:Z, 10, FALSE), "")</f>
        <v>1210391</v>
      </c>
      <c r="J44" s="127" t="str">
        <f>IFERROR(VLOOKUP(B44, Refined_Data!A:Z, 14, FALSE), "")</f>
        <v>Gillingham, Shelley</v>
      </c>
      <c r="K44" s="118" t="str">
        <f t="shared" si="1"/>
        <v>↑</v>
      </c>
      <c r="L44" s="119">
        <f>IFERROR(VLOOKUP(A44, Current_Stats!A:Z, 7, FALSE), "")</f>
        <v>0.63</v>
      </c>
      <c r="M44" s="119">
        <f>IFERROR(VLOOKUP(A44, Previous_Stats!A:Z, 7, FALSE), "")</f>
        <v>0.565</v>
      </c>
      <c r="N44" s="120" t="str">
        <f t="shared" si="2"/>
        <v>↓</v>
      </c>
      <c r="O44" s="119">
        <f>IFERROR(VLOOKUP(A44, Current_Stats!A:Z, 8, FALSE), "")</f>
        <v>0.37</v>
      </c>
      <c r="P44" s="119">
        <f>IFERROR(VLOOKUP(A44, Previous_Stats!A:Z, 8, FALSE), "")</f>
        <v>0.435</v>
      </c>
      <c r="Q44" s="112" t="str">
        <f>IFERROR(VLOOKUP(B44, Shift_Analysis!A:Z, 6, FALSE), "")</f>
        <v>1</v>
      </c>
      <c r="R44" s="114" t="str">
        <f>IFERROR(VLOOKUP(B44, Shift_Analysis!A:Z, 7, FALSE), "")</f>
        <v>1</v>
      </c>
      <c r="S44" s="123">
        <f>IFERROR(VLOOKUP(A44, Current_Stats!A:Z, 3, FALSE),"")</f>
        <v>18</v>
      </c>
    </row>
    <row r="45">
      <c r="A45" s="110" t="str">
        <f t="array" ref="A45">IFERROR(
  INDEX(Refined_Data!O:O, MATCH(B45, Refined_Data!A:A, FALSE)),
"")</f>
        <v>Ratz, Emily</v>
      </c>
      <c r="B45" s="124" t="str">
        <f>Refined_Data!A85</f>
        <v>Ratz, Emily</v>
      </c>
      <c r="C45" s="112" t="str">
        <f>IFERROR(VLOOKUP(B45, Refined_Data!A:Z, 4, FALSE), "")</f>
        <v>English</v>
      </c>
      <c r="D45" s="113" t="str">
        <f>IF(B45="","", IFERROR(VLOOKUP(B45, Refined_Data!A:Z, 5, FALSE), ""))</f>
        <v>Night</v>
      </c>
      <c r="E45" s="114">
        <f>IFERROR(VLOOKUP(B45, Refined_Data!A:Z, 3, FALSE),"")</f>
        <v>4</v>
      </c>
      <c r="F45" s="125" t="str">
        <f t="array" ref="F45">IF(B45="","",
  IFERROR(
    TEXTJOIN(", ", TRUE,
      IF(INDEX(Refined_Data!K:K, MATCH(B45, Refined_Data!A:A, 0))="Yes","SAFE",""),
      IF(INDEX(Refined_Data!L:L, MATCH(B45, Refined_Data!A:A, 0))="Yes","TRBLSHOOT",""),
      IF(INDEX(Refined_Data!M:M, MATCH(B45, Refined_Data!A:A, 0))="Yes","BMRC","")
    ),
  "")
)</f>
        <v>SAFE, TRBLSHOOT</v>
      </c>
      <c r="G45" s="126" t="str">
        <f>IFERROR(VLOOKUP(B45, Refined_Data!A:Z, 8, FALSE), "")</f>
        <v>M0204</v>
      </c>
      <c r="H45" s="126">
        <f>IFERROR(VLOOKUP(B45, Refined_Data!A:Z, 9, FALSE), "")</f>
        <v>100952567</v>
      </c>
      <c r="I45" s="126">
        <f>IFERROR(VLOOKUP(B45, Refined_Data!A:Z, 10, FALSE), "")</f>
        <v>1067367</v>
      </c>
      <c r="J45" s="127" t="str">
        <f>IFERROR(VLOOKUP(B45, Refined_Data!A:Z, 14, FALSE), "")</f>
        <v>Diegue, Kerry</v>
      </c>
      <c r="K45" s="118" t="str">
        <f t="shared" si="1"/>
        <v>↑</v>
      </c>
      <c r="L45" s="119">
        <f>IFERROR(VLOOKUP(A45, Current_Stats!A:Z, 7, FALSE), "")</f>
        <v>0.624</v>
      </c>
      <c r="M45" s="119">
        <f>IFERROR(VLOOKUP(A45, Previous_Stats!A:Z, 7, FALSE), "")</f>
        <v>0.571</v>
      </c>
      <c r="N45" s="120" t="str">
        <f t="shared" si="2"/>
        <v>↓</v>
      </c>
      <c r="O45" s="119">
        <f>IFERROR(VLOOKUP(A45, Current_Stats!A:Z, 8, FALSE), "")</f>
        <v>0.376</v>
      </c>
      <c r="P45" s="119">
        <f>IFERROR(VLOOKUP(A45, Previous_Stats!A:Z, 8, FALSE), "")</f>
        <v>0.429</v>
      </c>
      <c r="Q45" s="112" t="str">
        <f>IFERROR(VLOOKUP(B45, Shift_Analysis!A:Z, 6, FALSE), "")</f>
        <v>2</v>
      </c>
      <c r="R45" s="114" t="str">
        <f>IFERROR(VLOOKUP(B45, Shift_Analysis!A:Z, 7, FALSE), "")</f>
        <v>2</v>
      </c>
      <c r="S45" s="123">
        <f>IFERROR(VLOOKUP(A45, Current_Stats!A:Z, 3, FALSE),"")</f>
        <v>13</v>
      </c>
    </row>
    <row r="46" hidden="1">
      <c r="A46" s="110" t="str">
        <f t="array" ref="A46">IFERROR(
  INDEX(Refined_Data!O:O, MATCH(B46, Refined_Data!A:A, FALSE)),
"")</f>
        <v>Saint-Firmin, Alexandra</v>
      </c>
      <c r="B46" s="124" t="str">
        <f>Refined_Data!A89</f>
        <v>Saint-Firmin, Alexandra</v>
      </c>
      <c r="C46" s="112" t="str">
        <f>IFERROR(VLOOKUP(B46, Refined_Data!A:Z, 4, FALSE), "")</f>
        <v>Bilingual-French</v>
      </c>
      <c r="D46" s="113" t="str">
        <f>IF(B46="","", IFERROR(VLOOKUP(B46, Refined_Data!A:Z, 5, FALSE), ""))</f>
        <v/>
      </c>
      <c r="E46" s="114">
        <f>IFERROR(VLOOKUP(B46, Refined_Data!A:Z, 3, FALSE),"")</f>
        <v>1</v>
      </c>
      <c r="F46" s="125" t="str">
        <f t="array" ref="F46">IF(B46="","",
  IFERROR(
    TEXTJOIN(", ", TRUE,
      IF(INDEX(Refined_Data!K:K, MATCH(B46, Refined_Data!A:A, 0))="Yes","SAFE",""),
      IF(INDEX(Refined_Data!L:L, MATCH(B46, Refined_Data!A:A, 0))="Yes","TRBLSHOOT",""),
      IF(INDEX(Refined_Data!M:M, MATCH(B46, Refined_Data!A:A, 0))="Yes","BMRC","")
    ),
  "")
)</f>
        <v/>
      </c>
      <c r="G46" s="126" t="str">
        <f>IFERROR(VLOOKUP(B46, Refined_Data!A:Z, 8, FALSE), "")</f>
        <v>M0528</v>
      </c>
      <c r="H46" s="126">
        <f>IFERROR(VLOOKUP(B46, Refined_Data!A:Z, 9, FALSE), "")</f>
        <v>106001490</v>
      </c>
      <c r="I46" s="126">
        <f>IFERROR(VLOOKUP(B46, Refined_Data!A:Z, 10, FALSE), "")</f>
        <v>1060014</v>
      </c>
      <c r="J46" s="127" t="str">
        <f>IFERROR(VLOOKUP(B46, Refined_Data!A:Z, 14, FALSE), "")</f>
        <v>Dhindsa, Sukhjinder</v>
      </c>
      <c r="K46" s="118" t="str">
        <f t="shared" si="1"/>
        <v>↑</v>
      </c>
      <c r="L46" s="119">
        <f>IFERROR(VLOOKUP(A46, Current_Stats!A:Z, 7, FALSE), "")</f>
        <v>0.131</v>
      </c>
      <c r="M46" s="119">
        <f>IFERROR(VLOOKUP(A46, Previous_Stats!A:Z, 7, FALSE), "")</f>
        <v>0</v>
      </c>
      <c r="N46" s="120" t="str">
        <f t="shared" si="2"/>
        <v>↓</v>
      </c>
      <c r="O46" s="119">
        <f>IFERROR(VLOOKUP(A46, Current_Stats!A:Z, 8, FALSE), "")</f>
        <v>0.869</v>
      </c>
      <c r="P46" s="119">
        <f>IFERROR(VLOOKUP(A46, Previous_Stats!A:Z, 8, FALSE), "")</f>
        <v>1</v>
      </c>
      <c r="Q46" s="112" t="str">
        <f>IFERROR(VLOOKUP(B46, Shift_Analysis!A:Z, 6, FALSE), "")</f>
        <v/>
      </c>
      <c r="R46" s="114" t="str">
        <f>IFERROR(VLOOKUP(B46, Shift_Analysis!A:Z, 7, FALSE), "")</f>
        <v/>
      </c>
      <c r="S46" s="123">
        <f>IFERROR(VLOOKUP(A46, Current_Stats!A:Z, 3, FALSE),"")</f>
        <v>5</v>
      </c>
    </row>
    <row r="47">
      <c r="A47" s="110" t="str">
        <f t="array" ref="A47">IFERROR(
  INDEX(Refined_Data!O:O, MATCH(B47, Refined_Data!A:A, FALSE)),
"")</f>
        <v>Sekhon, Gurmanjit</v>
      </c>
      <c r="B47" s="124" t="str">
        <f>Refined_Data!A91</f>
        <v>Sekhon, Gurman</v>
      </c>
      <c r="C47" s="112" t="str">
        <f>IFERROR(VLOOKUP(B47, Refined_Data!A:Z, 4, FALSE), "")</f>
        <v>English</v>
      </c>
      <c r="D47" s="113" t="str">
        <f>IF(B47="","", IFERROR(VLOOKUP(B47, Refined_Data!A:Z, 5, FALSE), ""))</f>
        <v>Night</v>
      </c>
      <c r="E47" s="114">
        <f>IFERROR(VLOOKUP(B47, Refined_Data!A:Z, 3, FALSE),"")</f>
        <v>4</v>
      </c>
      <c r="F47" s="125" t="str">
        <f t="array" ref="F47">IF(B47="","",
  IFERROR(
    TEXTJOIN(", ", TRUE,
      IF(INDEX(Refined_Data!K:K, MATCH(B47, Refined_Data!A:A, 0))="Yes","SAFE",""),
      IF(INDEX(Refined_Data!L:L, MATCH(B47, Refined_Data!A:A, 0))="Yes","TRBLSHOOT",""),
      IF(INDEX(Refined_Data!M:M, MATCH(B47, Refined_Data!A:A, 0))="Yes","BMRC","")
    ),
  "")
)</f>
        <v>TRBLSHOOT</v>
      </c>
      <c r="G47" s="126" t="str">
        <f>IFERROR(VLOOKUP(B47, Refined_Data!A:Z, 8, FALSE), "")</f>
        <v>M0217</v>
      </c>
      <c r="H47" s="126">
        <f>IFERROR(VLOOKUP(B47, Refined_Data!A:Z, 9, FALSE), "")</f>
        <v>100980929</v>
      </c>
      <c r="I47" s="126">
        <f>IFERROR(VLOOKUP(B47, Refined_Data!A:Z, 10, FALSE), "")</f>
        <v>1067382</v>
      </c>
      <c r="J47" s="127" t="str">
        <f>IFERROR(VLOOKUP(B47, Refined_Data!A:Z, 14, FALSE), "")</f>
        <v>Dhindsa, Sukhjinder</v>
      </c>
      <c r="K47" s="118" t="str">
        <f t="shared" si="1"/>
        <v>↑</v>
      </c>
      <c r="L47" s="119">
        <f>IFERROR(VLOOKUP(A47, Current_Stats!A:Z, 7, FALSE), "")</f>
        <v>0.667</v>
      </c>
      <c r="M47" s="119">
        <f>IFERROR(VLOOKUP(A47, Previous_Stats!A:Z, 7, FALSE), "")</f>
        <v>0.557</v>
      </c>
      <c r="N47" s="120" t="str">
        <f t="shared" si="2"/>
        <v>↓</v>
      </c>
      <c r="O47" s="119">
        <f>IFERROR(VLOOKUP(A47, Current_Stats!A:Z, 8, FALSE), "")</f>
        <v>0.333</v>
      </c>
      <c r="P47" s="119">
        <f>IFERROR(VLOOKUP(A47, Previous_Stats!A:Z, 8, FALSE), "")</f>
        <v>0.443</v>
      </c>
      <c r="Q47" s="112" t="str">
        <f>IFERROR(VLOOKUP(B47, Shift_Analysis!A:Z, 6, FALSE), "")</f>
        <v>1</v>
      </c>
      <c r="R47" s="114" t="str">
        <f>IFERROR(VLOOKUP(B47, Shift_Analysis!A:Z, 7, FALSE), "")</f>
        <v>2</v>
      </c>
      <c r="S47" s="123">
        <f>IFERROR(VLOOKUP(A47, Current_Stats!A:Z, 3, FALSE),"")</f>
        <v>21</v>
      </c>
    </row>
    <row r="48" hidden="1">
      <c r="A48" s="110" t="str">
        <f t="array" ref="A48">IFERROR(
  INDEX(Refined_Data!O:O, MATCH(B48, Refined_Data!A:A, FALSE)),
"")</f>
        <v/>
      </c>
      <c r="B48" s="124" t="str">
        <f>Refined_Data!A93</f>
        <v>Shantilal Mehboob</v>
      </c>
      <c r="C48" s="112" t="str">
        <f>IFERROR(VLOOKUP(B48, Refined_Data!A:Z, 4, FALSE), "")</f>
        <v>Bilingual-French</v>
      </c>
      <c r="D48" s="113" t="str">
        <f>IF(B48="","", IFERROR(VLOOKUP(B48, Refined_Data!A:Z, 5, FALSE), ""))</f>
        <v/>
      </c>
      <c r="E48" s="114" t="str">
        <f>IFERROR(VLOOKUP(B48, Refined_Data!A:Z, 3, FALSE),"")</f>
        <v>Trainee</v>
      </c>
      <c r="F48" s="125" t="str">
        <f t="array" ref="F48">IF(B48="","",
  IFERROR(
    TEXTJOIN(", ", TRUE,
      IF(INDEX(Refined_Data!K:K, MATCH(B48, Refined_Data!A:A, 0))="Yes","SAFE",""),
      IF(INDEX(Refined_Data!L:L, MATCH(B48, Refined_Data!A:A, 0))="Yes","TRBLSHOOT",""),
      IF(INDEX(Refined_Data!M:M, MATCH(B48, Refined_Data!A:A, 0))="Yes","BMRC","")
    ),
  "")
)</f>
        <v/>
      </c>
      <c r="G48" s="126" t="str">
        <f>IFERROR(VLOOKUP(B48, Refined_Data!A:Z, 8, FALSE), "")</f>
        <v/>
      </c>
      <c r="H48" s="126" t="str">
        <f>IFERROR(VLOOKUP(B48, Refined_Data!A:Z, 9, FALSE), "")</f>
        <v/>
      </c>
      <c r="I48" s="126">
        <f>IFERROR(VLOOKUP(B48, Refined_Data!A:Z, 10, FALSE), "")</f>
        <v>1060076</v>
      </c>
      <c r="J48" s="127" t="str">
        <f>IFERROR(VLOOKUP(B48, Refined_Data!A:Z, 14, FALSE), "")</f>
        <v>Diegue, Kerry</v>
      </c>
      <c r="K48" s="118" t="str">
        <f t="shared" si="1"/>
        <v/>
      </c>
      <c r="L48" s="119" t="str">
        <f>IFERROR(VLOOKUP(A48, Current_Stats!A:Z, 7, FALSE), "")</f>
        <v/>
      </c>
      <c r="M48" s="119" t="str">
        <f>IFERROR(VLOOKUP(A48, Previous_Stats!A:Z, 7, FALSE), "")</f>
        <v/>
      </c>
      <c r="N48" s="120" t="str">
        <f t="shared" si="2"/>
        <v/>
      </c>
      <c r="O48" s="119" t="str">
        <f>IFERROR(VLOOKUP(A48, Current_Stats!A:Z, 8, FALSE), "")</f>
        <v/>
      </c>
      <c r="P48" s="119" t="str">
        <f>IFERROR(VLOOKUP(A48, Previous_Stats!A:Z, 8, FALSE), "")</f>
        <v/>
      </c>
      <c r="Q48" s="112" t="str">
        <f>IFERROR(VLOOKUP(B48, Shift_Analysis!A:Z, 6, FALSE), "")</f>
        <v/>
      </c>
      <c r="R48" s="114" t="str">
        <f>IFERROR(VLOOKUP(B48, Shift_Analysis!A:Z, 7, FALSE), "")</f>
        <v/>
      </c>
      <c r="S48" s="123" t="str">
        <f>IFERROR(VLOOKUP(A48, Current_Stats!A:Z, 3, FALSE),"")</f>
        <v/>
      </c>
    </row>
    <row r="49">
      <c r="A49" s="110" t="str">
        <f t="array" ref="A49">IFERROR(
  INDEX(Refined_Data!O:O, MATCH(B49, Refined_Data!A:A, FALSE)),
"")</f>
        <v>Sivoravong, Kanitha</v>
      </c>
      <c r="B49" s="124" t="str">
        <f>Refined_Data!A95</f>
        <v>Sivoravong, Kanitha</v>
      </c>
      <c r="C49" s="112" t="str">
        <f>IFERROR(VLOOKUP(B49, Refined_Data!A:Z, 4, FALSE), "")</f>
        <v>Bilingual-French</v>
      </c>
      <c r="D49" s="113" t="str">
        <f>IF(B49="","", IFERROR(VLOOKUP(B49, Refined_Data!A:Z, 5, FALSE), ""))</f>
        <v>Evening</v>
      </c>
      <c r="E49" s="114">
        <f>IFERROR(VLOOKUP(B49, Refined_Data!A:Z, 3, FALSE),"")</f>
        <v>4</v>
      </c>
      <c r="F49" s="125" t="str">
        <f t="array" ref="F49">IF(B49="","",
  IFERROR(
    TEXTJOIN(", ", TRUE,
      IF(INDEX(Refined_Data!K:K, MATCH(B49, Refined_Data!A:A, 0))="Yes","SAFE",""),
      IF(INDEX(Refined_Data!L:L, MATCH(B49, Refined_Data!A:A, 0))="Yes","TRBLSHOOT",""),
      IF(INDEX(Refined_Data!M:M, MATCH(B49, Refined_Data!A:A, 0))="Yes","BMRC","")
    ),
  "")
)</f>
        <v>SAFE, BMRC</v>
      </c>
      <c r="G49" s="126" t="str">
        <f>IFERROR(VLOOKUP(B49, Refined_Data!A:Z, 8, FALSE), "")</f>
        <v>M0222</v>
      </c>
      <c r="H49" s="126">
        <f>IFERROR(VLOOKUP(B49, Refined_Data!A:Z, 9, FALSE), "")</f>
        <v>100955826</v>
      </c>
      <c r="I49" s="126">
        <f>IFERROR(VLOOKUP(B49, Refined_Data!A:Z, 10, FALSE), "")</f>
        <v>1066111</v>
      </c>
      <c r="J49" s="127" t="str">
        <f>IFERROR(VLOOKUP(B49, Refined_Data!A:Z, 14, FALSE), "")</f>
        <v>Kollias, Peter</v>
      </c>
      <c r="K49" s="118" t="str">
        <f t="shared" si="1"/>
        <v>↑</v>
      </c>
      <c r="L49" s="119">
        <f>IFERROR(VLOOKUP(A49, Current_Stats!A:Z, 7, FALSE), "")</f>
        <v>0.456</v>
      </c>
      <c r="M49" s="119">
        <f>IFERROR(VLOOKUP(A49, Previous_Stats!A:Z, 7, FALSE), "")</f>
        <v>0.441</v>
      </c>
      <c r="N49" s="120" t="str">
        <f t="shared" si="2"/>
        <v>↓</v>
      </c>
      <c r="O49" s="119">
        <f>IFERROR(VLOOKUP(A49, Current_Stats!A:Z, 8, FALSE), "")</f>
        <v>0.544</v>
      </c>
      <c r="P49" s="119">
        <f>IFERROR(VLOOKUP(A49, Previous_Stats!A:Z, 8, FALSE), "")</f>
        <v>0.559</v>
      </c>
      <c r="Q49" s="112" t="str">
        <f>IFERROR(VLOOKUP(B49, Shift_Analysis!A:Z, 6, FALSE), "")</f>
        <v>3</v>
      </c>
      <c r="R49" s="114" t="str">
        <f>IFERROR(VLOOKUP(B49, Shift_Analysis!A:Z, 7, FALSE), "")</f>
        <v>3</v>
      </c>
      <c r="S49" s="123">
        <f>IFERROR(VLOOKUP(A49, Current_Stats!A:Z, 3, FALSE),"")</f>
        <v>16</v>
      </c>
    </row>
    <row r="50">
      <c r="A50" s="110" t="str">
        <f t="array" ref="A50">IFERROR(
  INDEX(Refined_Data!O:O, MATCH(B50, Refined_Data!A:A, FALSE)),
"")</f>
        <v>Aquilario, Lester</v>
      </c>
      <c r="B50" s="124" t="str">
        <f>Refined_Data!A6</f>
        <v>Aquilario, Lester</v>
      </c>
      <c r="C50" s="112" t="str">
        <f>IFERROR(VLOOKUP(B50, Refined_Data!A:Z, 4, FALSE), "")</f>
        <v>English</v>
      </c>
      <c r="D50" s="113" t="str">
        <f>IF(B50="","", IFERROR(VLOOKUP(B50, Refined_Data!A:Z, 5, FALSE), ""))</f>
        <v>Day</v>
      </c>
      <c r="E50" s="114">
        <f>IFERROR(VLOOKUP(B50, Refined_Data!A:Z, 3, FALSE),"")</f>
        <v>3</v>
      </c>
      <c r="F50" s="125" t="str">
        <f t="array" ref="F50">IF(B50="","",
  IFERROR(
    TEXTJOIN(", ", TRUE,
      IF(INDEX(Refined_Data!K:K, MATCH(B50, Refined_Data!A:A, 0))="Yes","SAFE",""),
      IF(INDEX(Refined_Data!L:L, MATCH(B50, Refined_Data!A:A, 0))="Yes","TRBLSHOOT",""),
      IF(INDEX(Refined_Data!M:M, MATCH(B50, Refined_Data!A:A, 0))="Yes","BMRC","")
    ),
  "")
)</f>
        <v>SAFE, TRBLSHOOT</v>
      </c>
      <c r="G50" s="126" t="str">
        <f>IFERROR(VLOOKUP(B50, Refined_Data!A:Z, 8, FALSE), "")</f>
        <v>M0024</v>
      </c>
      <c r="H50" s="126">
        <f>IFERROR(VLOOKUP(B50, Refined_Data!A:Z, 9, FALSE), "")</f>
        <v>100988376</v>
      </c>
      <c r="I50" s="126">
        <f>IFERROR(VLOOKUP(B50, Refined_Data!A:Z, 10, FALSE), "")</f>
        <v>1030029</v>
      </c>
      <c r="J50" s="127" t="str">
        <f>IFERROR(VLOOKUP(B50, Refined_Data!A:Z, 14, FALSE), "")</f>
        <v>Dhindsa, Sukhjinder</v>
      </c>
      <c r="K50" s="118" t="str">
        <f t="shared" si="1"/>
        <v>↓</v>
      </c>
      <c r="L50" s="119">
        <f>IFERROR(VLOOKUP(A50, Current_Stats!A:Z, 7, FALSE), "")</f>
        <v>0.31</v>
      </c>
      <c r="M50" s="119">
        <f>IFERROR(VLOOKUP(A50, Previous_Stats!A:Z, 7, FALSE), "")</f>
        <v>0.366</v>
      </c>
      <c r="N50" s="120" t="str">
        <f t="shared" si="2"/>
        <v>↑</v>
      </c>
      <c r="O50" s="119">
        <f>IFERROR(VLOOKUP(A50, Current_Stats!A:Z, 8, FALSE), "")</f>
        <v>0.69</v>
      </c>
      <c r="P50" s="119">
        <f>IFERROR(VLOOKUP(A50, Previous_Stats!A:Z, 8, FALSE), "")</f>
        <v>0.634</v>
      </c>
      <c r="Q50" s="112" t="str">
        <f>IFERROR(VLOOKUP(B50, Shift_Analysis!A:Z, 6, FALSE), "")</f>
        <v>2</v>
      </c>
      <c r="R50" s="114" t="str">
        <f>IFERROR(VLOOKUP(B50, Shift_Analysis!A:Z, 7, FALSE), "")</f>
        <v>1</v>
      </c>
      <c r="S50" s="123">
        <f>IFERROR(VLOOKUP(A50, Current_Stats!A:Z, 3, FALSE),"")</f>
        <v>13</v>
      </c>
    </row>
    <row r="51">
      <c r="A51" s="110" t="str">
        <f t="array" ref="A51">IFERROR(
  INDEX(Refined_Data!O:O, MATCH(B51, Refined_Data!A:A, FALSE)),
"")</f>
        <v>Calanza, Stevenson</v>
      </c>
      <c r="B51" s="124" t="str">
        <f>Refined_Data!A13</f>
        <v>Calanza, Stevenson</v>
      </c>
      <c r="C51" s="112" t="str">
        <f>IFERROR(VLOOKUP(B51, Refined_Data!A:Z, 4, FALSE), "")</f>
        <v>English</v>
      </c>
      <c r="D51" s="113" t="str">
        <f>IF(B51="","", IFERROR(VLOOKUP(B51, Refined_Data!A:Z, 5, FALSE), ""))</f>
        <v>Day</v>
      </c>
      <c r="E51" s="114">
        <f>IFERROR(VLOOKUP(B51, Refined_Data!A:Z, 3, FALSE),"")</f>
        <v>2</v>
      </c>
      <c r="F51" s="125" t="str">
        <f t="array" ref="F51">IF(B51="","",
  IFERROR(
    TEXTJOIN(", ", TRUE,
      IF(INDEX(Refined_Data!K:K, MATCH(B51, Refined_Data!A:A, 0))="Yes","SAFE",""),
      IF(INDEX(Refined_Data!L:L, MATCH(B51, Refined_Data!A:A, 0))="Yes","TRBLSHOOT",""),
      IF(INDEX(Refined_Data!M:M, MATCH(B51, Refined_Data!A:A, 0))="Yes","BMRC","")
    ),
  "")
)</f>
        <v>TRBLSHOOT</v>
      </c>
      <c r="G51" s="126" t="str">
        <f>IFERROR(VLOOKUP(B51, Refined_Data!A:Z, 8, FALSE), "")</f>
        <v>M0086</v>
      </c>
      <c r="H51" s="126">
        <f>IFERROR(VLOOKUP(B51, Refined_Data!A:Z, 9, FALSE), "")</f>
        <v>100955759</v>
      </c>
      <c r="I51" s="126">
        <f>IFERROR(VLOOKUP(B51, Refined_Data!A:Z, 10, FALSE), "")</f>
        <v>1020213</v>
      </c>
      <c r="J51" s="127" t="str">
        <f>IFERROR(VLOOKUP(B51, Refined_Data!A:Z, 14, FALSE), "")</f>
        <v>Gillingham, Shelley</v>
      </c>
      <c r="K51" s="118" t="str">
        <f t="shared" si="1"/>
        <v>↑</v>
      </c>
      <c r="L51" s="119">
        <f>IFERROR(VLOOKUP(A51, Current_Stats!A:Z, 7, FALSE), "")</f>
        <v>0.34</v>
      </c>
      <c r="M51" s="119">
        <f>IFERROR(VLOOKUP(A51, Previous_Stats!A:Z, 7, FALSE), "")</f>
        <v>0.26</v>
      </c>
      <c r="N51" s="120" t="str">
        <f t="shared" si="2"/>
        <v>↓</v>
      </c>
      <c r="O51" s="119">
        <f>IFERROR(VLOOKUP(A51, Current_Stats!A:Z, 8, FALSE), "")</f>
        <v>0.66</v>
      </c>
      <c r="P51" s="119">
        <f>IFERROR(VLOOKUP(A51, Previous_Stats!A:Z, 8, FALSE), "")</f>
        <v>0.74</v>
      </c>
      <c r="Q51" s="112" t="str">
        <f>IFERROR(VLOOKUP(B51, Shift_Analysis!A:Z, 6, FALSE), "")</f>
        <v>1</v>
      </c>
      <c r="R51" s="114" t="str">
        <f>IFERROR(VLOOKUP(B51, Shift_Analysis!A:Z, 7, FALSE), "")</f>
        <v>1</v>
      </c>
      <c r="S51" s="123">
        <f>IFERROR(VLOOKUP(A51, Current_Stats!A:Z, 3, FALSE),"")</f>
        <v>14</v>
      </c>
    </row>
    <row r="52">
      <c r="A52" s="110" t="str">
        <f t="array" ref="A52">IFERROR(
  INDEX(Refined_Data!O:O, MATCH(B52, Refined_Data!A:A, FALSE)),
"")</f>
        <v>Cerdas Calvo, Deyanira</v>
      </c>
      <c r="B52" s="124" t="str">
        <f>Refined_Data!A16</f>
        <v>Cerdas Calvo, Deyanira</v>
      </c>
      <c r="C52" s="112" t="str">
        <f>IFERROR(VLOOKUP(B52, Refined_Data!A:Z, 4, FALSE), "")</f>
        <v>English</v>
      </c>
      <c r="D52" s="113" t="str">
        <f>IF(B52="","", IFERROR(VLOOKUP(B52, Refined_Data!A:Z, 5, FALSE), ""))</f>
        <v>Evening</v>
      </c>
      <c r="E52" s="114">
        <f>IFERROR(VLOOKUP(B52, Refined_Data!A:Z, 3, FALSE),"")</f>
        <v>2</v>
      </c>
      <c r="F52" s="125" t="str">
        <f t="array" ref="F52">IF(B52="","",
  IFERROR(
    TEXTJOIN(", ", TRUE,
      IF(INDEX(Refined_Data!K:K, MATCH(B52, Refined_Data!A:A, 0))="Yes","SAFE",""),
      IF(INDEX(Refined_Data!L:L, MATCH(B52, Refined_Data!A:A, 0))="Yes","TRBLSHOOT",""),
      IF(INDEX(Refined_Data!M:M, MATCH(B52, Refined_Data!A:A, 0))="Yes","BMRC","")
    ),
  "")
)</f>
        <v>SAFE</v>
      </c>
      <c r="G52" s="126" t="str">
        <f>IFERROR(VLOOKUP(B52, Refined_Data!A:Z, 8, FALSE), "")</f>
        <v>M0088</v>
      </c>
      <c r="H52" s="126">
        <f>IFERROR(VLOOKUP(B52, Refined_Data!A:Z, 9, FALSE), "")</f>
        <v>100956355</v>
      </c>
      <c r="I52" s="126">
        <f>IFERROR(VLOOKUP(B52, Refined_Data!A:Z, 10, FALSE), "")</f>
        <v>1020004</v>
      </c>
      <c r="J52" s="127" t="str">
        <f>IFERROR(VLOOKUP(B52, Refined_Data!A:Z, 14, FALSE), "")</f>
        <v>Gillingham, Shelley</v>
      </c>
      <c r="K52" s="118" t="str">
        <f t="shared" si="1"/>
        <v>↑</v>
      </c>
      <c r="L52" s="119">
        <f>IFERROR(VLOOKUP(A52, Current_Stats!A:Z, 7, FALSE), "")</f>
        <v>0.213</v>
      </c>
      <c r="M52" s="119">
        <f>IFERROR(VLOOKUP(A52, Previous_Stats!A:Z, 7, FALSE), "")</f>
        <v>0.189</v>
      </c>
      <c r="N52" s="120" t="str">
        <f t="shared" si="2"/>
        <v>↓</v>
      </c>
      <c r="O52" s="119">
        <f>IFERROR(VLOOKUP(A52, Current_Stats!A:Z, 8, FALSE), "")</f>
        <v>0.787</v>
      </c>
      <c r="P52" s="119">
        <f>IFERROR(VLOOKUP(A52, Previous_Stats!A:Z, 8, FALSE), "")</f>
        <v>0.811</v>
      </c>
      <c r="Q52" s="112" t="str">
        <f>IFERROR(VLOOKUP(B52, Shift_Analysis!A:Z, 6, FALSE), "")</f>
        <v>1</v>
      </c>
      <c r="R52" s="114" t="str">
        <f>IFERROR(VLOOKUP(B52, Shift_Analysis!A:Z, 7, FALSE), "")</f>
        <v>1</v>
      </c>
      <c r="S52" s="123">
        <f>IFERROR(VLOOKUP(A52, Current_Stats!A:Z, 3, FALSE),"")</f>
        <v>16</v>
      </c>
    </row>
    <row r="53">
      <c r="A53" s="110" t="str">
        <f t="array" ref="A53">IFERROR(
  INDEX(Refined_Data!O:O, MATCH(B53, Refined_Data!A:A, FALSE)),
"")</f>
        <v>Chibane, Hakim</v>
      </c>
      <c r="B53" s="124" t="str">
        <f>Refined_Data!A19</f>
        <v>Chibane, Hakim</v>
      </c>
      <c r="C53" s="112" t="str">
        <f>IFERROR(VLOOKUP(B53, Refined_Data!A:Z, 4, FALSE), "")</f>
        <v>French</v>
      </c>
      <c r="D53" s="113" t="str">
        <f>IF(B53="","", IFERROR(VLOOKUP(B53, Refined_Data!A:Z, 5, FALSE), ""))</f>
        <v>Evening</v>
      </c>
      <c r="E53" s="114">
        <f>IFERROR(VLOOKUP(B53, Refined_Data!A:Z, 3, FALSE),"")</f>
        <v>4</v>
      </c>
      <c r="F53" s="125" t="str">
        <f t="array" ref="F53">IF(B53="","",
  IFERROR(
    TEXTJOIN(", ", TRUE,
      IF(INDEX(Refined_Data!K:K, MATCH(B53, Refined_Data!A:A, 0))="Yes","SAFE",""),
      IF(INDEX(Refined_Data!L:L, MATCH(B53, Refined_Data!A:A, 0))="Yes","TRBLSHOOT",""),
      IF(INDEX(Refined_Data!M:M, MATCH(B53, Refined_Data!A:A, 0))="Yes","BMRC","")
    ),
  "")
)</f>
        <v>TRBLSHOOT</v>
      </c>
      <c r="G53" s="126" t="str">
        <f>IFERROR(VLOOKUP(B53, Refined_Data!A:Z, 8, FALSE), "")</f>
        <v>M0091</v>
      </c>
      <c r="H53" s="126">
        <f>IFERROR(VLOOKUP(B53, Refined_Data!A:Z, 9, FALSE), "")</f>
        <v>100992448</v>
      </c>
      <c r="I53" s="126">
        <f>IFERROR(VLOOKUP(B53, Refined_Data!A:Z, 10, FALSE), "")</f>
        <v>1066154</v>
      </c>
      <c r="J53" s="127" t="str">
        <f>IFERROR(VLOOKUP(B53, Refined_Data!A:Z, 14, FALSE), "")</f>
        <v>Kollias, Peter</v>
      </c>
      <c r="K53" s="118" t="str">
        <f t="shared" si="1"/>
        <v>↑</v>
      </c>
      <c r="L53" s="119">
        <f>IFERROR(VLOOKUP(A53, Current_Stats!A:Z, 7, FALSE), "")</f>
        <v>0.608</v>
      </c>
      <c r="M53" s="119">
        <f>IFERROR(VLOOKUP(A53, Previous_Stats!A:Z, 7, FALSE), "")</f>
        <v>0.549</v>
      </c>
      <c r="N53" s="120" t="str">
        <f t="shared" si="2"/>
        <v>↓</v>
      </c>
      <c r="O53" s="119">
        <f>IFERROR(VLOOKUP(A53, Current_Stats!A:Z, 8, FALSE), "")</f>
        <v>0.392</v>
      </c>
      <c r="P53" s="119">
        <f>IFERROR(VLOOKUP(A53, Previous_Stats!A:Z, 8, FALSE), "")</f>
        <v>0.451</v>
      </c>
      <c r="Q53" s="112" t="str">
        <f>IFERROR(VLOOKUP(B53, Shift_Analysis!A:Z, 6, FALSE), "")</f>
        <v>1</v>
      </c>
      <c r="R53" s="114" t="str">
        <f>IFERROR(VLOOKUP(B53, Shift_Analysis!A:Z, 7, FALSE), "")</f>
        <v>1</v>
      </c>
      <c r="S53" s="123">
        <f>IFERROR(VLOOKUP(A53, Current_Stats!A:Z, 3, FALSE),"")</f>
        <v>16</v>
      </c>
    </row>
    <row r="54">
      <c r="A54" s="110" t="str">
        <f t="array" ref="A54">IFERROR(
  INDEX(Refined_Data!O:O, MATCH(B54, Refined_Data!A:A, FALSE)),
"")</f>
        <v>Constant, Francesca</v>
      </c>
      <c r="B54" s="124" t="str">
        <f>Refined_Data!A22</f>
        <v>Constant, Francesca</v>
      </c>
      <c r="C54" s="112" t="str">
        <f>IFERROR(VLOOKUP(B54, Refined_Data!A:Z, 4, FALSE), "")</f>
        <v>French</v>
      </c>
      <c r="D54" s="113" t="str">
        <f>IF(B54="","", IFERROR(VLOOKUP(B54, Refined_Data!A:Z, 5, FALSE), ""))</f>
        <v>Day</v>
      </c>
      <c r="E54" s="114">
        <f>IFERROR(VLOOKUP(B54, Refined_Data!A:Z, 3, FALSE),"")</f>
        <v>2</v>
      </c>
      <c r="F54" s="125" t="str">
        <f t="array" ref="F54">IF(B54="","",
  IFERROR(
    TEXTJOIN(", ", TRUE,
      IF(INDEX(Refined_Data!K:K, MATCH(B54, Refined_Data!A:A, 0))="Yes","SAFE",""),
      IF(INDEX(Refined_Data!L:L, MATCH(B54, Refined_Data!A:A, 0))="Yes","TRBLSHOOT",""),
      IF(INDEX(Refined_Data!M:M, MATCH(B54, Refined_Data!A:A, 0))="Yes","BMRC","")
    ),
  "")
)</f>
        <v>TRBLSHOOT</v>
      </c>
      <c r="G54" s="126" t="str">
        <f>IFERROR(VLOOKUP(B54, Refined_Data!A:Z, 8, FALSE), "")</f>
        <v>M0093</v>
      </c>
      <c r="H54" s="126">
        <f>IFERROR(VLOOKUP(B54, Refined_Data!A:Z, 9, FALSE), "")</f>
        <v>100992326</v>
      </c>
      <c r="I54" s="126">
        <f>IFERROR(VLOOKUP(B54, Refined_Data!A:Z, 10, FALSE), "")</f>
        <v>1066150</v>
      </c>
      <c r="J54" s="127" t="str">
        <f>IFERROR(VLOOKUP(B54, Refined_Data!A:Z, 14, FALSE), "")</f>
        <v>Lo, Mamadou</v>
      </c>
      <c r="K54" s="118" t="str">
        <f t="shared" si="1"/>
        <v>↑</v>
      </c>
      <c r="L54" s="119">
        <f>IFERROR(VLOOKUP(A54, Current_Stats!A:Z, 7, FALSE), "")</f>
        <v>0.381</v>
      </c>
      <c r="M54" s="119">
        <f>IFERROR(VLOOKUP(A54, Previous_Stats!A:Z, 7, FALSE), "")</f>
        <v>0.239</v>
      </c>
      <c r="N54" s="120" t="str">
        <f t="shared" si="2"/>
        <v>↓</v>
      </c>
      <c r="O54" s="119">
        <f>IFERROR(VLOOKUP(A54, Current_Stats!A:Z, 8, FALSE), "")</f>
        <v>0.619</v>
      </c>
      <c r="P54" s="119">
        <f>IFERROR(VLOOKUP(A54, Previous_Stats!A:Z, 8, FALSE), "")</f>
        <v>0.761</v>
      </c>
      <c r="Q54" s="112" t="str">
        <f>IFERROR(VLOOKUP(B54, Shift_Analysis!A:Z, 6, FALSE), "")</f>
        <v>1</v>
      </c>
      <c r="R54" s="114" t="str">
        <f>IFERROR(VLOOKUP(B54, Shift_Analysis!A:Z, 7, FALSE), "")</f>
        <v>1</v>
      </c>
      <c r="S54" s="123">
        <f>IFERROR(VLOOKUP(A54, Current_Stats!A:Z, 3, FALSE),"")</f>
        <v>12</v>
      </c>
    </row>
    <row r="55">
      <c r="A55" s="110" t="str">
        <f t="array" ref="A55">IFERROR(
  INDEX(Refined_Data!O:O, MATCH(B55, Refined_Data!A:A, FALSE)),
"")</f>
        <v>Dansou, Senami Patrick</v>
      </c>
      <c r="B55" s="124" t="str">
        <f>Refined_Data!A23</f>
        <v>Dansou, Senami</v>
      </c>
      <c r="C55" s="112" t="str">
        <f>IFERROR(VLOOKUP(B55, Refined_Data!A:Z, 4, FALSE), "")</f>
        <v>Bilingual-French</v>
      </c>
      <c r="D55" s="113" t="str">
        <f>IF(B55="","", IFERROR(VLOOKUP(B55, Refined_Data!A:Z, 5, FALSE), ""))</f>
        <v>Evening</v>
      </c>
      <c r="E55" s="114">
        <f>IFERROR(VLOOKUP(B55, Refined_Data!A:Z, 3, FALSE),"")</f>
        <v>4</v>
      </c>
      <c r="F55" s="125" t="str">
        <f t="array" ref="F55">IF(B55="","",
  IFERROR(
    TEXTJOIN(", ", TRUE,
      IF(INDEX(Refined_Data!K:K, MATCH(B55, Refined_Data!A:A, 0))="Yes","SAFE",""),
      IF(INDEX(Refined_Data!L:L, MATCH(B55, Refined_Data!A:A, 0))="Yes","TRBLSHOOT",""),
      IF(INDEX(Refined_Data!M:M, MATCH(B55, Refined_Data!A:A, 0))="Yes","BMRC","")
    ),
  "")
)</f>
        <v>TRBLSHOOT</v>
      </c>
      <c r="G55" s="126" t="str">
        <f>IFERROR(VLOOKUP(B55, Refined_Data!A:Z, 8, FALSE), "")</f>
        <v>M0096</v>
      </c>
      <c r="H55" s="126">
        <f>IFERROR(VLOOKUP(B55, Refined_Data!A:Z, 9, FALSE), "")</f>
        <v>100955704</v>
      </c>
      <c r="I55" s="126">
        <f>IFERROR(VLOOKUP(B55, Refined_Data!A:Z, 10, FALSE), "")</f>
        <v>1062301</v>
      </c>
      <c r="J55" s="127" t="str">
        <f>IFERROR(VLOOKUP(B55, Refined_Data!A:Z, 14, FALSE), "")</f>
        <v>Rwano, Guy Fremin</v>
      </c>
      <c r="K55" s="118" t="str">
        <f t="shared" si="1"/>
        <v>↑</v>
      </c>
      <c r="L55" s="119">
        <f>IFERROR(VLOOKUP(A55, Current_Stats!A:Z, 7, FALSE), "")</f>
        <v>0.409</v>
      </c>
      <c r="M55" s="119">
        <f>IFERROR(VLOOKUP(A55, Previous_Stats!A:Z, 7, FALSE), "")</f>
        <v>0.059</v>
      </c>
      <c r="N55" s="120" t="str">
        <f t="shared" si="2"/>
        <v>↓</v>
      </c>
      <c r="O55" s="119">
        <f>IFERROR(VLOOKUP(A55, Current_Stats!A:Z, 8, FALSE), "")</f>
        <v>0.591</v>
      </c>
      <c r="P55" s="119">
        <f>IFERROR(VLOOKUP(A55, Previous_Stats!A:Z, 8, FALSE), "")</f>
        <v>0.941</v>
      </c>
      <c r="Q55" s="112" t="str">
        <f>IFERROR(VLOOKUP(B55, Shift_Analysis!A:Z, 6, FALSE), "")</f>
        <v>1</v>
      </c>
      <c r="R55" s="114" t="str">
        <f>IFERROR(VLOOKUP(B55, Shift_Analysis!A:Z, 7, FALSE), "")</f>
        <v>1</v>
      </c>
      <c r="S55" s="123">
        <f>IFERROR(VLOOKUP(A55, Current_Stats!A:Z, 3, FALSE),"")</f>
        <v>10</v>
      </c>
    </row>
    <row r="56">
      <c r="A56" s="110" t="str">
        <f t="array" ref="A56">IFERROR(
  INDEX(Refined_Data!O:O, MATCH(B56, Refined_Data!A:A, FALSE)),
"")</f>
        <v>Di Tullio, Donato</v>
      </c>
      <c r="B56" s="124" t="str">
        <f>Refined_Data!A26</f>
        <v>Di Tullio, Donato</v>
      </c>
      <c r="C56" s="112" t="str">
        <f>IFERROR(VLOOKUP(B56, Refined_Data!A:Z, 4, FALSE), "")</f>
        <v>Bilingual-French</v>
      </c>
      <c r="D56" s="113" t="str">
        <f>IF(B56="","", IFERROR(VLOOKUP(B56, Refined_Data!A:Z, 5, FALSE), ""))</f>
        <v>Evening</v>
      </c>
      <c r="E56" s="114">
        <f>IFERROR(VLOOKUP(B56, Refined_Data!A:Z, 3, FALSE),"")</f>
        <v>2</v>
      </c>
      <c r="F56" s="125" t="str">
        <f t="array" ref="F56">IF(B56="","",
  IFERROR(
    TEXTJOIN(", ", TRUE,
      IF(INDEX(Refined_Data!K:K, MATCH(B56, Refined_Data!A:A, 0))="Yes","SAFE",""),
      IF(INDEX(Refined_Data!L:L, MATCH(B56, Refined_Data!A:A, 0))="Yes","TRBLSHOOT",""),
      IF(INDEX(Refined_Data!M:M, MATCH(B56, Refined_Data!A:A, 0))="Yes","BMRC","")
    ),
  "")
)</f>
        <v/>
      </c>
      <c r="G56" s="126" t="str">
        <f>IFERROR(VLOOKUP(B56, Refined_Data!A:Z, 8, FALSE), "")</f>
        <v>M0510</v>
      </c>
      <c r="H56" s="126">
        <f>IFERROR(VLOOKUP(B56, Refined_Data!A:Z, 9, FALSE), "")</f>
        <v>100773558</v>
      </c>
      <c r="I56" s="126">
        <f>IFERROR(VLOOKUP(B56, Refined_Data!A:Z, 10, FALSE), "")</f>
        <v>1060060</v>
      </c>
      <c r="J56" s="127" t="str">
        <f>IFERROR(VLOOKUP(B56, Refined_Data!A:Z, 14, FALSE), "")</f>
        <v>Herrati, Houcine</v>
      </c>
      <c r="K56" s="118" t="str">
        <f t="shared" si="1"/>
        <v>↑</v>
      </c>
      <c r="L56" s="119">
        <f>IFERROR(VLOOKUP(A56, Current_Stats!A:Z, 7, FALSE), "")</f>
        <v>0.529</v>
      </c>
      <c r="M56" s="119">
        <f>IFERROR(VLOOKUP(A56, Previous_Stats!A:Z, 7, FALSE), "")</f>
        <v>0.49</v>
      </c>
      <c r="N56" s="120" t="str">
        <f t="shared" si="2"/>
        <v>↓</v>
      </c>
      <c r="O56" s="119">
        <f>IFERROR(VLOOKUP(A56, Current_Stats!A:Z, 8, FALSE), "")</f>
        <v>0.471</v>
      </c>
      <c r="P56" s="119">
        <f>IFERROR(VLOOKUP(A56, Previous_Stats!A:Z, 8, FALSE), "")</f>
        <v>0.51</v>
      </c>
      <c r="Q56" s="112" t="str">
        <f>IFERROR(VLOOKUP(B56, Shift_Analysis!A:Z, 6, FALSE), "")</f>
        <v>1</v>
      </c>
      <c r="R56" s="114" t="str">
        <f>IFERROR(VLOOKUP(B56, Shift_Analysis!A:Z, 7, FALSE), "")</f>
        <v>1</v>
      </c>
      <c r="S56" s="123">
        <f>IFERROR(VLOOKUP(A56, Current_Stats!A:Z, 3, FALSE),"")</f>
        <v>24</v>
      </c>
    </row>
    <row r="57">
      <c r="A57" s="110" t="str">
        <f t="array" ref="A57">IFERROR(
  INDEX(Refined_Data!O:O, MATCH(B57, Refined_Data!A:A, FALSE)),
"")</f>
        <v>Drame, Abdoulaye</v>
      </c>
      <c r="B57" s="124" t="str">
        <f>Refined_Data!A27</f>
        <v>Drame, Abdoulaye</v>
      </c>
      <c r="C57" s="112" t="str">
        <f>IFERROR(VLOOKUP(B57, Refined_Data!A:Z, 4, FALSE), "")</f>
        <v>Bilingual-French</v>
      </c>
      <c r="D57" s="113" t="str">
        <f>IF(B57="","", IFERROR(VLOOKUP(B57, Refined_Data!A:Z, 5, FALSE), ""))</f>
        <v>Evening</v>
      </c>
      <c r="E57" s="114">
        <f>IFERROR(VLOOKUP(B57, Refined_Data!A:Z, 3, FALSE),"")</f>
        <v>2</v>
      </c>
      <c r="F57" s="125" t="str">
        <f t="array" ref="F57">IF(B57="","",
  IFERROR(
    TEXTJOIN(", ", TRUE,
      IF(INDEX(Refined_Data!K:K, MATCH(B57, Refined_Data!A:A, 0))="Yes","SAFE",""),
      IF(INDEX(Refined_Data!L:L, MATCH(B57, Refined_Data!A:A, 0))="Yes","TRBLSHOOT",""),
      IF(INDEX(Refined_Data!M:M, MATCH(B57, Refined_Data!A:A, 0))="Yes","BMRC","")
    ),
  "")
)</f>
        <v/>
      </c>
      <c r="G57" s="126" t="str">
        <f>IFERROR(VLOOKUP(B57, Refined_Data!A:Z, 8, FALSE), "")</f>
        <v>M0514</v>
      </c>
      <c r="H57" s="126">
        <f>IFERROR(VLOOKUP(B57, Refined_Data!A:Z, 9, FALSE), "")</f>
        <v>100773665</v>
      </c>
      <c r="I57" s="126">
        <f>IFERROR(VLOOKUP(B57, Refined_Data!A:Z, 10, FALSE), "")</f>
        <v>1060063</v>
      </c>
      <c r="J57" s="127" t="str">
        <f>IFERROR(VLOOKUP(B57, Refined_Data!A:Z, 14, FALSE), "")</f>
        <v>Dhindsa, Sukhjinder</v>
      </c>
      <c r="K57" s="118" t="str">
        <f t="shared" si="1"/>
        <v>↑</v>
      </c>
      <c r="L57" s="119">
        <f>IFERROR(VLOOKUP(A57, Current_Stats!A:Z, 7, FALSE), "")</f>
        <v>0.435</v>
      </c>
      <c r="M57" s="119">
        <f>IFERROR(VLOOKUP(A57, Previous_Stats!A:Z, 7, FALSE), "")</f>
        <v>0.373</v>
      </c>
      <c r="N57" s="120" t="str">
        <f t="shared" si="2"/>
        <v>↓</v>
      </c>
      <c r="O57" s="119">
        <f>IFERROR(VLOOKUP(A57, Current_Stats!A:Z, 8, FALSE), "")</f>
        <v>0.565</v>
      </c>
      <c r="P57" s="119">
        <f>IFERROR(VLOOKUP(A57, Previous_Stats!A:Z, 8, FALSE), "")</f>
        <v>0.627</v>
      </c>
      <c r="Q57" s="112" t="str">
        <f>IFERROR(VLOOKUP(B57, Shift_Analysis!A:Z, 6, FALSE), "")</f>
        <v>1</v>
      </c>
      <c r="R57" s="114" t="str">
        <f>IFERROR(VLOOKUP(B57, Shift_Analysis!A:Z, 7, FALSE), "")</f>
        <v>1</v>
      </c>
      <c r="S57" s="123">
        <f>IFERROR(VLOOKUP(A57, Current_Stats!A:Z, 3, FALSE),"")</f>
        <v>16</v>
      </c>
    </row>
    <row r="58">
      <c r="A58" s="110" t="str">
        <f t="array" ref="A58">IFERROR(
  INDEX(Refined_Data!O:O, MATCH(B58, Refined_Data!A:A, FALSE)),
"")</f>
        <v>Dupuis, Joanie</v>
      </c>
      <c r="B58" s="124" t="str">
        <f>Refined_Data!A28</f>
        <v>Dupuis, Joanie</v>
      </c>
      <c r="C58" s="112" t="str">
        <f>IFERROR(VLOOKUP(B58, Refined_Data!A:Z, 4, FALSE), "")</f>
        <v>Bilingual-French</v>
      </c>
      <c r="D58" s="113" t="str">
        <f>IF(B58="","", IFERROR(VLOOKUP(B58, Refined_Data!A:Z, 5, FALSE), ""))</f>
        <v>Day</v>
      </c>
      <c r="E58" s="114">
        <f>IFERROR(VLOOKUP(B58, Refined_Data!A:Z, 3, FALSE),"")</f>
        <v>4</v>
      </c>
      <c r="F58" s="125" t="str">
        <f t="array" ref="F58">IF(B58="","",
  IFERROR(
    TEXTJOIN(", ", TRUE,
      IF(INDEX(Refined_Data!K:K, MATCH(B58, Refined_Data!A:A, 0))="Yes","SAFE",""),
      IF(INDEX(Refined_Data!L:L, MATCH(B58, Refined_Data!A:A, 0))="Yes","TRBLSHOOT",""),
      IF(INDEX(Refined_Data!M:M, MATCH(B58, Refined_Data!A:A, 0))="Yes","BMRC","")
    ),
  "")
)</f>
        <v>SAFE, TRBLSHOOT</v>
      </c>
      <c r="G58" s="126" t="str">
        <f>IFERROR(VLOOKUP(B58, Refined_Data!A:Z, 8, FALSE), "")</f>
        <v>M0107</v>
      </c>
      <c r="H58" s="126">
        <f>IFERROR(VLOOKUP(B58, Refined_Data!A:Z, 9, FALSE), "")</f>
        <v>100956521</v>
      </c>
      <c r="I58" s="126">
        <f>IFERROR(VLOOKUP(B58, Refined_Data!A:Z, 10, FALSE), "")</f>
        <v>1067025</v>
      </c>
      <c r="J58" s="127" t="str">
        <f>IFERROR(VLOOKUP(B58, Refined_Data!A:Z, 14, FALSE), "")</f>
        <v>Diegue, Kerry</v>
      </c>
      <c r="K58" s="118" t="str">
        <f t="shared" si="1"/>
        <v>↑</v>
      </c>
      <c r="L58" s="119">
        <f>IFERROR(VLOOKUP(A58, Current_Stats!A:Z, 7, FALSE), "")</f>
        <v>0.919</v>
      </c>
      <c r="M58" s="119">
        <f>IFERROR(VLOOKUP(A58, Previous_Stats!A:Z, 7, FALSE), "")</f>
        <v>0.867</v>
      </c>
      <c r="N58" s="120" t="str">
        <f t="shared" si="2"/>
        <v>↓</v>
      </c>
      <c r="O58" s="119">
        <f>IFERROR(VLOOKUP(A58, Current_Stats!A:Z, 8, FALSE), "")</f>
        <v>0.081</v>
      </c>
      <c r="P58" s="119">
        <f>IFERROR(VLOOKUP(A58, Previous_Stats!A:Z, 8, FALSE), "")</f>
        <v>0.133</v>
      </c>
      <c r="Q58" s="112" t="str">
        <f>IFERROR(VLOOKUP(B58, Shift_Analysis!A:Z, 6, FALSE), "")</f>
        <v>2</v>
      </c>
      <c r="R58" s="114" t="str">
        <f>IFERROR(VLOOKUP(B58, Shift_Analysis!A:Z, 7, FALSE), "")</f>
        <v>2</v>
      </c>
      <c r="S58" s="123">
        <f>IFERROR(VLOOKUP(A58, Current_Stats!A:Z, 3, FALSE),"")</f>
        <v>8</v>
      </c>
    </row>
    <row r="59">
      <c r="A59" s="110" t="str">
        <f t="array" ref="A59">IFERROR(
  INDEX(Refined_Data!O:O, MATCH(B59, Refined_Data!A:A, FALSE)),
"")</f>
        <v>Gabriel, Gamelyn</v>
      </c>
      <c r="B59" s="124" t="str">
        <f>Refined_Data!A32</f>
        <v>Gabriel, Gamelyn</v>
      </c>
      <c r="C59" s="112" t="str">
        <f>IFERROR(VLOOKUP(B59, Refined_Data!A:Z, 4, FALSE), "")</f>
        <v>Bilingual-French</v>
      </c>
      <c r="D59" s="113" t="str">
        <f>IF(B59="","", IFERROR(VLOOKUP(B59, Refined_Data!A:Z, 5, FALSE), ""))</f>
        <v>Evening</v>
      </c>
      <c r="E59" s="114">
        <f>IFERROR(VLOOKUP(B59, Refined_Data!A:Z, 3, FALSE),"")</f>
        <v>4</v>
      </c>
      <c r="F59" s="125" t="str">
        <f t="array" ref="F59">IF(B59="","",
  IFERROR(
    TEXTJOIN(", ", TRUE,
      IF(INDEX(Refined_Data!K:K, MATCH(B59, Refined_Data!A:A, 0))="Yes","SAFE",""),
      IF(INDEX(Refined_Data!L:L, MATCH(B59, Refined_Data!A:A, 0))="Yes","TRBLSHOOT",""),
      IF(INDEX(Refined_Data!M:M, MATCH(B59, Refined_Data!A:A, 0))="Yes","BMRC","")
    ),
  "")
)</f>
        <v>SAFE, TRBLSHOOT</v>
      </c>
      <c r="G59" s="126" t="str">
        <f>IFERROR(VLOOKUP(B59, Refined_Data!A:Z, 8, FALSE), "")</f>
        <v>M0115</v>
      </c>
      <c r="H59" s="126">
        <f>IFERROR(VLOOKUP(B59, Refined_Data!A:Z, 9, FALSE), "")</f>
        <v>100955761</v>
      </c>
      <c r="I59" s="126">
        <f>IFERROR(VLOOKUP(B59, Refined_Data!A:Z, 10, FALSE), "")</f>
        <v>1066319</v>
      </c>
      <c r="J59" s="127" t="str">
        <f>IFERROR(VLOOKUP(B59, Refined_Data!A:Z, 14, FALSE), "")</f>
        <v>Rwano, Guy Fremin</v>
      </c>
      <c r="K59" s="118" t="str">
        <f t="shared" si="1"/>
        <v>↓</v>
      </c>
      <c r="L59" s="119">
        <f>IFERROR(VLOOKUP(A59, Current_Stats!A:Z, 7, FALSE), "")</f>
        <v>0.829</v>
      </c>
      <c r="M59" s="119">
        <f>IFERROR(VLOOKUP(A59, Previous_Stats!A:Z, 7, FALSE), "")</f>
        <v>0.868</v>
      </c>
      <c r="N59" s="120" t="str">
        <f t="shared" si="2"/>
        <v>↑</v>
      </c>
      <c r="O59" s="119">
        <f>IFERROR(VLOOKUP(A59, Current_Stats!A:Z, 8, FALSE), "")</f>
        <v>0.171</v>
      </c>
      <c r="P59" s="119">
        <f>IFERROR(VLOOKUP(A59, Previous_Stats!A:Z, 8, FALSE), "")</f>
        <v>0.132</v>
      </c>
      <c r="Q59" s="112" t="str">
        <f>IFERROR(VLOOKUP(B59, Shift_Analysis!A:Z, 6, FALSE), "")</f>
        <v>2</v>
      </c>
      <c r="R59" s="114" t="str">
        <f>IFERROR(VLOOKUP(B59, Shift_Analysis!A:Z, 7, FALSE), "")</f>
        <v>2</v>
      </c>
      <c r="S59" s="123">
        <f>IFERROR(VLOOKUP(A59, Current_Stats!A:Z, 3, FALSE),"")</f>
        <v>9</v>
      </c>
    </row>
    <row r="60" hidden="1">
      <c r="A60" s="110" t="str">
        <f t="array" ref="A60">IFERROR(
  INDEX(Refined_Data!O:O, MATCH(B60, Refined_Data!A:A, FALSE)),
"")</f>
        <v/>
      </c>
      <c r="B60" s="124" t="str">
        <f>Refined_Data!A44</f>
        <v>Joakeem Séjour</v>
      </c>
      <c r="C60" s="112" t="str">
        <f>IFERROR(VLOOKUP(B60, Refined_Data!A:Z, 4, FALSE), "")</f>
        <v>Bilingual-French</v>
      </c>
      <c r="D60" s="113" t="str">
        <f>IF(B60="","", IFERROR(VLOOKUP(B60, Refined_Data!A:Z, 5, FALSE), ""))</f>
        <v/>
      </c>
      <c r="E60" s="114" t="str">
        <f>IFERROR(VLOOKUP(B60, Refined_Data!A:Z, 3, FALSE),"")</f>
        <v>Trainee</v>
      </c>
      <c r="F60" s="125" t="str">
        <f t="array" ref="F60">IF(B60="","",
  IFERROR(
    TEXTJOIN(", ", TRUE,
      IF(INDEX(Refined_Data!K:K, MATCH(B60, Refined_Data!A:A, 0))="Yes","SAFE",""),
      IF(INDEX(Refined_Data!L:L, MATCH(B60, Refined_Data!A:A, 0))="Yes","TRBLSHOOT",""),
      IF(INDEX(Refined_Data!M:M, MATCH(B60, Refined_Data!A:A, 0))="Yes","BMRC","")
    ),
  "")
)</f>
        <v/>
      </c>
      <c r="G60" s="126" t="str">
        <f>IFERROR(VLOOKUP(B60, Refined_Data!A:Z, 8, FALSE), "")</f>
        <v/>
      </c>
      <c r="H60" s="126" t="str">
        <f>IFERROR(VLOOKUP(B60, Refined_Data!A:Z, 9, FALSE), "")</f>
        <v/>
      </c>
      <c r="I60" s="126">
        <f>IFERROR(VLOOKUP(B60, Refined_Data!A:Z, 10, FALSE), "")</f>
        <v>1060073</v>
      </c>
      <c r="J60" s="127" t="str">
        <f>IFERROR(VLOOKUP(B60, Refined_Data!A:Z, 14, FALSE), "")</f>
        <v>Diegue, Kerry</v>
      </c>
      <c r="K60" s="118" t="str">
        <f t="shared" si="1"/>
        <v/>
      </c>
      <c r="L60" s="119" t="str">
        <f>IFERROR(VLOOKUP(A60, Current_Stats!A:Z, 7, FALSE), "")</f>
        <v/>
      </c>
      <c r="M60" s="119" t="str">
        <f>IFERROR(VLOOKUP(A60, Previous_Stats!A:Z, 7, FALSE), "")</f>
        <v/>
      </c>
      <c r="N60" s="120" t="str">
        <f t="shared" si="2"/>
        <v/>
      </c>
      <c r="O60" s="119" t="str">
        <f>IFERROR(VLOOKUP(A60, Current_Stats!A:Z, 8, FALSE), "")</f>
        <v/>
      </c>
      <c r="P60" s="119" t="str">
        <f>IFERROR(VLOOKUP(A60, Previous_Stats!A:Z, 8, FALSE), "")</f>
        <v/>
      </c>
      <c r="Q60" s="112" t="str">
        <f>IFERROR(VLOOKUP(B60, Shift_Analysis!A:Z, 6, FALSE), "")</f>
        <v/>
      </c>
      <c r="R60" s="114" t="str">
        <f>IFERROR(VLOOKUP(B60, Shift_Analysis!A:Z, 7, FALSE), "")</f>
        <v/>
      </c>
      <c r="S60" s="123" t="str">
        <f>IFERROR(VLOOKUP(A60, Current_Stats!A:Z, 3, FALSE),"")</f>
        <v/>
      </c>
    </row>
    <row r="61" hidden="1">
      <c r="A61" s="110" t="str">
        <f t="array" ref="A61">IFERROR(
  INDEX(Refined_Data!O:O, MATCH(B61, Refined_Data!A:A, FALSE)),
"")</f>
        <v/>
      </c>
      <c r="B61" s="124" t="str">
        <f>Refined_Data!A45</f>
        <v>Jone Elmido</v>
      </c>
      <c r="C61" s="112" t="str">
        <f>IFERROR(VLOOKUP(B61, Refined_Data!A:Z, 4, FALSE), "")</f>
        <v>Bilingual-French</v>
      </c>
      <c r="D61" s="113" t="str">
        <f>IF(B61="","", IFERROR(VLOOKUP(B61, Refined_Data!A:Z, 5, FALSE), ""))</f>
        <v/>
      </c>
      <c r="E61" s="114" t="str">
        <f>IFERROR(VLOOKUP(B61, Refined_Data!A:Z, 3, FALSE),"")</f>
        <v>Trainee</v>
      </c>
      <c r="F61" s="125" t="str">
        <f t="array" ref="F61">IF(B61="","",
  IFERROR(
    TEXTJOIN(", ", TRUE,
      IF(INDEX(Refined_Data!K:K, MATCH(B61, Refined_Data!A:A, 0))="Yes","SAFE",""),
      IF(INDEX(Refined_Data!L:L, MATCH(B61, Refined_Data!A:A, 0))="Yes","TRBLSHOOT",""),
      IF(INDEX(Refined_Data!M:M, MATCH(B61, Refined_Data!A:A, 0))="Yes","BMRC","")
    ),
  "")
)</f>
        <v/>
      </c>
      <c r="G61" s="126" t="str">
        <f>IFERROR(VLOOKUP(B61, Refined_Data!A:Z, 8, FALSE), "")</f>
        <v/>
      </c>
      <c r="H61" s="126" t="str">
        <f>IFERROR(VLOOKUP(B61, Refined_Data!A:Z, 9, FALSE), "")</f>
        <v/>
      </c>
      <c r="I61" s="126" t="str">
        <f>IFERROR(VLOOKUP(B61, Refined_Data!A:Z, 10, FALSE), "")</f>
        <v/>
      </c>
      <c r="J61" s="127" t="str">
        <f>IFERROR(VLOOKUP(B61, Refined_Data!A:Z, 14, FALSE), "")</f>
        <v>Diegue, Kerry</v>
      </c>
      <c r="K61" s="118" t="str">
        <f t="shared" si="1"/>
        <v/>
      </c>
      <c r="L61" s="119" t="str">
        <f>IFERROR(VLOOKUP(A61, Current_Stats!A:Z, 7, FALSE), "")</f>
        <v/>
      </c>
      <c r="M61" s="119" t="str">
        <f>IFERROR(VLOOKUP(A61, Previous_Stats!A:Z, 7, FALSE), "")</f>
        <v/>
      </c>
      <c r="N61" s="120" t="str">
        <f t="shared" si="2"/>
        <v/>
      </c>
      <c r="O61" s="119" t="str">
        <f>IFERROR(VLOOKUP(A61, Current_Stats!A:Z, 8, FALSE), "")</f>
        <v/>
      </c>
      <c r="P61" s="119" t="str">
        <f>IFERROR(VLOOKUP(A61, Previous_Stats!A:Z, 8, FALSE), "")</f>
        <v/>
      </c>
      <c r="Q61" s="112" t="str">
        <f>IFERROR(VLOOKUP(B61, Shift_Analysis!A:Z, 6, FALSE), "")</f>
        <v/>
      </c>
      <c r="R61" s="114" t="str">
        <f>IFERROR(VLOOKUP(B61, Shift_Analysis!A:Z, 7, FALSE), "")</f>
        <v/>
      </c>
      <c r="S61" s="123" t="str">
        <f>IFERROR(VLOOKUP(A61, Current_Stats!A:Z, 3, FALSE),"")</f>
        <v/>
      </c>
    </row>
    <row r="62" hidden="1">
      <c r="A62" s="110" t="str">
        <f t="array" ref="A62">IFERROR(
  INDEX(Refined_Data!O:O, MATCH(B62, Refined_Data!A:A, FALSE)),
"")</f>
        <v>Brar, Dilpreet Kaur</v>
      </c>
      <c r="B62" s="124" t="str">
        <f>Refined_Data!A47</f>
        <v>Kaur Brar, Dilpreet</v>
      </c>
      <c r="C62" s="112" t="str">
        <f>IFERROR(VLOOKUP(B62, Refined_Data!A:Z, 4, FALSE), "")</f>
        <v>English</v>
      </c>
      <c r="D62" s="113" t="str">
        <f>IF(B62="","", IFERROR(VLOOKUP(B62, Refined_Data!A:Z, 5, FALSE), ""))</f>
        <v/>
      </c>
      <c r="E62" s="114">
        <f>IFERROR(VLOOKUP(B62, Refined_Data!A:Z, 3, FALSE),"")</f>
        <v>1</v>
      </c>
      <c r="F62" s="125" t="str">
        <f t="array" ref="F62">IF(B62="","",
  IFERROR(
    TEXTJOIN(", ", TRUE,
      IF(INDEX(Refined_Data!K:K, MATCH(B62, Refined_Data!A:A, 0))="Yes","SAFE",""),
      IF(INDEX(Refined_Data!L:L, MATCH(B62, Refined_Data!A:A, 0))="Yes","TRBLSHOOT",""),
      IF(INDEX(Refined_Data!M:M, MATCH(B62, Refined_Data!A:A, 0))="Yes","BMRC","")
    ),
  "")
)</f>
        <v/>
      </c>
      <c r="G62" s="126" t="str">
        <f>IFERROR(VLOOKUP(B62, Refined_Data!A:Z, 8, FALSE), "")</f>
        <v>M0539</v>
      </c>
      <c r="H62" s="126">
        <f>IFERROR(VLOOKUP(B62, Refined_Data!A:Z, 9, FALSE), "")</f>
        <v>106001437</v>
      </c>
      <c r="I62" s="126">
        <f>IFERROR(VLOOKUP(B62, Refined_Data!A:Z, 10, FALSE), "")</f>
        <v>1060019</v>
      </c>
      <c r="J62" s="127" t="str">
        <f>IFERROR(VLOOKUP(B62, Refined_Data!A:Z, 14, FALSE), "")</f>
        <v>Coghiel, Caren</v>
      </c>
      <c r="K62" s="118" t="str">
        <f t="shared" si="1"/>
        <v>↑</v>
      </c>
      <c r="L62" s="119">
        <f>IFERROR(VLOOKUP(A62, Current_Stats!A:Z, 7, FALSE), "")</f>
        <v>0.222</v>
      </c>
      <c r="M62" s="119">
        <f>IFERROR(VLOOKUP(A62, Previous_Stats!A:Z, 7, FALSE), "")</f>
        <v>0</v>
      </c>
      <c r="N62" s="120" t="str">
        <f t="shared" si="2"/>
        <v>↓</v>
      </c>
      <c r="O62" s="119">
        <f>IFERROR(VLOOKUP(A62, Current_Stats!A:Z, 8, FALSE), "")</f>
        <v>0.778</v>
      </c>
      <c r="P62" s="119">
        <f>IFERROR(VLOOKUP(A62, Previous_Stats!A:Z, 8, FALSE), "")</f>
        <v>1</v>
      </c>
      <c r="Q62" s="112" t="str">
        <f>IFERROR(VLOOKUP(B62, Shift_Analysis!A:Z, 6, FALSE), "")</f>
        <v/>
      </c>
      <c r="R62" s="114" t="str">
        <f>IFERROR(VLOOKUP(B62, Shift_Analysis!A:Z, 7, FALSE), "")</f>
        <v/>
      </c>
      <c r="S62" s="123">
        <f>IFERROR(VLOOKUP(A62, Current_Stats!A:Z, 3, FALSE),"")</f>
        <v>8</v>
      </c>
    </row>
    <row r="63">
      <c r="A63" s="110" t="str">
        <f t="array" ref="A63">IFERROR(
  INDEX(Refined_Data!O:O, MATCH(B63, Refined_Data!A:A, FALSE)),
"")</f>
        <v>Kaur, Manpreet</v>
      </c>
      <c r="B63" s="124" t="str">
        <f>Refined_Data!A49</f>
        <v>Kaur, Manpreet</v>
      </c>
      <c r="C63" s="112" t="str">
        <f>IFERROR(VLOOKUP(B63, Refined_Data!A:Z, 4, FALSE), "")</f>
        <v>English</v>
      </c>
      <c r="D63" s="113" t="str">
        <f>IF(B63="","", IFERROR(VLOOKUP(B63, Refined_Data!A:Z, 5, FALSE), ""))</f>
        <v>Night</v>
      </c>
      <c r="E63" s="114">
        <f>IFERROR(VLOOKUP(B63, Refined_Data!A:Z, 3, FALSE),"")</f>
        <v>2</v>
      </c>
      <c r="F63" s="125" t="str">
        <f t="array" ref="F63">IF(B63="","",
  IFERROR(
    TEXTJOIN(", ", TRUE,
      IF(INDEX(Refined_Data!K:K, MATCH(B63, Refined_Data!A:A, 0))="Yes","SAFE",""),
      IF(INDEX(Refined_Data!L:L, MATCH(B63, Refined_Data!A:A, 0))="Yes","TRBLSHOOT",""),
      IF(INDEX(Refined_Data!M:M, MATCH(B63, Refined_Data!A:A, 0))="Yes","BMRC","")
    ),
  "")
)</f>
        <v>SAFE</v>
      </c>
      <c r="G63" s="126" t="str">
        <f>IFERROR(VLOOKUP(B63, Refined_Data!A:Z, 8, FALSE), "")</f>
        <v>M0142</v>
      </c>
      <c r="H63" s="126">
        <f>IFERROR(VLOOKUP(B63, Refined_Data!A:Z, 9, FALSE), "")</f>
        <v>100998052</v>
      </c>
      <c r="I63" s="126">
        <f>IFERROR(VLOOKUP(B63, Refined_Data!A:Z, 10, FALSE), "")</f>
        <v>1030017</v>
      </c>
      <c r="J63" s="127" t="str">
        <f>IFERROR(VLOOKUP(B63, Refined_Data!A:Z, 14, FALSE), "")</f>
        <v>Coghiel, Caren</v>
      </c>
      <c r="K63" s="118" t="str">
        <f t="shared" si="1"/>
        <v>↑</v>
      </c>
      <c r="L63" s="119">
        <f>IFERROR(VLOOKUP(A63, Current_Stats!A:Z, 7, FALSE), "")</f>
        <v>0.84</v>
      </c>
      <c r="M63" s="119">
        <f>IFERROR(VLOOKUP(A63, Previous_Stats!A:Z, 7, FALSE), "")</f>
        <v>0.833</v>
      </c>
      <c r="N63" s="120" t="str">
        <f t="shared" si="2"/>
        <v>↓</v>
      </c>
      <c r="O63" s="119">
        <f>IFERROR(VLOOKUP(A63, Current_Stats!A:Z, 8, FALSE), "")</f>
        <v>0.16</v>
      </c>
      <c r="P63" s="119">
        <f>IFERROR(VLOOKUP(A63, Previous_Stats!A:Z, 8, FALSE), "")</f>
        <v>0.167</v>
      </c>
      <c r="Q63" s="112" t="str">
        <f>IFERROR(VLOOKUP(B63, Shift_Analysis!A:Z, 6, FALSE), "")</f>
        <v>2</v>
      </c>
      <c r="R63" s="114" t="str">
        <f>IFERROR(VLOOKUP(B63, Shift_Analysis!A:Z, 7, FALSE), "")</f>
        <v>3</v>
      </c>
      <c r="S63" s="123">
        <f>IFERROR(VLOOKUP(A63, Current_Stats!A:Z, 3, FALSE),"")</f>
        <v>21</v>
      </c>
    </row>
    <row r="64">
      <c r="A64" s="110" t="str">
        <f t="array" ref="A64">IFERROR(
  INDEX(Refined_Data!O:O, MATCH(B64, Refined_Data!A:A, FALSE)),
"")</f>
        <v>Lakhal, Oussama</v>
      </c>
      <c r="B64" s="124" t="str">
        <f>Refined_Data!A53</f>
        <v>Lakhal, Oussama</v>
      </c>
      <c r="C64" s="112" t="str">
        <f>IFERROR(VLOOKUP(B64, Refined_Data!A:Z, 4, FALSE), "")</f>
        <v>French</v>
      </c>
      <c r="D64" s="113" t="str">
        <f>IF(B64="","", IFERROR(VLOOKUP(B64, Refined_Data!A:Z, 5, FALSE), ""))</f>
        <v>Evening</v>
      </c>
      <c r="E64" s="114">
        <f>IFERROR(VLOOKUP(B64, Refined_Data!A:Z, 3, FALSE),"")</f>
        <v>3</v>
      </c>
      <c r="F64" s="125" t="str">
        <f t="array" ref="F64">IF(B64="","",
  IFERROR(
    TEXTJOIN(", ", TRUE,
      IF(INDEX(Refined_Data!K:K, MATCH(B64, Refined_Data!A:A, 0))="Yes","SAFE",""),
      IF(INDEX(Refined_Data!L:L, MATCH(B64, Refined_Data!A:A, 0))="Yes","TRBLSHOOT",""),
      IF(INDEX(Refined_Data!M:M, MATCH(B64, Refined_Data!A:A, 0))="Yes","BMRC","")
    ),
  "")
)</f>
        <v/>
      </c>
      <c r="G64" s="126" t="str">
        <f>IFERROR(VLOOKUP(B64, Refined_Data!A:Z, 8, FALSE), "")</f>
        <v>M0151</v>
      </c>
      <c r="H64" s="126">
        <f>IFERROR(VLOOKUP(B64, Refined_Data!A:Z, 9, FALSE), "")</f>
        <v>100992414</v>
      </c>
      <c r="I64" s="126">
        <f>IFERROR(VLOOKUP(B64, Refined_Data!A:Z, 10, FALSE), "")</f>
        <v>1066011</v>
      </c>
      <c r="J64" s="127" t="str">
        <f>IFERROR(VLOOKUP(B64, Refined_Data!A:Z, 14, FALSE), "")</f>
        <v>Lo, Mamadou</v>
      </c>
      <c r="K64" s="118" t="str">
        <f t="shared" si="1"/>
        <v>↓</v>
      </c>
      <c r="L64" s="119">
        <f>IFERROR(VLOOKUP(A64, Current_Stats!A:Z, 7, FALSE), "")</f>
        <v>0.725</v>
      </c>
      <c r="M64" s="119">
        <f>IFERROR(VLOOKUP(A64, Previous_Stats!A:Z, 7, FALSE), "")</f>
        <v>0.743</v>
      </c>
      <c r="N64" s="120" t="str">
        <f t="shared" si="2"/>
        <v>↑</v>
      </c>
      <c r="O64" s="119">
        <f>IFERROR(VLOOKUP(A64, Current_Stats!A:Z, 8, FALSE), "")</f>
        <v>0.275</v>
      </c>
      <c r="P64" s="119">
        <f>IFERROR(VLOOKUP(A64, Previous_Stats!A:Z, 8, FALSE), "")</f>
        <v>0.257</v>
      </c>
      <c r="Q64" s="112" t="str">
        <f>IFERROR(VLOOKUP(B64, Shift_Analysis!A:Z, 6, FALSE), "")</f>
        <v>2</v>
      </c>
      <c r="R64" s="114" t="str">
        <f>IFERROR(VLOOKUP(B64, Shift_Analysis!A:Z, 7, FALSE), "")</f>
        <v>2</v>
      </c>
      <c r="S64" s="123">
        <f>IFERROR(VLOOKUP(A64, Current_Stats!A:Z, 3, FALSE),"")</f>
        <v>18</v>
      </c>
    </row>
    <row r="65">
      <c r="A65" s="110" t="str">
        <f t="array" ref="A65">IFERROR(
  INDEX(Refined_Data!O:O, MATCH(B65, Refined_Data!A:A, FALSE)),
"")</f>
        <v>Marcil, Carol</v>
      </c>
      <c r="B65" s="124" t="str">
        <f>Refined_Data!A61</f>
        <v>Marcil, Carol</v>
      </c>
      <c r="C65" s="112" t="str">
        <f>IFERROR(VLOOKUP(B65, Refined_Data!A:Z, 4, FALSE), "")</f>
        <v>Bilingual-French</v>
      </c>
      <c r="D65" s="113" t="str">
        <f>IF(B65="","", IFERROR(VLOOKUP(B65, Refined_Data!A:Z, 5, FALSE), ""))</f>
        <v>Day</v>
      </c>
      <c r="E65" s="114">
        <f>IFERROR(VLOOKUP(B65, Refined_Data!A:Z, 3, FALSE),"")</f>
        <v>4</v>
      </c>
      <c r="F65" s="125" t="str">
        <f t="array" ref="F65">IF(B65="","",
  IFERROR(
    TEXTJOIN(", ", TRUE,
      IF(INDEX(Refined_Data!K:K, MATCH(B65, Refined_Data!A:A, 0))="Yes","SAFE",""),
      IF(INDEX(Refined_Data!L:L, MATCH(B65, Refined_Data!A:A, 0))="Yes","TRBLSHOOT",""),
      IF(INDEX(Refined_Data!M:M, MATCH(B65, Refined_Data!A:A, 0))="Yes","BMRC","")
    ),
  "")
)</f>
        <v/>
      </c>
      <c r="G65" s="126" t="str">
        <f>IFERROR(VLOOKUP(B65, Refined_Data!A:Z, 8, FALSE), "")</f>
        <v>M0168</v>
      </c>
      <c r="H65" s="126">
        <f>IFERROR(VLOOKUP(B65, Refined_Data!A:Z, 9, FALSE), "")</f>
        <v>100955765</v>
      </c>
      <c r="I65" s="126">
        <f>IFERROR(VLOOKUP(B65, Refined_Data!A:Z, 10, FALSE), "")</f>
        <v>1066028</v>
      </c>
      <c r="J65" s="127" t="str">
        <f>IFERROR(VLOOKUP(B65, Refined_Data!A:Z, 14, FALSE), "")</f>
        <v>Kollias, Peter</v>
      </c>
      <c r="K65" s="118" t="str">
        <f t="shared" si="1"/>
        <v>↑</v>
      </c>
      <c r="L65" s="119">
        <f>IFERROR(VLOOKUP(A65, Current_Stats!A:Z, 7, FALSE), "")</f>
        <v>0.618</v>
      </c>
      <c r="M65" s="119">
        <f>IFERROR(VLOOKUP(A65, Previous_Stats!A:Z, 7, FALSE), "")</f>
        <v>0.471</v>
      </c>
      <c r="N65" s="120" t="str">
        <f t="shared" si="2"/>
        <v>↓</v>
      </c>
      <c r="O65" s="119">
        <f>IFERROR(VLOOKUP(A65, Current_Stats!A:Z, 8, FALSE), "")</f>
        <v>0.382</v>
      </c>
      <c r="P65" s="119">
        <f>IFERROR(VLOOKUP(A65, Previous_Stats!A:Z, 8, FALSE), "")</f>
        <v>0.529</v>
      </c>
      <c r="Q65" s="112" t="str">
        <f>IFERROR(VLOOKUP(B65, Shift_Analysis!A:Z, 6, FALSE), "")</f>
        <v>1</v>
      </c>
      <c r="R65" s="114" t="str">
        <f>IFERROR(VLOOKUP(B65, Shift_Analysis!A:Z, 7, FALSE), "")</f>
        <v>1</v>
      </c>
      <c r="S65" s="123">
        <f>IFERROR(VLOOKUP(A65, Current_Stats!A:Z, 3, FALSE),"")</f>
        <v>14</v>
      </c>
    </row>
    <row r="66">
      <c r="A66" s="110" t="str">
        <f t="array" ref="A66">IFERROR(
  INDEX(Refined_Data!O:O, MATCH(B66, Refined_Data!A:A, FALSE)),
"")</f>
        <v>Medrano Sibrian, Yahshua</v>
      </c>
      <c r="B66" s="124" t="str">
        <f>Refined_Data!A64</f>
        <v>Medrano Sibrian, Yahshua</v>
      </c>
      <c r="C66" s="112" t="str">
        <f>IFERROR(VLOOKUP(B66, Refined_Data!A:Z, 4, FALSE), "")</f>
        <v>Bilingual-French</v>
      </c>
      <c r="D66" s="113" t="str">
        <f>IF(B66="","", IFERROR(VLOOKUP(B66, Refined_Data!A:Z, 5, FALSE), ""))</f>
        <v>Night</v>
      </c>
      <c r="E66" s="114">
        <f>IFERROR(VLOOKUP(B66, Refined_Data!A:Z, 3, FALSE),"")</f>
        <v>2</v>
      </c>
      <c r="F66" s="125" t="str">
        <f t="array" ref="F66">IF(B66="","",
  IFERROR(
    TEXTJOIN(", ", TRUE,
      IF(INDEX(Refined_Data!K:K, MATCH(B66, Refined_Data!A:A, 0))="Yes","SAFE",""),
      IF(INDEX(Refined_Data!L:L, MATCH(B66, Refined_Data!A:A, 0))="Yes","TRBLSHOOT",""),
      IF(INDEX(Refined_Data!M:M, MATCH(B66, Refined_Data!A:A, 0))="Yes","BMRC","")
    ),
  "")
)</f>
        <v/>
      </c>
      <c r="G66" s="126" t="str">
        <f>IFERROR(VLOOKUP(B66, Refined_Data!A:Z, 8, FALSE), "")</f>
        <v>M0517</v>
      </c>
      <c r="H66" s="126">
        <f>IFERROR(VLOOKUP(B66, Refined_Data!A:Z, 9, FALSE), "")</f>
        <v>100773727</v>
      </c>
      <c r="I66" s="126">
        <f>IFERROR(VLOOKUP(B66, Refined_Data!A:Z, 10, FALSE), "")</f>
        <v>1060065</v>
      </c>
      <c r="J66" s="127" t="str">
        <f>IFERROR(VLOOKUP(B66, Refined_Data!A:Z, 14, FALSE), "")</f>
        <v>Coghiel, Caren</v>
      </c>
      <c r="K66" s="118" t="str">
        <f t="shared" si="1"/>
        <v>↑</v>
      </c>
      <c r="L66" s="119">
        <f>IFERROR(VLOOKUP(A66, Current_Stats!A:Z, 7, FALSE), "")</f>
        <v>0.749</v>
      </c>
      <c r="M66" s="119">
        <f>IFERROR(VLOOKUP(A66, Previous_Stats!A:Z, 7, FALSE), "")</f>
        <v>0.665</v>
      </c>
      <c r="N66" s="120" t="str">
        <f t="shared" si="2"/>
        <v>↓</v>
      </c>
      <c r="O66" s="119">
        <f>IFERROR(VLOOKUP(A66, Current_Stats!A:Z, 8, FALSE), "")</f>
        <v>0.251</v>
      </c>
      <c r="P66" s="119">
        <f>IFERROR(VLOOKUP(A66, Previous_Stats!A:Z, 8, FALSE), "")</f>
        <v>0.335</v>
      </c>
      <c r="Q66" s="112" t="str">
        <f>IFERROR(VLOOKUP(B66, Shift_Analysis!A:Z, 6, FALSE), "")</f>
        <v>2</v>
      </c>
      <c r="R66" s="114" t="str">
        <f>IFERROR(VLOOKUP(B66, Shift_Analysis!A:Z, 7, FALSE), "")</f>
        <v>2</v>
      </c>
      <c r="S66" s="123">
        <f>IFERROR(VLOOKUP(A66, Current_Stats!A:Z, 3, FALSE),"")</f>
        <v>16</v>
      </c>
    </row>
    <row r="67">
      <c r="A67" s="110" t="str">
        <f t="array" ref="A67">IFERROR(
  INDEX(Refined_Data!O:O, MATCH(B67, Refined_Data!A:A, FALSE)),
"")</f>
        <v>Melgar, Rafael</v>
      </c>
      <c r="B67" s="124" t="str">
        <f>Refined_Data!A65</f>
        <v>Melgar, Rafael</v>
      </c>
      <c r="C67" s="112" t="str">
        <f>IFERROR(VLOOKUP(B67, Refined_Data!A:Z, 4, FALSE), "")</f>
        <v>English</v>
      </c>
      <c r="D67" s="113" t="str">
        <f>IF(B67="","", IFERROR(VLOOKUP(B67, Refined_Data!A:Z, 5, FALSE), ""))</f>
        <v>Day</v>
      </c>
      <c r="E67" s="114">
        <f>IFERROR(VLOOKUP(B67, Refined_Data!A:Z, 3, FALSE),"")</f>
        <v>3</v>
      </c>
      <c r="F67" s="125" t="str">
        <f t="array" ref="F67">IF(B67="","",
  IFERROR(
    TEXTJOIN(", ", TRUE,
      IF(INDEX(Refined_Data!K:K, MATCH(B67, Refined_Data!A:A, 0))="Yes","SAFE",""),
      IF(INDEX(Refined_Data!L:L, MATCH(B67, Refined_Data!A:A, 0))="Yes","TRBLSHOOT",""),
      IF(INDEX(Refined_Data!M:M, MATCH(B67, Refined_Data!A:A, 0))="Yes","BMRC","")
    ),
  "")
)</f>
        <v/>
      </c>
      <c r="G67" s="126" t="str">
        <f>IFERROR(VLOOKUP(B67, Refined_Data!A:Z, 8, FALSE), "")</f>
        <v>M0174</v>
      </c>
      <c r="H67" s="126">
        <f>IFERROR(VLOOKUP(B67, Refined_Data!A:Z, 9, FALSE), "")</f>
        <v>100955719</v>
      </c>
      <c r="I67" s="126">
        <f>IFERROR(VLOOKUP(B67, Refined_Data!A:Z, 10, FALSE), "")</f>
        <v>1210691</v>
      </c>
      <c r="J67" s="127" t="str">
        <f>IFERROR(VLOOKUP(B67, Refined_Data!A:Z, 14, FALSE), "")</f>
        <v>Gillingham, Shelley</v>
      </c>
      <c r="K67" s="118" t="str">
        <f t="shared" si="1"/>
        <v>↓</v>
      </c>
      <c r="L67" s="119">
        <f>IFERROR(VLOOKUP(A67, Current_Stats!A:Z, 7, FALSE), "")</f>
        <v>0.528</v>
      </c>
      <c r="M67" s="119">
        <f>IFERROR(VLOOKUP(A67, Previous_Stats!A:Z, 7, FALSE), "")</f>
        <v>0.574</v>
      </c>
      <c r="N67" s="120" t="str">
        <f t="shared" si="2"/>
        <v>↑</v>
      </c>
      <c r="O67" s="119">
        <f>IFERROR(VLOOKUP(A67, Current_Stats!A:Z, 8, FALSE), "")</f>
        <v>0.472</v>
      </c>
      <c r="P67" s="119">
        <f>IFERROR(VLOOKUP(A67, Previous_Stats!A:Z, 8, FALSE), "")</f>
        <v>0.426</v>
      </c>
      <c r="Q67" s="112" t="str">
        <f>IFERROR(VLOOKUP(B67, Shift_Analysis!A:Z, 6, FALSE), "")</f>
        <v>1</v>
      </c>
      <c r="R67" s="114" t="str">
        <f>IFERROR(VLOOKUP(B67, Shift_Analysis!A:Z, 7, FALSE), "")</f>
        <v>1</v>
      </c>
      <c r="S67" s="123">
        <f>IFERROR(VLOOKUP(A67, Current_Stats!A:Z, 3, FALSE),"")</f>
        <v>12</v>
      </c>
    </row>
    <row r="68">
      <c r="A68" s="110" t="str">
        <f t="array" ref="A68">IFERROR(
  INDEX(Refined_Data!O:O, MATCH(B68, Refined_Data!A:A, FALSE)),
"")</f>
        <v>Miclisse-Polat, Lorenzo Misael</v>
      </c>
      <c r="B68" s="124" t="str">
        <f>Refined_Data!A67</f>
        <v>Miclisse-Polat, Lorenzo Misael</v>
      </c>
      <c r="C68" s="112" t="str">
        <f>IFERROR(VLOOKUP(B68, Refined_Data!A:Z, 4, FALSE), "")</f>
        <v>Bilingual-English</v>
      </c>
      <c r="D68" s="113" t="str">
        <f>IF(B68="","", IFERROR(VLOOKUP(B68, Refined_Data!A:Z, 5, FALSE), ""))</f>
        <v>Evening</v>
      </c>
      <c r="E68" s="114">
        <f>IFERROR(VLOOKUP(B68, Refined_Data!A:Z, 3, FALSE),"")</f>
        <v>4</v>
      </c>
      <c r="F68" s="125" t="str">
        <f t="array" ref="F68">IF(B68="","",
  IFERROR(
    TEXTJOIN(", ", TRUE,
      IF(INDEX(Refined_Data!K:K, MATCH(B68, Refined_Data!A:A, 0))="Yes","SAFE",""),
      IF(INDEX(Refined_Data!L:L, MATCH(B68, Refined_Data!A:A, 0))="Yes","TRBLSHOOT",""),
      IF(INDEX(Refined_Data!M:M, MATCH(B68, Refined_Data!A:A, 0))="Yes","BMRC","")
    ),
  "")
)</f>
        <v>SAFE</v>
      </c>
      <c r="G68" s="126" t="str">
        <f>IFERROR(VLOOKUP(B68, Refined_Data!A:Z, 8, FALSE), "")</f>
        <v>M0179</v>
      </c>
      <c r="H68" s="126">
        <f>IFERROR(VLOOKUP(B68, Refined_Data!A:Z, 9, FALSE), "")</f>
        <v>100998180</v>
      </c>
      <c r="I68" s="126">
        <f>IFERROR(VLOOKUP(B68, Refined_Data!A:Z, 10, FALSE), "")</f>
        <v>1060037</v>
      </c>
      <c r="J68" s="127" t="str">
        <f>IFERROR(VLOOKUP(B68, Refined_Data!A:Z, 14, FALSE), "")</f>
        <v>Rwano, Guy Fremin</v>
      </c>
      <c r="K68" s="118" t="str">
        <f t="shared" si="1"/>
        <v>↓</v>
      </c>
      <c r="L68" s="119">
        <f>IFERROR(VLOOKUP(A68, Current_Stats!A:Z, 7, FALSE), "")</f>
        <v>0.867</v>
      </c>
      <c r="M68" s="119">
        <f>IFERROR(VLOOKUP(A68, Previous_Stats!A:Z, 7, FALSE), "")</f>
        <v>0.909</v>
      </c>
      <c r="N68" s="120" t="str">
        <f t="shared" si="2"/>
        <v>↑</v>
      </c>
      <c r="O68" s="119">
        <f>IFERROR(VLOOKUP(A68, Current_Stats!A:Z, 8, FALSE), "")</f>
        <v>0.133</v>
      </c>
      <c r="P68" s="119">
        <f>IFERROR(VLOOKUP(A68, Previous_Stats!A:Z, 8, FALSE), "")</f>
        <v>0.091</v>
      </c>
      <c r="Q68" s="112" t="str">
        <f>IFERROR(VLOOKUP(B68, Shift_Analysis!A:Z, 6, FALSE), "")</f>
        <v>2</v>
      </c>
      <c r="R68" s="114" t="str">
        <f>IFERROR(VLOOKUP(B68, Shift_Analysis!A:Z, 7, FALSE), "")</f>
        <v>2</v>
      </c>
      <c r="S68" s="123">
        <f>IFERROR(VLOOKUP(A68, Current_Stats!A:Z, 3, FALSE),"")</f>
        <v>16</v>
      </c>
    </row>
    <row r="69">
      <c r="A69" s="110" t="str">
        <f t="array" ref="A69">IFERROR(
  INDEX(Refined_Data!O:O, MATCH(B69, Refined_Data!A:A, FALSE)),
"")</f>
        <v>Ndihokubwayo, Twahiba Kashe</v>
      </c>
      <c r="B69" s="124" t="str">
        <f>Refined_Data!A70</f>
        <v>Ndihokubwayo, Twahiba</v>
      </c>
      <c r="C69" s="112" t="str">
        <f>IFERROR(VLOOKUP(B69, Refined_Data!A:Z, 4, FALSE), "")</f>
        <v>Bilingual-English</v>
      </c>
      <c r="D69" s="113" t="str">
        <f>IF(B69="","", IFERROR(VLOOKUP(B69, Refined_Data!A:Z, 5, FALSE), ""))</f>
        <v>Evening</v>
      </c>
      <c r="E69" s="114">
        <f>IFERROR(VLOOKUP(B69, Refined_Data!A:Z, 3, FALSE),"")</f>
        <v>4</v>
      </c>
      <c r="F69" s="125" t="str">
        <f t="array" ref="F69">IF(B69="","",
  IFERROR(
    TEXTJOIN(", ", TRUE,
      IF(INDEX(Refined_Data!K:K, MATCH(B69, Refined_Data!A:A, 0))="Yes","SAFE",""),
      IF(INDEX(Refined_Data!L:L, MATCH(B69, Refined_Data!A:A, 0))="Yes","TRBLSHOOT",""),
      IF(INDEX(Refined_Data!M:M, MATCH(B69, Refined_Data!A:A, 0))="Yes","BMRC","")
    ),
  "")
)</f>
        <v/>
      </c>
      <c r="G69" s="126" t="str">
        <f>IFERROR(VLOOKUP(B69, Refined_Data!A:Z, 8, FALSE), "")</f>
        <v>M0186</v>
      </c>
      <c r="H69" s="126">
        <f>IFERROR(VLOOKUP(B69, Refined_Data!A:Z, 9, FALSE), "")</f>
        <v>100956501</v>
      </c>
      <c r="I69" s="126">
        <f>IFERROR(VLOOKUP(B69, Refined_Data!A:Z, 10, FALSE), "")</f>
        <v>1020683</v>
      </c>
      <c r="J69" s="127" t="str">
        <f>IFERROR(VLOOKUP(B69, Refined_Data!A:Z, 14, FALSE), "")</f>
        <v>Coghiel, Caren</v>
      </c>
      <c r="K69" s="118" t="str">
        <f t="shared" si="1"/>
        <v>↓</v>
      </c>
      <c r="L69" s="119">
        <f>IFERROR(VLOOKUP(A69, Current_Stats!A:Z, 7, FALSE), "")</f>
        <v>0.917</v>
      </c>
      <c r="M69" s="119">
        <f>IFERROR(VLOOKUP(A69, Previous_Stats!A:Z, 7, FALSE), "")</f>
        <v>0.96</v>
      </c>
      <c r="N69" s="120" t="str">
        <f t="shared" si="2"/>
        <v>↑</v>
      </c>
      <c r="O69" s="119">
        <f>IFERROR(VLOOKUP(A69, Current_Stats!A:Z, 8, FALSE), "")</f>
        <v>0.083</v>
      </c>
      <c r="P69" s="119">
        <f>IFERROR(VLOOKUP(A69, Previous_Stats!A:Z, 8, FALSE), "")</f>
        <v>0.04</v>
      </c>
      <c r="Q69" s="112" t="str">
        <f>IFERROR(VLOOKUP(B69, Shift_Analysis!A:Z, 6, FALSE), "")</f>
        <v>2</v>
      </c>
      <c r="R69" s="114" t="str">
        <f>IFERROR(VLOOKUP(B69, Shift_Analysis!A:Z, 7, FALSE), "")</f>
        <v>2</v>
      </c>
      <c r="S69" s="123">
        <f>IFERROR(VLOOKUP(A69, Current_Stats!A:Z, 3, FALSE),"")</f>
        <v>14</v>
      </c>
    </row>
    <row r="70" hidden="1">
      <c r="A70" s="110" t="str">
        <f t="array" ref="A70">IFERROR(
  INDEX(Refined_Data!O:O, MATCH(B70, Refined_Data!A:A, FALSE)),
"")</f>
        <v/>
      </c>
      <c r="B70" s="124" t="str">
        <f>Refined_Data!A73</f>
        <v>Nicholas (Nick) Grégoire</v>
      </c>
      <c r="C70" s="112" t="str">
        <f>IFERROR(VLOOKUP(B70, Refined_Data!A:Z, 4, FALSE), "")</f>
        <v>Bilingual-English</v>
      </c>
      <c r="D70" s="113" t="str">
        <f>IF(B70="","", IFERROR(VLOOKUP(B70, Refined_Data!A:Z, 5, FALSE), ""))</f>
        <v/>
      </c>
      <c r="E70" s="114" t="str">
        <f>IFERROR(VLOOKUP(B70, Refined_Data!A:Z, 3, FALSE),"")</f>
        <v>Trainee</v>
      </c>
      <c r="F70" s="125" t="str">
        <f t="array" ref="F70">IF(B70="","",
  IFERROR(
    TEXTJOIN(", ", TRUE,
      IF(INDEX(Refined_Data!K:K, MATCH(B70, Refined_Data!A:A, 0))="Yes","SAFE",""),
      IF(INDEX(Refined_Data!L:L, MATCH(B70, Refined_Data!A:A, 0))="Yes","TRBLSHOOT",""),
      IF(INDEX(Refined_Data!M:M, MATCH(B70, Refined_Data!A:A, 0))="Yes","BMRC","")
    ),
  "")
)</f>
        <v/>
      </c>
      <c r="G70" s="126" t="str">
        <f>IFERROR(VLOOKUP(B70, Refined_Data!A:Z, 8, FALSE), "")</f>
        <v/>
      </c>
      <c r="H70" s="126" t="str">
        <f>IFERROR(VLOOKUP(B70, Refined_Data!A:Z, 9, FALSE), "")</f>
        <v/>
      </c>
      <c r="I70" s="126">
        <f>IFERROR(VLOOKUP(B70, Refined_Data!A:Z, 10, FALSE), "")</f>
        <v>1060070</v>
      </c>
      <c r="J70" s="127" t="str">
        <f>IFERROR(VLOOKUP(B70, Refined_Data!A:Z, 14, FALSE), "")</f>
        <v>Diegue, Kerry</v>
      </c>
      <c r="K70" s="118" t="str">
        <f t="shared" si="1"/>
        <v/>
      </c>
      <c r="L70" s="119" t="str">
        <f>IFERROR(VLOOKUP(A70, Current_Stats!A:Z, 7, FALSE), "")</f>
        <v/>
      </c>
      <c r="M70" s="119" t="str">
        <f>IFERROR(VLOOKUP(A70, Previous_Stats!A:Z, 7, FALSE), "")</f>
        <v/>
      </c>
      <c r="N70" s="120" t="str">
        <f t="shared" si="2"/>
        <v/>
      </c>
      <c r="O70" s="119" t="str">
        <f>IFERROR(VLOOKUP(A70, Current_Stats!A:Z, 8, FALSE), "")</f>
        <v/>
      </c>
      <c r="P70" s="119" t="str">
        <f>IFERROR(VLOOKUP(A70, Previous_Stats!A:Z, 8, FALSE), "")</f>
        <v/>
      </c>
      <c r="Q70" s="112" t="str">
        <f>IFERROR(VLOOKUP(B70, Shift_Analysis!A:Z, 6, FALSE), "")</f>
        <v/>
      </c>
      <c r="R70" s="114" t="str">
        <f>IFERROR(VLOOKUP(B70, Shift_Analysis!A:Z, 7, FALSE), "")</f>
        <v/>
      </c>
      <c r="S70" s="123" t="str">
        <f>IFERROR(VLOOKUP(A70, Current_Stats!A:Z, 3, FALSE),"")</f>
        <v/>
      </c>
    </row>
    <row r="71">
      <c r="A71" s="110" t="str">
        <f t="array" ref="A71">IFERROR(
  INDEX(Refined_Data!O:O, MATCH(B71, Refined_Data!A:A, FALSE)),
"")</f>
        <v>Ouchchane, Myriam</v>
      </c>
      <c r="B71" s="124" t="str">
        <f>Refined_Data!A75</f>
        <v>Ouchchane, Myriam</v>
      </c>
      <c r="C71" s="112" t="str">
        <f>IFERROR(VLOOKUP(B71, Refined_Data!A:Z, 4, FALSE), "")</f>
        <v>Bilingual-French</v>
      </c>
      <c r="D71" s="113" t="str">
        <f>IF(B71="","", IFERROR(VLOOKUP(B71, Refined_Data!A:Z, 5, FALSE), ""))</f>
        <v>Night</v>
      </c>
      <c r="E71" s="114">
        <f>IFERROR(VLOOKUP(B71, Refined_Data!A:Z, 3, FALSE),"")</f>
        <v>4</v>
      </c>
      <c r="F71" s="125" t="str">
        <f t="array" ref="F71">IF(B71="","",
  IFERROR(
    TEXTJOIN(", ", TRUE,
      IF(INDEX(Refined_Data!K:K, MATCH(B71, Refined_Data!A:A, 0))="Yes","SAFE",""),
      IF(INDEX(Refined_Data!L:L, MATCH(B71, Refined_Data!A:A, 0))="Yes","TRBLSHOOT",""),
      IF(INDEX(Refined_Data!M:M, MATCH(B71, Refined_Data!A:A, 0))="Yes","BMRC","")
    ),
  "")
)</f>
        <v>SAFE, TRBLSHOOT, BMRC</v>
      </c>
      <c r="G71" s="126" t="str">
        <f>IFERROR(VLOOKUP(B71, Refined_Data!A:Z, 8, FALSE), "")</f>
        <v>M0191</v>
      </c>
      <c r="H71" s="126">
        <f>IFERROR(VLOOKUP(B71, Refined_Data!A:Z, 9, FALSE), "")</f>
        <v>100956393</v>
      </c>
      <c r="I71" s="126">
        <f>IFERROR(VLOOKUP(B71, Refined_Data!A:Z, 10, FALSE), "")</f>
        <v>1067172</v>
      </c>
      <c r="J71" s="127" t="str">
        <f>IFERROR(VLOOKUP(B71, Refined_Data!A:Z, 14, FALSE), "")</f>
        <v>Herrati, Houcine</v>
      </c>
      <c r="K71" s="118" t="str">
        <f t="shared" si="1"/>
        <v>↑</v>
      </c>
      <c r="L71" s="119">
        <f>IFERROR(VLOOKUP(A71, Current_Stats!A:Z, 7, FALSE), "")</f>
        <v>0.959</v>
      </c>
      <c r="M71" s="119">
        <f>IFERROR(VLOOKUP(A71, Previous_Stats!A:Z, 7, FALSE), "")</f>
        <v>0.954</v>
      </c>
      <c r="N71" s="120" t="str">
        <f t="shared" si="2"/>
        <v>↓</v>
      </c>
      <c r="O71" s="119">
        <f>IFERROR(VLOOKUP(A71, Current_Stats!A:Z, 8, FALSE), "")</f>
        <v>0.041</v>
      </c>
      <c r="P71" s="119">
        <f>IFERROR(VLOOKUP(A71, Previous_Stats!A:Z, 8, FALSE), "")</f>
        <v>0.046</v>
      </c>
      <c r="Q71" s="112" t="str">
        <f>IFERROR(VLOOKUP(B71, Shift_Analysis!A:Z, 6, FALSE), "")</f>
        <v>1</v>
      </c>
      <c r="R71" s="114" t="str">
        <f>IFERROR(VLOOKUP(B71, Shift_Analysis!A:Z, 7, FALSE), "")</f>
        <v>2</v>
      </c>
      <c r="S71" s="123">
        <f>IFERROR(VLOOKUP(A71, Current_Stats!A:Z, 3, FALSE),"")</f>
        <v>24</v>
      </c>
    </row>
    <row r="72">
      <c r="A72" s="110" t="str">
        <f t="array" ref="A72">IFERROR(
  INDEX(Refined_Data!O:O, MATCH(B72, Refined_Data!A:A, FALSE)),
"")</f>
        <v>Pandey, Mridula</v>
      </c>
      <c r="B72" s="124" t="str">
        <f>Refined_Data!A77</f>
        <v>Pandey, Mridula</v>
      </c>
      <c r="C72" s="112" t="str">
        <f>IFERROR(VLOOKUP(B72, Refined_Data!A:Z, 4, FALSE), "")</f>
        <v>English</v>
      </c>
      <c r="D72" s="113" t="str">
        <f>IF(B72="","", IFERROR(VLOOKUP(B72, Refined_Data!A:Z, 5, FALSE), ""))</f>
        <v>Day</v>
      </c>
      <c r="E72" s="114">
        <f>IFERROR(VLOOKUP(B72, Refined_Data!A:Z, 3, FALSE),"")</f>
        <v>2</v>
      </c>
      <c r="F72" s="125" t="str">
        <f t="array" ref="F72">IF(B72="","",
  IFERROR(
    TEXTJOIN(", ", TRUE,
      IF(INDEX(Refined_Data!K:K, MATCH(B72, Refined_Data!A:A, 0))="Yes","SAFE",""),
      IF(INDEX(Refined_Data!L:L, MATCH(B72, Refined_Data!A:A, 0))="Yes","TRBLSHOOT",""),
      IF(INDEX(Refined_Data!M:M, MATCH(B72, Refined_Data!A:A, 0))="Yes","BMRC","")
    ),
  "")
)</f>
        <v/>
      </c>
      <c r="G72" s="126" t="str">
        <f>IFERROR(VLOOKUP(B72, Refined_Data!A:Z, 8, FALSE), "")</f>
        <v>M0193</v>
      </c>
      <c r="H72" s="126">
        <f>IFERROR(VLOOKUP(B72, Refined_Data!A:Z, 9, FALSE), "")</f>
        <v>100956359</v>
      </c>
      <c r="I72" s="126">
        <f>IFERROR(VLOOKUP(B72, Refined_Data!A:Z, 10, FALSE), "")</f>
        <v>1066539</v>
      </c>
      <c r="J72" s="127" t="str">
        <f>IFERROR(VLOOKUP(B72, Refined_Data!A:Z, 14, FALSE), "")</f>
        <v>Gillingham, Shelley</v>
      </c>
      <c r="K72" s="118" t="str">
        <f t="shared" si="1"/>
        <v>↓</v>
      </c>
      <c r="L72" s="119">
        <f>IFERROR(VLOOKUP(A72, Current_Stats!A:Z, 7, FALSE), "")</f>
        <v>0.487</v>
      </c>
      <c r="M72" s="119">
        <f>IFERROR(VLOOKUP(A72, Previous_Stats!A:Z, 7, FALSE), "")</f>
        <v>0.528</v>
      </c>
      <c r="N72" s="120" t="str">
        <f t="shared" si="2"/>
        <v>↑</v>
      </c>
      <c r="O72" s="119">
        <f>IFERROR(VLOOKUP(A72, Current_Stats!A:Z, 8, FALSE), "")</f>
        <v>0.513</v>
      </c>
      <c r="P72" s="119">
        <f>IFERROR(VLOOKUP(A72, Previous_Stats!A:Z, 8, FALSE), "")</f>
        <v>0.472</v>
      </c>
      <c r="Q72" s="112" t="str">
        <f>IFERROR(VLOOKUP(B72, Shift_Analysis!A:Z, 6, FALSE), "")</f>
        <v>2</v>
      </c>
      <c r="R72" s="114" t="str">
        <f>IFERROR(VLOOKUP(B72, Shift_Analysis!A:Z, 7, FALSE), "")</f>
        <v>2</v>
      </c>
      <c r="S72" s="123">
        <f>IFERROR(VLOOKUP(A72, Current_Stats!A:Z, 3, FALSE),"")</f>
        <v>16</v>
      </c>
    </row>
    <row r="73">
      <c r="A73" s="110" t="str">
        <f t="array" ref="A73">IFERROR(
  INDEX(Refined_Data!O:O, MATCH(B73, Refined_Data!A:A, FALSE)),
"")</f>
        <v>Popovic, Jessica</v>
      </c>
      <c r="B73" s="124" t="str">
        <f>Refined_Data!A83</f>
        <v>Popovic, Jessica</v>
      </c>
      <c r="C73" s="112" t="str">
        <f>IFERROR(VLOOKUP(B73, Refined_Data!A:Z, 4, FALSE), "")</f>
        <v>Bilingual-English</v>
      </c>
      <c r="D73" s="113" t="str">
        <f>IF(B73="","", IFERROR(VLOOKUP(B73, Refined_Data!A:Z, 5, FALSE), ""))</f>
        <v>Night</v>
      </c>
      <c r="E73" s="114">
        <f>IFERROR(VLOOKUP(B73, Refined_Data!A:Z, 3, FALSE),"")</f>
        <v>4</v>
      </c>
      <c r="F73" s="125" t="str">
        <f t="array" ref="F73">IF(B73="","",
  IFERROR(
    TEXTJOIN(", ", TRUE,
      IF(INDEX(Refined_Data!K:K, MATCH(B73, Refined_Data!A:A, 0))="Yes","SAFE",""),
      IF(INDEX(Refined_Data!L:L, MATCH(B73, Refined_Data!A:A, 0))="Yes","TRBLSHOOT",""),
      IF(INDEX(Refined_Data!M:M, MATCH(B73, Refined_Data!A:A, 0))="Yes","BMRC","")
    ),
  "")
)</f>
        <v>SAFE, BMRC</v>
      </c>
      <c r="G73" s="126" t="str">
        <f>IFERROR(VLOOKUP(B73, Refined_Data!A:Z, 8, FALSE), "")</f>
        <v>M0016</v>
      </c>
      <c r="H73" s="126">
        <f>IFERROR(VLOOKUP(B73, Refined_Data!A:Z, 9, FALSE), "")</f>
        <v>100998426</v>
      </c>
      <c r="I73" s="126">
        <f>IFERROR(VLOOKUP(B73, Refined_Data!A:Z, 10, FALSE), "")</f>
        <v>1060036</v>
      </c>
      <c r="J73" s="127" t="str">
        <f>IFERROR(VLOOKUP(B73, Refined_Data!A:Z, 14, FALSE), "")</f>
        <v>Herrati, Houcine</v>
      </c>
      <c r="K73" s="118" t="str">
        <f t="shared" si="1"/>
        <v>↓</v>
      </c>
      <c r="L73" s="119">
        <f>IFERROR(VLOOKUP(A73, Current_Stats!A:Z, 7, FALSE), "")</f>
        <v>0.823</v>
      </c>
      <c r="M73" s="119">
        <f>IFERROR(VLOOKUP(A73, Previous_Stats!A:Z, 7, FALSE), "")</f>
        <v>0.887</v>
      </c>
      <c r="N73" s="120" t="str">
        <f t="shared" si="2"/>
        <v>↑</v>
      </c>
      <c r="O73" s="119">
        <f>IFERROR(VLOOKUP(A73, Current_Stats!A:Z, 8, FALSE), "")</f>
        <v>0.177</v>
      </c>
      <c r="P73" s="119">
        <f>IFERROR(VLOOKUP(A73, Previous_Stats!A:Z, 8, FALSE), "")</f>
        <v>0.113</v>
      </c>
      <c r="Q73" s="112" t="str">
        <f>IFERROR(VLOOKUP(B73, Shift_Analysis!A:Z, 6, FALSE), "")</f>
        <v>2</v>
      </c>
      <c r="R73" s="114" t="str">
        <f>IFERROR(VLOOKUP(B73, Shift_Analysis!A:Z, 7, FALSE), "")</f>
        <v>3</v>
      </c>
      <c r="S73" s="123">
        <f>IFERROR(VLOOKUP(A73, Current_Stats!A:Z, 3, FALSE),"")</f>
        <v>16</v>
      </c>
    </row>
    <row r="74">
      <c r="A74" s="110" t="str">
        <f t="array" ref="A74">IFERROR(
  INDEX(Refined_Data!O:O, MATCH(B74, Refined_Data!A:A, FALSE)),
"")</f>
        <v>Rebelo-Bayle, Antoine</v>
      </c>
      <c r="B74" s="124" t="str">
        <f>Refined_Data!A87</f>
        <v>Rebelo-Bayle, Antoine</v>
      </c>
      <c r="C74" s="112" t="str">
        <f>IFERROR(VLOOKUP(B74, Refined_Data!A:Z, 4, FALSE), "")</f>
        <v>Bilingual-French</v>
      </c>
      <c r="D74" s="113" t="str">
        <f>IF(B74="","", IFERROR(VLOOKUP(B74, Refined_Data!A:Z, 5, FALSE), ""))</f>
        <v>Evening</v>
      </c>
      <c r="E74" s="114">
        <f>IFERROR(VLOOKUP(B74, Refined_Data!A:Z, 3, FALSE),"")</f>
        <v>2</v>
      </c>
      <c r="F74" s="125" t="str">
        <f t="array" ref="F74">IF(B74="","",
  IFERROR(
    TEXTJOIN(", ", TRUE,
      IF(INDEX(Refined_Data!K:K, MATCH(B74, Refined_Data!A:A, 0))="Yes","SAFE",""),
      IF(INDEX(Refined_Data!L:L, MATCH(B74, Refined_Data!A:A, 0))="Yes","TRBLSHOOT",""),
      IF(INDEX(Refined_Data!M:M, MATCH(B74, Refined_Data!A:A, 0))="Yes","BMRC","")
    ),
  "")
)</f>
        <v/>
      </c>
      <c r="G74" s="126" t="str">
        <f>IFERROR(VLOOKUP(B74, Refined_Data!A:Z, 8, FALSE), "")</f>
        <v>M0206</v>
      </c>
      <c r="H74" s="126">
        <f>IFERROR(VLOOKUP(B74, Refined_Data!A:Z, 9, FALSE), "")</f>
        <v>100996383</v>
      </c>
      <c r="I74" s="126">
        <f>IFERROR(VLOOKUP(B74, Refined_Data!A:Z, 10, FALSE), "")</f>
        <v>1060017</v>
      </c>
      <c r="J74" s="127" t="str">
        <f>IFERROR(VLOOKUP(B74, Refined_Data!A:Z, 14, FALSE), "")</f>
        <v>Rwano, Guy Fremin</v>
      </c>
      <c r="K74" s="118" t="str">
        <f t="shared" si="1"/>
        <v>↑</v>
      </c>
      <c r="L74" s="119">
        <f>IFERROR(VLOOKUP(A74, Current_Stats!A:Z, 7, FALSE), "")</f>
        <v>0.283</v>
      </c>
      <c r="M74" s="119">
        <f>IFERROR(VLOOKUP(A74, Previous_Stats!A:Z, 7, FALSE), "")</f>
        <v>0.236</v>
      </c>
      <c r="N74" s="120" t="str">
        <f t="shared" si="2"/>
        <v>↓</v>
      </c>
      <c r="O74" s="119">
        <f>IFERROR(VLOOKUP(A74, Current_Stats!A:Z, 8, FALSE), "")</f>
        <v>0.717</v>
      </c>
      <c r="P74" s="119">
        <f>IFERROR(VLOOKUP(A74, Previous_Stats!A:Z, 8, FALSE), "")</f>
        <v>0.764</v>
      </c>
      <c r="Q74" s="112" t="str">
        <f>IFERROR(VLOOKUP(B74, Shift_Analysis!A:Z, 6, FALSE), "")</f>
        <v>1</v>
      </c>
      <c r="R74" s="114" t="str">
        <f>IFERROR(VLOOKUP(B74, Shift_Analysis!A:Z, 7, FALSE), "")</f>
        <v>1</v>
      </c>
      <c r="S74" s="123">
        <f>IFERROR(VLOOKUP(A74, Current_Stats!A:Z, 3, FALSE),"")</f>
        <v>16</v>
      </c>
    </row>
    <row r="75">
      <c r="A75" s="110" t="str">
        <f t="array" ref="A75">IFERROR(
  INDEX(Refined_Data!O:O, MATCH(B75, Refined_Data!A:A, FALSE)),
"")</f>
        <v>Sanon, Shana Geralda</v>
      </c>
      <c r="B75" s="124" t="str">
        <f>Refined_Data!A90</f>
        <v>Sanon, Shana</v>
      </c>
      <c r="C75" s="112" t="str">
        <f>IFERROR(VLOOKUP(B75, Refined_Data!A:Z, 4, FALSE), "")</f>
        <v>Bilingual-French</v>
      </c>
      <c r="D75" s="113" t="str">
        <f>IF(B75="","", IFERROR(VLOOKUP(B75, Refined_Data!A:Z, 5, FALSE), ""))</f>
        <v>Day</v>
      </c>
      <c r="E75" s="114">
        <f>IFERROR(VLOOKUP(B75, Refined_Data!A:Z, 3, FALSE),"")</f>
        <v>4</v>
      </c>
      <c r="F75" s="125" t="str">
        <f t="array" ref="F75">IF(B75="","",
  IFERROR(
    TEXTJOIN(", ", TRUE,
      IF(INDEX(Refined_Data!K:K, MATCH(B75, Refined_Data!A:A, 0))="Yes","SAFE",""),
      IF(INDEX(Refined_Data!L:L, MATCH(B75, Refined_Data!A:A, 0))="Yes","TRBLSHOOT",""),
      IF(INDEX(Refined_Data!M:M, MATCH(B75, Refined_Data!A:A, 0))="Yes","BMRC","")
    ),
  "")
)</f>
        <v/>
      </c>
      <c r="G75" s="126" t="str">
        <f>IFERROR(VLOOKUP(B75, Refined_Data!A:Z, 8, FALSE), "")</f>
        <v>M0216</v>
      </c>
      <c r="H75" s="126">
        <f>IFERROR(VLOOKUP(B75, Refined_Data!A:Z, 9, FALSE), "")</f>
        <v>100956395</v>
      </c>
      <c r="I75" s="126">
        <f>IFERROR(VLOOKUP(B75, Refined_Data!A:Z, 10, FALSE), "")</f>
        <v>1067177</v>
      </c>
      <c r="J75" s="127" t="str">
        <f>IFERROR(VLOOKUP(B75, Refined_Data!A:Z, 14, FALSE), "")</f>
        <v>Kollias, Peter</v>
      </c>
      <c r="K75" s="118" t="str">
        <f t="shared" si="1"/>
        <v>↑</v>
      </c>
      <c r="L75" s="119">
        <f>IFERROR(VLOOKUP(A75, Current_Stats!A:Z, 7, FALSE), "")</f>
        <v>0.602</v>
      </c>
      <c r="M75" s="119">
        <f>IFERROR(VLOOKUP(A75, Previous_Stats!A:Z, 7, FALSE), "")</f>
        <v>0.597</v>
      </c>
      <c r="N75" s="120" t="str">
        <f t="shared" si="2"/>
        <v>↓</v>
      </c>
      <c r="O75" s="119">
        <f>IFERROR(VLOOKUP(A75, Current_Stats!A:Z, 8, FALSE), "")</f>
        <v>0.398</v>
      </c>
      <c r="P75" s="119">
        <f>IFERROR(VLOOKUP(A75, Previous_Stats!A:Z, 8, FALSE), "")</f>
        <v>0.403</v>
      </c>
      <c r="Q75" s="112" t="str">
        <f>IFERROR(VLOOKUP(B75, Shift_Analysis!A:Z, 6, FALSE), "")</f>
        <v>2</v>
      </c>
      <c r="R75" s="114" t="str">
        <f>IFERROR(VLOOKUP(B75, Shift_Analysis!A:Z, 7, FALSE), "")</f>
        <v>2</v>
      </c>
      <c r="S75" s="123">
        <f>IFERROR(VLOOKUP(A75, Current_Stats!A:Z, 3, FALSE),"")</f>
        <v>19</v>
      </c>
    </row>
    <row r="76">
      <c r="A76" s="110" t="str">
        <f t="array" ref="A76">IFERROR(
  INDEX(Refined_Data!O:O, MATCH(B76, Refined_Data!A:A, FALSE)),
"")</f>
        <v>Aidoud, Nabil</v>
      </c>
      <c r="B76" s="124" t="str">
        <f>Refined_Data!A4</f>
        <v>Aidoud, Nabil</v>
      </c>
      <c r="C76" s="112" t="str">
        <f>IFERROR(VLOOKUP(B76, Refined_Data!A:Z, 4, FALSE), "")</f>
        <v>Bilingual-French</v>
      </c>
      <c r="D76" s="113" t="str">
        <f>IF(B76="","", IFERROR(VLOOKUP(B76, Refined_Data!A:Z, 5, FALSE), ""))</f>
        <v>Day</v>
      </c>
      <c r="E76" s="114">
        <f>IFERROR(VLOOKUP(B76, Refined_Data!A:Z, 3, FALSE),"")</f>
        <v>4</v>
      </c>
      <c r="F76" s="125" t="str">
        <f t="array" ref="F76">IF(B76="","",
  IFERROR(
    TEXTJOIN(", ", TRUE,
      IF(INDEX(Refined_Data!K:K, MATCH(B76, Refined_Data!A:A, 0))="Yes","SAFE",""),
      IF(INDEX(Refined_Data!L:L, MATCH(B76, Refined_Data!A:A, 0))="Yes","TRBLSHOOT",""),
      IF(INDEX(Refined_Data!M:M, MATCH(B76, Refined_Data!A:A, 0))="Yes","BMRC","")
    ),
  "")
)</f>
        <v>SAFE, TRBLSHOOT</v>
      </c>
      <c r="G76" s="126" t="str">
        <f>IFERROR(VLOOKUP(B76, Refined_Data!A:Z, 8, FALSE), "")</f>
        <v>M0064</v>
      </c>
      <c r="H76" s="126">
        <f>IFERROR(VLOOKUP(B76, Refined_Data!A:Z, 9, FALSE), "")</f>
        <v>100955715</v>
      </c>
      <c r="I76" s="126">
        <f>IFERROR(VLOOKUP(B76, Refined_Data!A:Z, 10, FALSE), "")</f>
        <v>1062011</v>
      </c>
      <c r="J76" s="127" t="str">
        <f>IFERROR(VLOOKUP(B76, Refined_Data!A:Z, 14, FALSE), "")</f>
        <v>Dhindsa, Sukhjinder</v>
      </c>
      <c r="K76" s="118" t="str">
        <f t="shared" si="1"/>
        <v>↑</v>
      </c>
      <c r="L76" s="119">
        <f>IFERROR(VLOOKUP(A76, Current_Stats!A:Z, 7, FALSE), "")</f>
        <v>0.803</v>
      </c>
      <c r="M76" s="119">
        <f>IFERROR(VLOOKUP(A76, Previous_Stats!A:Z, 7, FALSE), "")</f>
        <v>0.699</v>
      </c>
      <c r="N76" s="120" t="str">
        <f t="shared" si="2"/>
        <v>↓</v>
      </c>
      <c r="O76" s="119">
        <f>IFERROR(VLOOKUP(A76, Current_Stats!A:Z, 8, FALSE), "")</f>
        <v>0.197</v>
      </c>
      <c r="P76" s="119">
        <f>IFERROR(VLOOKUP(A76, Previous_Stats!A:Z, 8, FALSE), "")</f>
        <v>0.301</v>
      </c>
      <c r="Q76" s="112" t="str">
        <f>IFERROR(VLOOKUP(B76, Shift_Analysis!A:Z, 6, FALSE), "")</f>
        <v>2</v>
      </c>
      <c r="R76" s="114" t="str">
        <f>IFERROR(VLOOKUP(B76, Shift_Analysis!A:Z, 7, FALSE), "")</f>
        <v>2</v>
      </c>
      <c r="S76" s="123">
        <f>IFERROR(VLOOKUP(A76, Current_Stats!A:Z, 3, FALSE),"")</f>
        <v>14</v>
      </c>
    </row>
    <row r="77">
      <c r="A77" s="110" t="str">
        <f t="array" ref="A77">IFERROR(
  INDEX(Refined_Data!O:O, MATCH(B77, Refined_Data!A:A, FALSE)),
"")</f>
        <v>Audet, Dominic</v>
      </c>
      <c r="B77" s="124" t="str">
        <f>Refined_Data!A7</f>
        <v>Audet, Dominic</v>
      </c>
      <c r="C77" s="112" t="str">
        <f>IFERROR(VLOOKUP(B77, Refined_Data!A:Z, 4, FALSE), "")</f>
        <v>French</v>
      </c>
      <c r="D77" s="113" t="str">
        <f>IF(B77="","", IFERROR(VLOOKUP(B77, Refined_Data!A:Z, 5, FALSE), ""))</f>
        <v>Evening</v>
      </c>
      <c r="E77" s="114">
        <f>IFERROR(VLOOKUP(B77, Refined_Data!A:Z, 3, FALSE),"")</f>
        <v>4</v>
      </c>
      <c r="F77" s="125" t="str">
        <f t="array" ref="F77">IF(B77="","",
  IFERROR(
    TEXTJOIN(", ", TRUE,
      IF(INDEX(Refined_Data!K:K, MATCH(B77, Refined_Data!A:A, 0))="Yes","SAFE",""),
      IF(INDEX(Refined_Data!L:L, MATCH(B77, Refined_Data!A:A, 0))="Yes","TRBLSHOOT",""),
      IF(INDEX(Refined_Data!M:M, MATCH(B77, Refined_Data!A:A, 0))="Yes","BMRC","")
    ),
  "")
)</f>
        <v>TRBLSHOOT</v>
      </c>
      <c r="G77" s="126" t="str">
        <f>IFERROR(VLOOKUP(B77, Refined_Data!A:Z, 8, FALSE), "")</f>
        <v>M0068</v>
      </c>
      <c r="H77" s="126">
        <f>IFERROR(VLOOKUP(B77, Refined_Data!A:Z, 9, FALSE), "")</f>
        <v>100996384</v>
      </c>
      <c r="I77" s="126">
        <f>IFERROR(VLOOKUP(B77, Refined_Data!A:Z, 10, FALSE), "")</f>
        <v>1060018</v>
      </c>
      <c r="J77" s="127" t="str">
        <f>IFERROR(VLOOKUP(B77, Refined_Data!A:Z, 14, FALSE), "")</f>
        <v>Diegue, Kerry</v>
      </c>
      <c r="K77" s="118" t="str">
        <f t="shared" si="1"/>
        <v>↑</v>
      </c>
      <c r="L77" s="119">
        <f>IFERROR(VLOOKUP(A77, Current_Stats!A:Z, 7, FALSE), "")</f>
        <v>0.921</v>
      </c>
      <c r="M77" s="119">
        <f>IFERROR(VLOOKUP(A77, Previous_Stats!A:Z, 7, FALSE), "")</f>
        <v>0.906</v>
      </c>
      <c r="N77" s="120" t="str">
        <f t="shared" si="2"/>
        <v>↓</v>
      </c>
      <c r="O77" s="119">
        <f>IFERROR(VLOOKUP(A77, Current_Stats!A:Z, 8, FALSE), "")</f>
        <v>0.079</v>
      </c>
      <c r="P77" s="119">
        <f>IFERROR(VLOOKUP(A77, Previous_Stats!A:Z, 8, FALSE), "")</f>
        <v>0.094</v>
      </c>
      <c r="Q77" s="112" t="str">
        <f>IFERROR(VLOOKUP(B77, Shift_Analysis!A:Z, 6, FALSE), "")</f>
        <v>2</v>
      </c>
      <c r="R77" s="114" t="str">
        <f>IFERROR(VLOOKUP(B77, Shift_Analysis!A:Z, 7, FALSE), "")</f>
        <v>2</v>
      </c>
      <c r="S77" s="123">
        <f>IFERROR(VLOOKUP(A77, Current_Stats!A:Z, 3, FALSE),"")</f>
        <v>22</v>
      </c>
    </row>
    <row r="78">
      <c r="A78" s="110" t="str">
        <f t="array" ref="A78">IFERROR(
  INDEX(Refined_Data!O:O, MATCH(B78, Refined_Data!A:A, FALSE)),
"")</f>
        <v>Bercier, France</v>
      </c>
      <c r="B78" s="124" t="str">
        <f>Refined_Data!A10</f>
        <v>Bercier, France</v>
      </c>
      <c r="C78" s="112" t="str">
        <f>IFERROR(VLOOKUP(B78, Refined_Data!A:Z, 4, FALSE), "")</f>
        <v>Bilingual-French</v>
      </c>
      <c r="D78" s="113" t="str">
        <f>IF(B78="","", IFERROR(VLOOKUP(B78, Refined_Data!A:Z, 5, FALSE), ""))</f>
        <v>Day</v>
      </c>
      <c r="E78" s="114">
        <f>IFERROR(VLOOKUP(B78, Refined_Data!A:Z, 3, FALSE),"")</f>
        <v>4</v>
      </c>
      <c r="F78" s="125" t="str">
        <f t="array" ref="F78">IF(B78="","",
  IFERROR(
    TEXTJOIN(", ", TRUE,
      IF(INDEX(Refined_Data!K:K, MATCH(B78, Refined_Data!A:A, 0))="Yes","SAFE",""),
      IF(INDEX(Refined_Data!L:L, MATCH(B78, Refined_Data!A:A, 0))="Yes","TRBLSHOOT",""),
      IF(INDEX(Refined_Data!M:M, MATCH(B78, Refined_Data!A:A, 0))="Yes","BMRC","")
    ),
  "")
)</f>
        <v>SAFE</v>
      </c>
      <c r="G78" s="126" t="str">
        <f>IFERROR(VLOOKUP(B78, Refined_Data!A:Z, 8, FALSE), "")</f>
        <v>M0075</v>
      </c>
      <c r="H78" s="126">
        <f>IFERROR(VLOOKUP(B78, Refined_Data!A:Z, 9, FALSE), "")</f>
        <v>100956514</v>
      </c>
      <c r="I78" s="126">
        <f>IFERROR(VLOOKUP(B78, Refined_Data!A:Z, 10, FALSE), "")</f>
        <v>1062436</v>
      </c>
      <c r="J78" s="127" t="str">
        <f>IFERROR(VLOOKUP(B78, Refined_Data!A:Z, 14, FALSE), "")</f>
        <v>Rwano, Guy Fremin</v>
      </c>
      <c r="K78" s="118" t="str">
        <f t="shared" si="1"/>
        <v>↓</v>
      </c>
      <c r="L78" s="119">
        <f>IFERROR(VLOOKUP(A78, Current_Stats!A:Z, 7, FALSE), "")</f>
        <v>0.546</v>
      </c>
      <c r="M78" s="119">
        <f>IFERROR(VLOOKUP(A78, Previous_Stats!A:Z, 7, FALSE), "")</f>
        <v>0.625</v>
      </c>
      <c r="N78" s="120" t="str">
        <f t="shared" si="2"/>
        <v>↑</v>
      </c>
      <c r="O78" s="119">
        <f>IFERROR(VLOOKUP(A78, Current_Stats!A:Z, 8, FALSE), "")</f>
        <v>0.454</v>
      </c>
      <c r="P78" s="119">
        <f>IFERROR(VLOOKUP(A78, Previous_Stats!A:Z, 8, FALSE), "")</f>
        <v>0.375</v>
      </c>
      <c r="Q78" s="112" t="str">
        <f>IFERROR(VLOOKUP(B78, Shift_Analysis!A:Z, 6, FALSE), "")</f>
        <v>1</v>
      </c>
      <c r="R78" s="114" t="str">
        <f>IFERROR(VLOOKUP(B78, Shift_Analysis!A:Z, 7, FALSE), "")</f>
        <v>1</v>
      </c>
      <c r="S78" s="123">
        <f>IFERROR(VLOOKUP(A78, Current_Stats!A:Z, 3, FALSE),"")</f>
        <v>12</v>
      </c>
    </row>
    <row r="79" hidden="1">
      <c r="A79" s="110" t="str">
        <f t="array" ref="A79">IFERROR(
  INDEX(Refined_Data!O:O, MATCH(B79, Refined_Data!A:A, FALSE)),
"")</f>
        <v/>
      </c>
      <c r="B79" s="124" t="str">
        <f>Refined_Data!A14</f>
        <v>Carl-Luigi Pierre</v>
      </c>
      <c r="C79" s="112" t="str">
        <f>IFERROR(VLOOKUP(B79, Refined_Data!A:Z, 4, FALSE), "")</f>
        <v>Bilingual-French</v>
      </c>
      <c r="D79" s="113" t="str">
        <f>IF(B79="","", IFERROR(VLOOKUP(B79, Refined_Data!A:Z, 5, FALSE), ""))</f>
        <v/>
      </c>
      <c r="E79" s="114" t="str">
        <f>IFERROR(VLOOKUP(B79, Refined_Data!A:Z, 3, FALSE),"")</f>
        <v>Trainee</v>
      </c>
      <c r="F79" s="125" t="str">
        <f t="array" ref="F79">IF(B79="","",
  IFERROR(
    TEXTJOIN(", ", TRUE,
      IF(INDEX(Refined_Data!K:K, MATCH(B79, Refined_Data!A:A, 0))="Yes","SAFE",""),
      IF(INDEX(Refined_Data!L:L, MATCH(B79, Refined_Data!A:A, 0))="Yes","TRBLSHOOT",""),
      IF(INDEX(Refined_Data!M:M, MATCH(B79, Refined_Data!A:A, 0))="Yes","BMRC","")
    ),
  "")
)</f>
        <v/>
      </c>
      <c r="G79" s="126" t="str">
        <f>IFERROR(VLOOKUP(B79, Refined_Data!A:Z, 8, FALSE), "")</f>
        <v/>
      </c>
      <c r="H79" s="126" t="str">
        <f>IFERROR(VLOOKUP(B79, Refined_Data!A:Z, 9, FALSE), "")</f>
        <v/>
      </c>
      <c r="I79" s="126">
        <f>IFERROR(VLOOKUP(B79, Refined_Data!A:Z, 10, FALSE), "")</f>
        <v>1060068</v>
      </c>
      <c r="J79" s="127" t="str">
        <f>IFERROR(VLOOKUP(B79, Refined_Data!A:Z, 14, FALSE), "")</f>
        <v>Diegue, Kerry</v>
      </c>
      <c r="K79" s="118" t="str">
        <f t="shared" si="1"/>
        <v/>
      </c>
      <c r="L79" s="119" t="str">
        <f>IFERROR(VLOOKUP(A79, Current_Stats!A:Z, 7, FALSE), "")</f>
        <v/>
      </c>
      <c r="M79" s="119" t="str">
        <f>IFERROR(VLOOKUP(A79, Previous_Stats!A:Z, 7, FALSE), "")</f>
        <v/>
      </c>
      <c r="N79" s="120" t="str">
        <f t="shared" si="2"/>
        <v/>
      </c>
      <c r="O79" s="119" t="str">
        <f>IFERROR(VLOOKUP(A79, Current_Stats!A:Z, 8, FALSE), "")</f>
        <v/>
      </c>
      <c r="P79" s="119" t="str">
        <f>IFERROR(VLOOKUP(A79, Previous_Stats!A:Z, 8, FALSE), "")</f>
        <v/>
      </c>
      <c r="Q79" s="112" t="str">
        <f>IFERROR(VLOOKUP(B79, Shift_Analysis!A:Z, 6, FALSE), "")</f>
        <v/>
      </c>
      <c r="R79" s="114" t="str">
        <f>IFERROR(VLOOKUP(B79, Shift_Analysis!A:Z, 7, FALSE), "")</f>
        <v/>
      </c>
      <c r="S79" s="123" t="str">
        <f>IFERROR(VLOOKUP(A79, Current_Stats!A:Z, 3, FALSE),"")</f>
        <v/>
      </c>
    </row>
    <row r="80">
      <c r="A80" s="110" t="str">
        <f t="array" ref="A80">IFERROR(
  INDEX(Refined_Data!O:O, MATCH(B80, Refined_Data!A:A, FALSE)),
"")</f>
        <v>Desjardins, Lucie</v>
      </c>
      <c r="B80" s="124" t="str">
        <f>Refined_Data!A25</f>
        <v>Desjardins, Lucie</v>
      </c>
      <c r="C80" s="112" t="str">
        <f>IFERROR(VLOOKUP(B80, Refined_Data!A:Z, 4, FALSE), "")</f>
        <v>Bilingual-French</v>
      </c>
      <c r="D80" s="113" t="str">
        <f>IF(B80="","", IFERROR(VLOOKUP(B80, Refined_Data!A:Z, 5, FALSE), ""))</f>
        <v>Day</v>
      </c>
      <c r="E80" s="114">
        <f>IFERROR(VLOOKUP(B80, Refined_Data!A:Z, 3, FALSE),"")</f>
        <v>4</v>
      </c>
      <c r="F80" s="125" t="str">
        <f t="array" ref="F80">IF(B80="","",
  IFERROR(
    TEXTJOIN(", ", TRUE,
      IF(INDEX(Refined_Data!K:K, MATCH(B80, Refined_Data!A:A, 0))="Yes","SAFE",""),
      IF(INDEX(Refined_Data!L:L, MATCH(B80, Refined_Data!A:A, 0))="Yes","TRBLSHOOT",""),
      IF(INDEX(Refined_Data!M:M, MATCH(B80, Refined_Data!A:A, 0))="Yes","BMRC","")
    ),
  "")
)</f>
        <v/>
      </c>
      <c r="G80" s="126" t="str">
        <f>IFERROR(VLOOKUP(B80, Refined_Data!A:Z, 8, FALSE), "")</f>
        <v>M0100</v>
      </c>
      <c r="H80" s="126">
        <f>IFERROR(VLOOKUP(B80, Refined_Data!A:Z, 9, FALSE), "")</f>
        <v>100956365</v>
      </c>
      <c r="I80" s="126">
        <f>IFERROR(VLOOKUP(B80, Refined_Data!A:Z, 10, FALSE), "")</f>
        <v>1066097</v>
      </c>
      <c r="J80" s="127" t="str">
        <f>IFERROR(VLOOKUP(B80, Refined_Data!A:Z, 14, FALSE), "")</f>
        <v>Kollias, Peter</v>
      </c>
      <c r="K80" s="118" t="str">
        <f t="shared" si="1"/>
        <v>↓</v>
      </c>
      <c r="L80" s="119">
        <f>IFERROR(VLOOKUP(A80, Current_Stats!A:Z, 7, FALSE), "")</f>
        <v>0.887</v>
      </c>
      <c r="M80" s="119">
        <f>IFERROR(VLOOKUP(A80, Previous_Stats!A:Z, 7, FALSE), "")</f>
        <v>0.936</v>
      </c>
      <c r="N80" s="120" t="str">
        <f t="shared" si="2"/>
        <v>↑</v>
      </c>
      <c r="O80" s="119">
        <f>IFERROR(VLOOKUP(A80, Current_Stats!A:Z, 8, FALSE), "")</f>
        <v>0.113</v>
      </c>
      <c r="P80" s="119">
        <f>IFERROR(VLOOKUP(A80, Previous_Stats!A:Z, 8, FALSE), "")</f>
        <v>0.064</v>
      </c>
      <c r="Q80" s="112" t="str">
        <f>IFERROR(VLOOKUP(B80, Shift_Analysis!A:Z, 6, FALSE), "")</f>
        <v>1</v>
      </c>
      <c r="R80" s="114" t="str">
        <f>IFERROR(VLOOKUP(B80, Shift_Analysis!A:Z, 7, FALSE), "")</f>
        <v>1</v>
      </c>
      <c r="S80" s="123">
        <f>IFERROR(VLOOKUP(A80, Current_Stats!A:Z, 3, FALSE),"")</f>
        <v>19</v>
      </c>
    </row>
    <row r="81">
      <c r="A81" s="110" t="str">
        <f t="array" ref="A81">IFERROR(
  INDEX(Refined_Data!O:O, MATCH(B81, Refined_Data!A:A, FALSE)),
"")</f>
        <v>El Hafsi, Hamza</v>
      </c>
      <c r="B81" s="124" t="str">
        <f>Refined_Data!A29</f>
        <v>El Hafsi, Hamza</v>
      </c>
      <c r="C81" s="112" t="str">
        <f>IFERROR(VLOOKUP(B81, Refined_Data!A:Z, 4, FALSE), "")</f>
        <v>French</v>
      </c>
      <c r="D81" s="113" t="str">
        <f>IF(B81="","", IFERROR(VLOOKUP(B81, Refined_Data!A:Z, 5, FALSE), ""))</f>
        <v>Night</v>
      </c>
      <c r="E81" s="114">
        <f>IFERROR(VLOOKUP(B81, Refined_Data!A:Z, 3, FALSE),"")</f>
        <v>2</v>
      </c>
      <c r="F81" s="125" t="str">
        <f t="array" ref="F81">IF(B81="","",
  IFERROR(
    TEXTJOIN(", ", TRUE,
      IF(INDEX(Refined_Data!K:K, MATCH(B81, Refined_Data!A:A, 0))="Yes","SAFE",""),
      IF(INDEX(Refined_Data!L:L, MATCH(B81, Refined_Data!A:A, 0))="Yes","TRBLSHOOT",""),
      IF(INDEX(Refined_Data!M:M, MATCH(B81, Refined_Data!A:A, 0))="Yes","BMRC","")
    ),
  "")
)</f>
        <v/>
      </c>
      <c r="G81" s="126" t="str">
        <f>IFERROR(VLOOKUP(B81, Refined_Data!A:Z, 8, FALSE), "")</f>
        <v>M0109</v>
      </c>
      <c r="H81" s="126">
        <f>IFERROR(VLOOKUP(B81, Refined_Data!A:Z, 9, FALSE), "")</f>
        <v>100996928</v>
      </c>
      <c r="I81" s="126">
        <f>IFERROR(VLOOKUP(B81, Refined_Data!A:Z, 10, FALSE), "")</f>
        <v>1060028</v>
      </c>
      <c r="J81" s="127" t="str">
        <f>IFERROR(VLOOKUP(B81, Refined_Data!A:Z, 14, FALSE), "")</f>
        <v>Diegue, Kerry</v>
      </c>
      <c r="K81" s="118" t="str">
        <f t="shared" si="1"/>
        <v>↑</v>
      </c>
      <c r="L81" s="119">
        <f>IFERROR(VLOOKUP(A81, Current_Stats!A:Z, 7, FALSE), "")</f>
        <v>0.415</v>
      </c>
      <c r="M81" s="119">
        <f>IFERROR(VLOOKUP(A81, Previous_Stats!A:Z, 7, FALSE), "")</f>
        <v>0.397</v>
      </c>
      <c r="N81" s="120" t="str">
        <f t="shared" si="2"/>
        <v>↓</v>
      </c>
      <c r="O81" s="119">
        <f>IFERROR(VLOOKUP(A81, Current_Stats!A:Z, 8, FALSE), "")</f>
        <v>0.585</v>
      </c>
      <c r="P81" s="119">
        <f>IFERROR(VLOOKUP(A81, Previous_Stats!A:Z, 8, FALSE), "")</f>
        <v>0.603</v>
      </c>
      <c r="Q81" s="112" t="str">
        <f>IFERROR(VLOOKUP(B81, Shift_Analysis!A:Z, 6, FALSE), "")</f>
        <v>2</v>
      </c>
      <c r="R81" s="114" t="str">
        <f>IFERROR(VLOOKUP(B81, Shift_Analysis!A:Z, 7, FALSE), "")</f>
        <v>2</v>
      </c>
      <c r="S81" s="123">
        <f>IFERROR(VLOOKUP(A81, Current_Stats!A:Z, 3, FALSE),"")</f>
        <v>15</v>
      </c>
    </row>
    <row r="82">
      <c r="A82" s="110" t="str">
        <f t="array" ref="A82">IFERROR(
  INDEX(Refined_Data!O:O, MATCH(B82, Refined_Data!A:A, FALSE)),
"")</f>
        <v>Hirst-Smith, Courtnay</v>
      </c>
      <c r="B82" s="124" t="str">
        <f>Refined_Data!A38</f>
        <v>Hirst-Smith, Courtnay</v>
      </c>
      <c r="C82" s="112" t="str">
        <f>IFERROR(VLOOKUP(B82, Refined_Data!A:Z, 4, FALSE), "")</f>
        <v>Bilingual-English</v>
      </c>
      <c r="D82" s="113" t="str">
        <f>IF(B82="","", IFERROR(VLOOKUP(B82, Refined_Data!A:Z, 5, FALSE), ""))</f>
        <v>Day</v>
      </c>
      <c r="E82" s="114">
        <f>IFERROR(VLOOKUP(B82, Refined_Data!A:Z, 3, FALSE),"")</f>
        <v>4</v>
      </c>
      <c r="F82" s="125" t="str">
        <f t="array" ref="F82">IF(B82="","",
  IFERROR(
    TEXTJOIN(", ", TRUE,
      IF(INDEX(Refined_Data!K:K, MATCH(B82, Refined_Data!A:A, 0))="Yes","SAFE",""),
      IF(INDEX(Refined_Data!L:L, MATCH(B82, Refined_Data!A:A, 0))="Yes","TRBLSHOOT",""),
      IF(INDEX(Refined_Data!M:M, MATCH(B82, Refined_Data!A:A, 0))="Yes","BMRC","")
    ),
  "")
)</f>
        <v>SAFE</v>
      </c>
      <c r="G82" s="126" t="str">
        <f>IFERROR(VLOOKUP(B82, Refined_Data!A:Z, 8, FALSE), "")</f>
        <v>M0129</v>
      </c>
      <c r="H82" s="126">
        <f>IFERROR(VLOOKUP(B82, Refined_Data!A:Z, 9, FALSE), "")</f>
        <v>100980256</v>
      </c>
      <c r="I82" s="126">
        <f>IFERROR(VLOOKUP(B82, Refined_Data!A:Z, 10, FALSE), "")</f>
        <v>1067381</v>
      </c>
      <c r="J82" s="127" t="str">
        <f>IFERROR(VLOOKUP(B82, Refined_Data!A:Z, 14, FALSE), "")</f>
        <v>Gillingham, Shelley</v>
      </c>
      <c r="K82" s="118" t="str">
        <f t="shared" si="1"/>
        <v>↓</v>
      </c>
      <c r="L82" s="119">
        <f>IFERROR(VLOOKUP(A82, Current_Stats!A:Z, 7, FALSE), "")</f>
        <v>0.548</v>
      </c>
      <c r="M82" s="119">
        <f>IFERROR(VLOOKUP(A82, Previous_Stats!A:Z, 7, FALSE), "")</f>
        <v>0.713</v>
      </c>
      <c r="N82" s="120" t="str">
        <f t="shared" si="2"/>
        <v>↑</v>
      </c>
      <c r="O82" s="119">
        <f>IFERROR(VLOOKUP(A82, Current_Stats!A:Z, 8, FALSE), "")</f>
        <v>0.452</v>
      </c>
      <c r="P82" s="119">
        <f>IFERROR(VLOOKUP(A82, Previous_Stats!A:Z, 8, FALSE), "")</f>
        <v>0.287</v>
      </c>
      <c r="Q82" s="112" t="str">
        <f>IFERROR(VLOOKUP(B82, Shift_Analysis!A:Z, 6, FALSE), "")</f>
        <v>2</v>
      </c>
      <c r="R82" s="114" t="str">
        <f>IFERROR(VLOOKUP(B82, Shift_Analysis!A:Z, 7, FALSE), "")</f>
        <v>2</v>
      </c>
      <c r="S82" s="123">
        <f>IFERROR(VLOOKUP(A82, Current_Stats!A:Z, 3, FALSE),"")</f>
        <v>16</v>
      </c>
    </row>
    <row r="83" hidden="1">
      <c r="A83" s="110" t="str">
        <f t="array" ref="A83">IFERROR(
  INDEX(Refined_Data!O:O, MATCH(B83, Refined_Data!A:A, FALSE)),
"")</f>
        <v/>
      </c>
      <c r="B83" s="124" t="str">
        <f>Refined_Data!A42</f>
        <v>Inosimeh Barisua</v>
      </c>
      <c r="C83" s="112" t="str">
        <f>IFERROR(VLOOKUP(B83, Refined_Data!A:Z, 4, FALSE), "")</f>
        <v>English</v>
      </c>
      <c r="D83" s="113" t="str">
        <f>IF(B83="","", IFERROR(VLOOKUP(B83, Refined_Data!A:Z, 5, FALSE), ""))</f>
        <v/>
      </c>
      <c r="E83" s="114" t="str">
        <f>IFERROR(VLOOKUP(B83, Refined_Data!A:Z, 3, FALSE),"")</f>
        <v>Trainee</v>
      </c>
      <c r="F83" s="125" t="str">
        <f t="array" ref="F83">IF(B83="","",
  IFERROR(
    TEXTJOIN(", ", TRUE,
      IF(INDEX(Refined_Data!K:K, MATCH(B83, Refined_Data!A:A, 0))="Yes","SAFE",""),
      IF(INDEX(Refined_Data!L:L, MATCH(B83, Refined_Data!A:A, 0))="Yes","TRBLSHOOT",""),
      IF(INDEX(Refined_Data!M:M, MATCH(B83, Refined_Data!A:A, 0))="Yes","BMRC","")
    ),
  "")
)</f>
        <v/>
      </c>
      <c r="G83" s="126" t="str">
        <f>IFERROR(VLOOKUP(B83, Refined_Data!A:Z, 8, FALSE), "")</f>
        <v/>
      </c>
      <c r="H83" s="126" t="str">
        <f>IFERROR(VLOOKUP(B83, Refined_Data!A:Z, 9, FALSE), "")</f>
        <v/>
      </c>
      <c r="I83" s="126" t="str">
        <f>IFERROR(VLOOKUP(B83, Refined_Data!A:Z, 10, FALSE), "")</f>
        <v/>
      </c>
      <c r="J83" s="127" t="str">
        <f>IFERROR(VLOOKUP(B83, Refined_Data!A:Z, 14, FALSE), "")</f>
        <v>Diegue, Kerry</v>
      </c>
      <c r="K83" s="118" t="str">
        <f t="shared" si="1"/>
        <v/>
      </c>
      <c r="L83" s="119" t="str">
        <f>IFERROR(VLOOKUP(A83, Current_Stats!A:Z, 7, FALSE), "")</f>
        <v/>
      </c>
      <c r="M83" s="119" t="str">
        <f>IFERROR(VLOOKUP(A83, Previous_Stats!A:Z, 7, FALSE), "")</f>
        <v/>
      </c>
      <c r="N83" s="120" t="str">
        <f t="shared" si="2"/>
        <v/>
      </c>
      <c r="O83" s="119" t="str">
        <f>IFERROR(VLOOKUP(A83, Current_Stats!A:Z, 8, FALSE), "")</f>
        <v/>
      </c>
      <c r="P83" s="119" t="str">
        <f>IFERROR(VLOOKUP(A83, Previous_Stats!A:Z, 8, FALSE), "")</f>
        <v/>
      </c>
      <c r="Q83" s="112" t="str">
        <f>IFERROR(VLOOKUP(B83, Shift_Analysis!A:Z, 6, FALSE), "")</f>
        <v/>
      </c>
      <c r="R83" s="114" t="str">
        <f>IFERROR(VLOOKUP(B83, Shift_Analysis!A:Z, 7, FALSE), "")</f>
        <v/>
      </c>
      <c r="S83" s="123" t="str">
        <f>IFERROR(VLOOKUP(A83, Current_Stats!A:Z, 3, FALSE),"")</f>
        <v/>
      </c>
    </row>
    <row r="84">
      <c r="A84" s="110" t="str">
        <f t="array" ref="A84">IFERROR(
  INDEX(Refined_Data!O:O, MATCH(B84, Refined_Data!A:A, FALSE)),
"")</f>
        <v>Jaen Benitez, Roberto David</v>
      </c>
      <c r="B84" s="124" t="str">
        <f>Refined_Data!A43</f>
        <v>Jaén-Benitez, Roberto-David</v>
      </c>
      <c r="C84" s="112" t="str">
        <f>IFERROR(VLOOKUP(B84, Refined_Data!A:Z, 4, FALSE), "")</f>
        <v>Bilingual-English</v>
      </c>
      <c r="D84" s="113" t="str">
        <f>IF(B84="","", IFERROR(VLOOKUP(B84, Refined_Data!A:Z, 5, FALSE), ""))</f>
        <v>Night</v>
      </c>
      <c r="E84" s="114">
        <f>IFERROR(VLOOKUP(B84, Refined_Data!A:Z, 3, FALSE),"")</f>
        <v>4</v>
      </c>
      <c r="F84" s="125" t="str">
        <f t="array" ref="F84">IF(B84="","",
  IFERROR(
    TEXTJOIN(", ", TRUE,
      IF(INDEX(Refined_Data!K:K, MATCH(B84, Refined_Data!A:A, 0))="Yes","SAFE",""),
      IF(INDEX(Refined_Data!L:L, MATCH(B84, Refined_Data!A:A, 0))="Yes","TRBLSHOOT",""),
      IF(INDEX(Refined_Data!M:M, MATCH(B84, Refined_Data!A:A, 0))="Yes","BMRC","")
    ),
  "")
)</f>
        <v>SAFE, TRBLSHOOT, BMRC</v>
      </c>
      <c r="G84" s="126" t="str">
        <f>IFERROR(VLOOKUP(B84, Refined_Data!A:Z, 8, FALSE), "")</f>
        <v>M0135</v>
      </c>
      <c r="H84" s="126">
        <f>IFERROR(VLOOKUP(B84, Refined_Data!A:Z, 9, FALSE), "")</f>
        <v>100955709</v>
      </c>
      <c r="I84" s="126">
        <f>IFERROR(VLOOKUP(B84, Refined_Data!A:Z, 10, FALSE), "")</f>
        <v>1066930</v>
      </c>
      <c r="J84" s="127" t="str">
        <f>IFERROR(VLOOKUP(B84, Refined_Data!A:Z, 14, FALSE), "")</f>
        <v>Herrati, Houcine</v>
      </c>
      <c r="K84" s="118" t="str">
        <f t="shared" si="1"/>
        <v>→</v>
      </c>
      <c r="L84" s="119">
        <f>IFERROR(VLOOKUP(A84, Current_Stats!A:Z, 7, FALSE), "")</f>
        <v>0.482</v>
      </c>
      <c r="M84" s="119">
        <f>IFERROR(VLOOKUP(A84, Previous_Stats!A:Z, 7, FALSE), "")</f>
        <v>0.482</v>
      </c>
      <c r="N84" s="120" t="str">
        <f t="shared" si="2"/>
        <v>→</v>
      </c>
      <c r="O84" s="119">
        <f>IFERROR(VLOOKUP(A84, Current_Stats!A:Z, 8, FALSE), "")</f>
        <v>0.518</v>
      </c>
      <c r="P84" s="119">
        <f>IFERROR(VLOOKUP(A84, Previous_Stats!A:Z, 8, FALSE), "")</f>
        <v>0.518</v>
      </c>
      <c r="Q84" s="112" t="str">
        <f>IFERROR(VLOOKUP(B84, Shift_Analysis!A:Z, 6, FALSE), "")</f>
        <v>2</v>
      </c>
      <c r="R84" s="114" t="str">
        <f>IFERROR(VLOOKUP(B84, Shift_Analysis!A:Z, 7, FALSE), "")</f>
        <v>2</v>
      </c>
      <c r="S84" s="123">
        <f>IFERROR(VLOOKUP(A84, Current_Stats!A:Z, 3, FALSE),"")</f>
        <v>9</v>
      </c>
    </row>
    <row r="85">
      <c r="A85" s="110" t="str">
        <f t="array" ref="A85">IFERROR(
  INDEX(Refined_Data!O:O, MATCH(B85, Refined_Data!A:A, FALSE)),
"")</f>
        <v>Labbe-Geolier, Simon Oliver</v>
      </c>
      <c r="B85" s="124" t="str">
        <f>Refined_Data!A52</f>
        <v>Labbé-Géolier , Simon Olivier</v>
      </c>
      <c r="C85" s="112" t="str">
        <f>IFERROR(VLOOKUP(B85, Refined_Data!A:Z, 4, FALSE), "")</f>
        <v>French</v>
      </c>
      <c r="D85" s="113" t="str">
        <f>IF(B85="","", IFERROR(VLOOKUP(B85, Refined_Data!A:Z, 5, FALSE), ""))</f>
        <v>Day</v>
      </c>
      <c r="E85" s="114">
        <f>IFERROR(VLOOKUP(B85, Refined_Data!A:Z, 3, FALSE),"")</f>
        <v>2</v>
      </c>
      <c r="F85" s="125" t="str">
        <f t="array" ref="F85">IF(B85="","",
  IFERROR(
    TEXTJOIN(", ", TRUE,
      IF(INDEX(Refined_Data!K:K, MATCH(B85, Refined_Data!A:A, 0))="Yes","SAFE",""),
      IF(INDEX(Refined_Data!L:L, MATCH(B85, Refined_Data!A:A, 0))="Yes","TRBLSHOOT",""),
      IF(INDEX(Refined_Data!M:M, MATCH(B85, Refined_Data!A:A, 0))="Yes","BMRC","")
    ),
  "")
)</f>
        <v/>
      </c>
      <c r="G85" s="126" t="str">
        <f>IFERROR(VLOOKUP(B85, Refined_Data!A:Z, 8, FALSE), "")</f>
        <v>M0148</v>
      </c>
      <c r="H85" s="126">
        <f>IFERROR(VLOOKUP(B85, Refined_Data!A:Z, 9, FALSE), "")</f>
        <v>100990146</v>
      </c>
      <c r="I85" s="126">
        <f>IFERROR(VLOOKUP(B85, Refined_Data!A:Z, 10, FALSE), "")</f>
        <v>1060007</v>
      </c>
      <c r="J85" s="127" t="str">
        <f>IFERROR(VLOOKUP(B85, Refined_Data!A:Z, 14, FALSE), "")</f>
        <v>Diegue, Kerry</v>
      </c>
      <c r="K85" s="118" t="str">
        <f t="shared" si="1"/>
        <v>↑</v>
      </c>
      <c r="L85" s="119">
        <f>IFERROR(VLOOKUP(A85, Current_Stats!A:Z, 7, FALSE), "")</f>
        <v>0.311</v>
      </c>
      <c r="M85" s="119">
        <f>IFERROR(VLOOKUP(A85, Previous_Stats!A:Z, 7, FALSE), "")</f>
        <v>0.131</v>
      </c>
      <c r="N85" s="120" t="str">
        <f t="shared" si="2"/>
        <v>↓</v>
      </c>
      <c r="O85" s="119">
        <f>IFERROR(VLOOKUP(A85, Current_Stats!A:Z, 8, FALSE), "")</f>
        <v>0.689</v>
      </c>
      <c r="P85" s="119">
        <f>IFERROR(VLOOKUP(A85, Previous_Stats!A:Z, 8, FALSE), "")</f>
        <v>0.869</v>
      </c>
      <c r="Q85" s="112" t="str">
        <f>IFERROR(VLOOKUP(B85, Shift_Analysis!A:Z, 6, FALSE), "")</f>
        <v>2</v>
      </c>
      <c r="R85" s="114" t="str">
        <f>IFERROR(VLOOKUP(B85, Shift_Analysis!A:Z, 7, FALSE), "")</f>
        <v>2</v>
      </c>
      <c r="S85" s="123">
        <f>IFERROR(VLOOKUP(A85, Current_Stats!A:Z, 3, FALSE),"")</f>
        <v>5</v>
      </c>
    </row>
    <row r="86" hidden="1">
      <c r="A86" s="110" t="str">
        <f t="array" ref="A86">IFERROR(
  INDEX(Refined_Data!O:O, MATCH(B86, Refined_Data!A:A, FALSE)),
"")</f>
        <v>Lee, Jadon</v>
      </c>
      <c r="B86" s="124" t="str">
        <f>Refined_Data!A56</f>
        <v>Lee, Jadon</v>
      </c>
      <c r="C86" s="112" t="str">
        <f>IFERROR(VLOOKUP(B86, Refined_Data!A:Z, 4, FALSE), "")</f>
        <v>English</v>
      </c>
      <c r="D86" s="113" t="str">
        <f>IF(B86="","", IFERROR(VLOOKUP(B86, Refined_Data!A:Z, 5, FALSE), ""))</f>
        <v/>
      </c>
      <c r="E86" s="114">
        <f>IFERROR(VLOOKUP(B86, Refined_Data!A:Z, 3, FALSE),"")</f>
        <v>1</v>
      </c>
      <c r="F86" s="125" t="str">
        <f t="array" ref="F86">IF(B86="","",
  IFERROR(
    TEXTJOIN(", ", TRUE,
      IF(INDEX(Refined_Data!K:K, MATCH(B86, Refined_Data!A:A, 0))="Yes","SAFE",""),
      IF(INDEX(Refined_Data!L:L, MATCH(B86, Refined_Data!A:A, 0))="Yes","TRBLSHOOT",""),
      IF(INDEX(Refined_Data!M:M, MATCH(B86, Refined_Data!A:A, 0))="Yes","BMRC","")
    ),
  "")
)</f>
        <v/>
      </c>
      <c r="G86" s="126" t="str">
        <f>IFERROR(VLOOKUP(B86, Refined_Data!A:Z, 8, FALSE), "")</f>
        <v>M0542</v>
      </c>
      <c r="H86" s="126">
        <f>IFERROR(VLOOKUP(B86, Refined_Data!A:Z, 9, FALSE), "")</f>
        <v>106001502</v>
      </c>
      <c r="I86" s="126">
        <f>IFERROR(VLOOKUP(B86, Refined_Data!A:Z, 10, FALSE), "")</f>
        <v>1060006</v>
      </c>
      <c r="J86" s="127" t="str">
        <f>IFERROR(VLOOKUP(B86, Refined_Data!A:Z, 14, FALSE), "")</f>
        <v>Gillingham, Shelley</v>
      </c>
      <c r="K86" s="118" t="str">
        <f t="shared" si="1"/>
        <v>↑</v>
      </c>
      <c r="L86" s="119">
        <f>IFERROR(VLOOKUP(A86, Current_Stats!A:Z, 7, FALSE), "")</f>
        <v>0.397</v>
      </c>
      <c r="M86" s="119">
        <f>IFERROR(VLOOKUP(A86, Previous_Stats!A:Z, 7, FALSE), "")</f>
        <v>0.001</v>
      </c>
      <c r="N86" s="120" t="str">
        <f t="shared" si="2"/>
        <v>↓</v>
      </c>
      <c r="O86" s="119">
        <f>IFERROR(VLOOKUP(A86, Current_Stats!A:Z, 8, FALSE), "")</f>
        <v>0.603</v>
      </c>
      <c r="P86" s="119">
        <f>IFERROR(VLOOKUP(A86, Previous_Stats!A:Z, 8, FALSE), "")</f>
        <v>0.999</v>
      </c>
      <c r="Q86" s="112" t="str">
        <f>IFERROR(VLOOKUP(B86, Shift_Analysis!A:Z, 6, FALSE), "")</f>
        <v/>
      </c>
      <c r="R86" s="114" t="str">
        <f>IFERROR(VLOOKUP(B86, Shift_Analysis!A:Z, 7, FALSE), "")</f>
        <v/>
      </c>
      <c r="S86" s="123">
        <f>IFERROR(VLOOKUP(A86, Current_Stats!A:Z, 3, FALSE),"")</f>
        <v>7</v>
      </c>
    </row>
    <row r="87">
      <c r="A87" s="110" t="str">
        <f t="array" ref="A87">IFERROR(
  INDEX(Refined_Data!O:O, MATCH(B87, Refined_Data!A:A, FALSE)),
"")</f>
        <v>Malhi, Sandeep</v>
      </c>
      <c r="B87" s="124" t="str">
        <f>Refined_Data!A58</f>
        <v>Malhi, Sandeep</v>
      </c>
      <c r="C87" s="112" t="str">
        <f>IFERROR(VLOOKUP(B87, Refined_Data!A:Z, 4, FALSE), "")</f>
        <v>English</v>
      </c>
      <c r="D87" s="113" t="str">
        <f>IF(B87="","", IFERROR(VLOOKUP(B87, Refined_Data!A:Z, 5, FALSE), ""))</f>
        <v>Night</v>
      </c>
      <c r="E87" s="114">
        <f>IFERROR(VLOOKUP(B87, Refined_Data!A:Z, 3, FALSE),"")</f>
        <v>2</v>
      </c>
      <c r="F87" s="125" t="str">
        <f t="array" ref="F87">IF(B87="","",
  IFERROR(
    TEXTJOIN(", ", TRUE,
      IF(INDEX(Refined_Data!K:K, MATCH(B87, Refined_Data!A:A, 0))="Yes","SAFE",""),
      IF(INDEX(Refined_Data!L:L, MATCH(B87, Refined_Data!A:A, 0))="Yes","TRBLSHOOT",""),
      IF(INDEX(Refined_Data!M:M, MATCH(B87, Refined_Data!A:A, 0))="Yes","BMRC","")
    ),
  "")
)</f>
        <v/>
      </c>
      <c r="G87" s="126" t="str">
        <f>IFERROR(VLOOKUP(B87, Refined_Data!A:Z, 8, FALSE), "")</f>
        <v>M0165</v>
      </c>
      <c r="H87" s="126">
        <f>IFERROR(VLOOKUP(B87, Refined_Data!A:Z, 9, FALSE), "")</f>
        <v>100980945</v>
      </c>
      <c r="I87" s="126">
        <f>IFERROR(VLOOKUP(B87, Refined_Data!A:Z, 10, FALSE), "")</f>
        <v>1067383</v>
      </c>
      <c r="J87" s="127" t="str">
        <f>IFERROR(VLOOKUP(B87, Refined_Data!A:Z, 14, FALSE), "")</f>
        <v>Coghiel, Caren</v>
      </c>
      <c r="K87" s="118" t="str">
        <f t="shared" si="1"/>
        <v>↓</v>
      </c>
      <c r="L87" s="119">
        <f>IFERROR(VLOOKUP(A87, Current_Stats!A:Z, 7, FALSE), "")</f>
        <v>0.64</v>
      </c>
      <c r="M87" s="119">
        <f>IFERROR(VLOOKUP(A87, Previous_Stats!A:Z, 7, FALSE), "")</f>
        <v>0.68</v>
      </c>
      <c r="N87" s="120" t="str">
        <f t="shared" si="2"/>
        <v>↑</v>
      </c>
      <c r="O87" s="119">
        <f>IFERROR(VLOOKUP(A87, Current_Stats!A:Z, 8, FALSE), "")</f>
        <v>0.36</v>
      </c>
      <c r="P87" s="119">
        <f>IFERROR(VLOOKUP(A87, Previous_Stats!A:Z, 8, FALSE), "")</f>
        <v>0.32</v>
      </c>
      <c r="Q87" s="112" t="str">
        <f>IFERROR(VLOOKUP(B87, Shift_Analysis!A:Z, 6, FALSE), "")</f>
        <v>1</v>
      </c>
      <c r="R87" s="114" t="str">
        <f>IFERROR(VLOOKUP(B87, Shift_Analysis!A:Z, 7, FALSE), "")</f>
        <v>3</v>
      </c>
      <c r="S87" s="123">
        <f>IFERROR(VLOOKUP(A87, Current_Stats!A:Z, 3, FALSE),"")</f>
        <v>13</v>
      </c>
    </row>
    <row r="88">
      <c r="A88" s="110" t="str">
        <f t="array" ref="A88">IFERROR(
  INDEX(Refined_Data!O:O, MATCH(B88, Refined_Data!A:A, FALSE)),
"")</f>
        <v>Mondrzejewski, Dave</v>
      </c>
      <c r="B88" s="124" t="str">
        <f>Refined_Data!A68</f>
        <v>Mondrzejewski, Dave</v>
      </c>
      <c r="C88" s="112" t="str">
        <f>IFERROR(VLOOKUP(B88, Refined_Data!A:Z, 4, FALSE), "")</f>
        <v>Bilingual-French</v>
      </c>
      <c r="D88" s="113" t="str">
        <f>IF(B88="","", IFERROR(VLOOKUP(B88, Refined_Data!A:Z, 5, FALSE), ""))</f>
        <v>Day</v>
      </c>
      <c r="E88" s="114">
        <f>IFERROR(VLOOKUP(B88, Refined_Data!A:Z, 3, FALSE),"")</f>
        <v>4</v>
      </c>
      <c r="F88" s="125" t="str">
        <f t="array" ref="F88">IF(B88="","",
  IFERROR(
    TEXTJOIN(", ", TRUE,
      IF(INDEX(Refined_Data!K:K, MATCH(B88, Refined_Data!A:A, 0))="Yes","SAFE",""),
      IF(INDEX(Refined_Data!L:L, MATCH(B88, Refined_Data!A:A, 0))="Yes","TRBLSHOOT",""),
      IF(INDEX(Refined_Data!M:M, MATCH(B88, Refined_Data!A:A, 0))="Yes","BMRC","")
    ),
  "")
)</f>
        <v>SAFE</v>
      </c>
      <c r="G88" s="126" t="str">
        <f>IFERROR(VLOOKUP(B88, Refined_Data!A:Z, 8, FALSE), "")</f>
        <v>M0183</v>
      </c>
      <c r="H88" s="126">
        <f>IFERROR(VLOOKUP(B88, Refined_Data!A:Z, 9, FALSE), "")</f>
        <v>100955932</v>
      </c>
      <c r="I88" s="126">
        <f>IFERROR(VLOOKUP(B88, Refined_Data!A:Z, 10, FALSE), "")</f>
        <v>1067232</v>
      </c>
      <c r="J88" s="127" t="str">
        <f>IFERROR(VLOOKUP(B88, Refined_Data!A:Z, 14, FALSE), "")</f>
        <v>Lo, Mamadou</v>
      </c>
      <c r="K88" s="118" t="str">
        <f t="shared" si="1"/>
        <v>→</v>
      </c>
      <c r="L88" s="119">
        <f>IFERROR(VLOOKUP(A88, Current_Stats!A:Z, 7, FALSE), "")</f>
        <v>0.583</v>
      </c>
      <c r="M88" s="119">
        <f>IFERROR(VLOOKUP(A88, Previous_Stats!A:Z, 7, FALSE), "")</f>
        <v>0.583</v>
      </c>
      <c r="N88" s="120" t="str">
        <f t="shared" si="2"/>
        <v>→</v>
      </c>
      <c r="O88" s="119">
        <f>IFERROR(VLOOKUP(A88, Current_Stats!A:Z, 8, FALSE), "")</f>
        <v>0.417</v>
      </c>
      <c r="P88" s="119">
        <f>IFERROR(VLOOKUP(A88, Previous_Stats!A:Z, 8, FALSE), "")</f>
        <v>0.417</v>
      </c>
      <c r="Q88" s="112" t="str">
        <f>IFERROR(VLOOKUP(B88, Shift_Analysis!A:Z, 6, FALSE), "")</f>
        <v>2</v>
      </c>
      <c r="R88" s="114" t="str">
        <f>IFERROR(VLOOKUP(B88, Shift_Analysis!A:Z, 7, FALSE), "")</f>
        <v>2</v>
      </c>
      <c r="S88" s="123">
        <f>IFERROR(VLOOKUP(A88, Current_Stats!A:Z, 3, FALSE),"")</f>
        <v>5</v>
      </c>
    </row>
    <row r="89">
      <c r="A89" s="110" t="str">
        <f t="array" ref="A89">IFERROR(
  INDEX(Refined_Data!O:O, MATCH(B89, Refined_Data!A:A, FALSE)),
"")</f>
        <v>Nineza, Roxhannah</v>
      </c>
      <c r="B89" s="124" t="str">
        <f>Refined_Data!A74</f>
        <v>Nineza, Roxhannah</v>
      </c>
      <c r="C89" s="112" t="str">
        <f>IFERROR(VLOOKUP(B89, Refined_Data!A:Z, 4, FALSE), "")</f>
        <v>Bilingual-French</v>
      </c>
      <c r="D89" s="113" t="str">
        <f>IF(B89="","", IFERROR(VLOOKUP(B89, Refined_Data!A:Z, 5, FALSE), ""))</f>
        <v>Evening</v>
      </c>
      <c r="E89" s="114">
        <f>IFERROR(VLOOKUP(B89, Refined_Data!A:Z, 3, FALSE),"")</f>
        <v>2</v>
      </c>
      <c r="F89" s="125" t="str">
        <f t="array" ref="F89">IF(B89="","",
  IFERROR(
    TEXTJOIN(", ", TRUE,
      IF(INDEX(Refined_Data!K:K, MATCH(B89, Refined_Data!A:A, 0))="Yes","SAFE",""),
      IF(INDEX(Refined_Data!L:L, MATCH(B89, Refined_Data!A:A, 0))="Yes","TRBLSHOOT",""),
      IF(INDEX(Refined_Data!M:M, MATCH(B89, Refined_Data!A:A, 0))="Yes","BMRC","")
    ),
  "")
)</f>
        <v/>
      </c>
      <c r="G89" s="126" t="str">
        <f>IFERROR(VLOOKUP(B89, Refined_Data!A:Z, 8, FALSE), "")</f>
        <v>M0484</v>
      </c>
      <c r="H89" s="126">
        <f>IFERROR(VLOOKUP(B89, Refined_Data!A:Z, 9, FALSE), "")</f>
        <v>100769717</v>
      </c>
      <c r="I89" s="126">
        <f>IFERROR(VLOOKUP(B89, Refined_Data!A:Z, 10, FALSE), "")</f>
        <v>1060016</v>
      </c>
      <c r="J89" s="127" t="str">
        <f>IFERROR(VLOOKUP(B89, Refined_Data!A:Z, 14, FALSE), "")</f>
        <v>Rwano, Guy Fremin</v>
      </c>
      <c r="K89" s="118" t="str">
        <f t="shared" si="1"/>
        <v>↓</v>
      </c>
      <c r="L89" s="119">
        <f>IFERROR(VLOOKUP(A89, Current_Stats!A:Z, 7, FALSE), "")</f>
        <v>0.496</v>
      </c>
      <c r="M89" s="119">
        <f>IFERROR(VLOOKUP(A89, Previous_Stats!A:Z, 7, FALSE), "")</f>
        <v>0.572</v>
      </c>
      <c r="N89" s="120" t="str">
        <f t="shared" si="2"/>
        <v>↑</v>
      </c>
      <c r="O89" s="119">
        <f>IFERROR(VLOOKUP(A89, Current_Stats!A:Z, 8, FALSE), "")</f>
        <v>0.504</v>
      </c>
      <c r="P89" s="119">
        <f>IFERROR(VLOOKUP(A89, Previous_Stats!A:Z, 8, FALSE), "")</f>
        <v>0.428</v>
      </c>
      <c r="Q89" s="112" t="str">
        <f>IFERROR(VLOOKUP(B89, Shift_Analysis!A:Z, 6, FALSE), "")</f>
        <v>1</v>
      </c>
      <c r="R89" s="114" t="str">
        <f>IFERROR(VLOOKUP(B89, Shift_Analysis!A:Z, 7, FALSE), "")</f>
        <v>1</v>
      </c>
      <c r="S89" s="123">
        <f>IFERROR(VLOOKUP(A89, Current_Stats!A:Z, 3, FALSE),"")</f>
        <v>17</v>
      </c>
    </row>
    <row r="90" hidden="1">
      <c r="A90" s="110" t="str">
        <f t="array" ref="A90">IFERROR(
  INDEX(Refined_Data!O:O, MATCH(B90, Refined_Data!A:A, FALSE)),
"")</f>
        <v/>
      </c>
      <c r="B90" s="124" t="str">
        <f>Refined_Data!A76</f>
        <v>Panayiotis (Peter) Tsoraidis</v>
      </c>
      <c r="C90" s="112" t="str">
        <f>IFERROR(VLOOKUP(B90, Refined_Data!A:Z, 4, FALSE), "")</f>
        <v>Bilingual-French</v>
      </c>
      <c r="D90" s="113" t="str">
        <f>IF(B90="","", IFERROR(VLOOKUP(B90, Refined_Data!A:Z, 5, FALSE), ""))</f>
        <v/>
      </c>
      <c r="E90" s="114" t="str">
        <f>IFERROR(VLOOKUP(B90, Refined_Data!A:Z, 3, FALSE),"")</f>
        <v>Trainee</v>
      </c>
      <c r="F90" s="125" t="str">
        <f t="array" ref="F90">IF(B90="","",
  IFERROR(
    TEXTJOIN(", ", TRUE,
      IF(INDEX(Refined_Data!K:K, MATCH(B90, Refined_Data!A:A, 0))="Yes","SAFE",""),
      IF(INDEX(Refined_Data!L:L, MATCH(B90, Refined_Data!A:A, 0))="Yes","TRBLSHOOT",""),
      IF(INDEX(Refined_Data!M:M, MATCH(B90, Refined_Data!A:A, 0))="Yes","BMRC","")
    ),
  "")
)</f>
        <v/>
      </c>
      <c r="G90" s="126" t="str">
        <f>IFERROR(VLOOKUP(B90, Refined_Data!A:Z, 8, FALSE), "")</f>
        <v/>
      </c>
      <c r="H90" s="126" t="str">
        <f>IFERROR(VLOOKUP(B90, Refined_Data!A:Z, 9, FALSE), "")</f>
        <v/>
      </c>
      <c r="I90" s="126">
        <f>IFERROR(VLOOKUP(B90, Refined_Data!A:Z, 10, FALSE), "")</f>
        <v>1060072</v>
      </c>
      <c r="J90" s="127" t="str">
        <f>IFERROR(VLOOKUP(B90, Refined_Data!A:Z, 14, FALSE), "")</f>
        <v>Diegue, Kerry</v>
      </c>
      <c r="K90" s="118" t="str">
        <f t="shared" si="1"/>
        <v/>
      </c>
      <c r="L90" s="119" t="str">
        <f>IFERROR(VLOOKUP(A90, Current_Stats!A:Z, 7, FALSE), "")</f>
        <v/>
      </c>
      <c r="M90" s="119" t="str">
        <f>IFERROR(VLOOKUP(A90, Previous_Stats!A:Z, 7, FALSE), "")</f>
        <v/>
      </c>
      <c r="N90" s="120" t="str">
        <f t="shared" si="2"/>
        <v/>
      </c>
      <c r="O90" s="119" t="str">
        <f>IFERROR(VLOOKUP(A90, Current_Stats!A:Z, 8, FALSE), "")</f>
        <v/>
      </c>
      <c r="P90" s="119" t="str">
        <f>IFERROR(VLOOKUP(A90, Previous_Stats!A:Z, 8, FALSE), "")</f>
        <v/>
      </c>
      <c r="Q90" s="112" t="str">
        <f>IFERROR(VLOOKUP(B90, Shift_Analysis!A:Z, 6, FALSE), "")</f>
        <v/>
      </c>
      <c r="R90" s="114" t="str">
        <f>IFERROR(VLOOKUP(B90, Shift_Analysis!A:Z, 7, FALSE), "")</f>
        <v/>
      </c>
      <c r="S90" s="123" t="str">
        <f>IFERROR(VLOOKUP(A90, Current_Stats!A:Z, 3, FALSE),"")</f>
        <v/>
      </c>
    </row>
    <row r="91">
      <c r="A91" s="110" t="str">
        <f t="array" ref="A91">IFERROR(
  INDEX(Refined_Data!O:O, MATCH(B91, Refined_Data!A:A, FALSE)),
"")</f>
        <v>Paquette, Adam</v>
      </c>
      <c r="B91" s="124" t="str">
        <f>Refined_Data!A78</f>
        <v>Paquette, Adam</v>
      </c>
      <c r="C91" s="112" t="str">
        <f>IFERROR(VLOOKUP(B91, Refined_Data!A:Z, 4, FALSE), "")</f>
        <v>Bilingual-French</v>
      </c>
      <c r="D91" s="113" t="str">
        <f>IF(B91="","", IFERROR(VLOOKUP(B91, Refined_Data!A:Z, 5, FALSE), ""))</f>
        <v>Evening</v>
      </c>
      <c r="E91" s="114">
        <f>IFERROR(VLOOKUP(B91, Refined_Data!A:Z, 3, FALSE),"")</f>
        <v>4</v>
      </c>
      <c r="F91" s="125" t="str">
        <f t="array" ref="F91">IF(B91="","",
  IFERROR(
    TEXTJOIN(", ", TRUE,
      IF(INDEX(Refined_Data!K:K, MATCH(B91, Refined_Data!A:A, 0))="Yes","SAFE",""),
      IF(INDEX(Refined_Data!L:L, MATCH(B91, Refined_Data!A:A, 0))="Yes","TRBLSHOOT",""),
      IF(INDEX(Refined_Data!M:M, MATCH(B91, Refined_Data!A:A, 0))="Yes","BMRC","")
    ),
  "")
)</f>
        <v>SAFE, BMRC</v>
      </c>
      <c r="G91" s="126" t="str">
        <f>IFERROR(VLOOKUP(B91, Refined_Data!A:Z, 8, FALSE), "")</f>
        <v>M0194</v>
      </c>
      <c r="H91" s="126">
        <f>IFERROR(VLOOKUP(B91, Refined_Data!A:Z, 9, FALSE), "")</f>
        <v>100955844</v>
      </c>
      <c r="I91" s="126">
        <f>IFERROR(VLOOKUP(B91, Refined_Data!A:Z, 10, FALSE), "")</f>
        <v>1066707</v>
      </c>
      <c r="J91" s="127" t="str">
        <f>IFERROR(VLOOKUP(B91, Refined_Data!A:Z, 14, FALSE), "")</f>
        <v>Kollias, Peter</v>
      </c>
      <c r="K91" s="118" t="str">
        <f t="shared" si="1"/>
        <v>↓</v>
      </c>
      <c r="L91" s="119">
        <f>IFERROR(VLOOKUP(A91, Current_Stats!A:Z, 7, FALSE), "")</f>
        <v>0.916</v>
      </c>
      <c r="M91" s="119">
        <f>IFERROR(VLOOKUP(A91, Previous_Stats!A:Z, 7, FALSE), "")</f>
        <v>0.958</v>
      </c>
      <c r="N91" s="120" t="str">
        <f t="shared" si="2"/>
        <v>↑</v>
      </c>
      <c r="O91" s="119">
        <f>IFERROR(VLOOKUP(A91, Current_Stats!A:Z, 8, FALSE), "")</f>
        <v>0.084</v>
      </c>
      <c r="P91" s="119">
        <f>IFERROR(VLOOKUP(A91, Previous_Stats!A:Z, 8, FALSE), "")</f>
        <v>0.042</v>
      </c>
      <c r="Q91" s="112" t="str">
        <f>IFERROR(VLOOKUP(B91, Shift_Analysis!A:Z, 6, FALSE), "")</f>
        <v>2</v>
      </c>
      <c r="R91" s="114" t="str">
        <f>IFERROR(VLOOKUP(B91, Shift_Analysis!A:Z, 7, FALSE), "")</f>
        <v>2</v>
      </c>
      <c r="S91" s="123">
        <f>IFERROR(VLOOKUP(A91, Current_Stats!A:Z, 3, FALSE),"")</f>
        <v>15</v>
      </c>
    </row>
    <row r="92" hidden="1">
      <c r="A92" s="110" t="str">
        <f t="array" ref="A92">IFERROR(
  INDEX(Refined_Data!O:O, MATCH(B92, Refined_Data!A:A, FALSE)),
"")</f>
        <v>Philemy, Weetler</v>
      </c>
      <c r="B92" s="124" t="str">
        <f>Refined_Data!A81</f>
        <v>Philemy, Weetler</v>
      </c>
      <c r="C92" s="112" t="str">
        <f>IFERROR(VLOOKUP(B92, Refined_Data!A:Z, 4, FALSE), "")</f>
        <v>Bilingual-French</v>
      </c>
      <c r="D92" s="113" t="str">
        <f>IF(B92="","", IFERROR(VLOOKUP(B92, Refined_Data!A:Z, 5, FALSE), ""))</f>
        <v/>
      </c>
      <c r="E92" s="114">
        <f>IFERROR(VLOOKUP(B92, Refined_Data!A:Z, 3, FALSE),"")</f>
        <v>1</v>
      </c>
      <c r="F92" s="125" t="str">
        <f t="array" ref="F92">IF(B92="","",
  IFERROR(
    TEXTJOIN(", ", TRUE,
      IF(INDEX(Refined_Data!K:K, MATCH(B92, Refined_Data!A:A, 0))="Yes","SAFE",""),
      IF(INDEX(Refined_Data!L:L, MATCH(B92, Refined_Data!A:A, 0))="Yes","TRBLSHOOT",""),
      IF(INDEX(Refined_Data!M:M, MATCH(B92, Refined_Data!A:A, 0))="Yes","BMRC","")
    ),
  "")
)</f>
        <v/>
      </c>
      <c r="G92" s="126" t="str">
        <f>IFERROR(VLOOKUP(B92, Refined_Data!A:Z, 8, FALSE), "")</f>
        <v>M0537</v>
      </c>
      <c r="H92" s="126">
        <f>IFERROR(VLOOKUP(B92, Refined_Data!A:Z, 9, FALSE), "")</f>
        <v>106001435</v>
      </c>
      <c r="I92" s="126">
        <f>IFERROR(VLOOKUP(B92, Refined_Data!A:Z, 10, FALSE), "")</f>
        <v>1060005</v>
      </c>
      <c r="J92" s="127" t="str">
        <f>IFERROR(VLOOKUP(B92, Refined_Data!A:Z, 14, FALSE), "")</f>
        <v>Herrati, Houcine</v>
      </c>
      <c r="K92" s="118" t="str">
        <f t="shared" si="1"/>
        <v>→</v>
      </c>
      <c r="L92" s="119">
        <f>IFERROR(VLOOKUP(A92, Current_Stats!A:Z, 7, FALSE), "")</f>
        <v>0</v>
      </c>
      <c r="M92" s="119">
        <f>IFERROR(VLOOKUP(A92, Previous_Stats!A:Z, 7, FALSE), "")</f>
        <v>0</v>
      </c>
      <c r="N92" s="120" t="str">
        <f t="shared" si="2"/>
        <v>→</v>
      </c>
      <c r="O92" s="119">
        <f>IFERROR(VLOOKUP(A92, Current_Stats!A:Z, 8, FALSE), "")</f>
        <v>1</v>
      </c>
      <c r="P92" s="119">
        <f>IFERROR(VLOOKUP(A92, Previous_Stats!A:Z, 8, FALSE), "")</f>
        <v>1</v>
      </c>
      <c r="Q92" s="112" t="str">
        <f>IFERROR(VLOOKUP(B92, Shift_Analysis!A:Z, 6, FALSE), "")</f>
        <v/>
      </c>
      <c r="R92" s="114" t="str">
        <f>IFERROR(VLOOKUP(B92, Shift_Analysis!A:Z, 7, FALSE), "")</f>
        <v/>
      </c>
      <c r="S92" s="123">
        <f>IFERROR(VLOOKUP(A92, Current_Stats!A:Z, 3, FALSE),"")</f>
        <v>5</v>
      </c>
    </row>
    <row r="93">
      <c r="A93" s="110" t="str">
        <f t="array" ref="A93">IFERROR(
  INDEX(Refined_Data!O:O, MATCH(B93, Refined_Data!A:A, FALSE)),
"")</f>
        <v>Rennie, Vida</v>
      </c>
      <c r="B93" s="124" t="str">
        <f>Refined_Data!A88</f>
        <v>Rennie, Vida</v>
      </c>
      <c r="C93" s="112" t="str">
        <f>IFERROR(VLOOKUP(B93, Refined_Data!A:Z, 4, FALSE), "")</f>
        <v>English</v>
      </c>
      <c r="D93" s="113" t="str">
        <f>IF(B93="","", IFERROR(VLOOKUP(B93, Refined_Data!A:Z, 5, FALSE), ""))</f>
        <v>Night</v>
      </c>
      <c r="E93" s="114">
        <f>IFERROR(VLOOKUP(B93, Refined_Data!A:Z, 3, FALSE),"")</f>
        <v>4</v>
      </c>
      <c r="F93" s="125" t="str">
        <f t="array" ref="F93">IF(B93="","",
  IFERROR(
    TEXTJOIN(", ", TRUE,
      IF(INDEX(Refined_Data!K:K, MATCH(B93, Refined_Data!A:A, 0))="Yes","SAFE",""),
      IF(INDEX(Refined_Data!L:L, MATCH(B93, Refined_Data!A:A, 0))="Yes","TRBLSHOOT",""),
      IF(INDEX(Refined_Data!M:M, MATCH(B93, Refined_Data!A:A, 0))="Yes","BMRC","")
    ),
  "")
)</f>
        <v>SAFE, TRBLSHOOT, BMRC</v>
      </c>
      <c r="G93" s="126" t="str">
        <f>IFERROR(VLOOKUP(B93, Refined_Data!A:Z, 8, FALSE), "")</f>
        <v>M0208</v>
      </c>
      <c r="H93" s="126">
        <f>IFERROR(VLOOKUP(B93, Refined_Data!A:Z, 9, FALSE), "")</f>
        <v>100937531</v>
      </c>
      <c r="I93" s="126">
        <f>IFERROR(VLOOKUP(B93, Refined_Data!A:Z, 10, FALSE), "")</f>
        <v>1067369</v>
      </c>
      <c r="J93" s="127" t="str">
        <f>IFERROR(VLOOKUP(B93, Refined_Data!A:Z, 14, FALSE), "")</f>
        <v>Kollias, Peter</v>
      </c>
      <c r="K93" s="118" t="str">
        <f t="shared" si="1"/>
        <v>↑</v>
      </c>
      <c r="L93" s="119">
        <f>IFERROR(VLOOKUP(A93, Current_Stats!A:Z, 7, FALSE), "")</f>
        <v>0.794</v>
      </c>
      <c r="M93" s="119">
        <f>IFERROR(VLOOKUP(A93, Previous_Stats!A:Z, 7, FALSE), "")</f>
        <v>0.699</v>
      </c>
      <c r="N93" s="120" t="str">
        <f t="shared" si="2"/>
        <v>↓</v>
      </c>
      <c r="O93" s="119">
        <f>IFERROR(VLOOKUP(A93, Current_Stats!A:Z, 8, FALSE), "")</f>
        <v>0.206</v>
      </c>
      <c r="P93" s="119">
        <f>IFERROR(VLOOKUP(A93, Previous_Stats!A:Z, 8, FALSE), "")</f>
        <v>0.301</v>
      </c>
      <c r="Q93" s="112" t="str">
        <f>IFERROR(VLOOKUP(B93, Shift_Analysis!A:Z, 6, FALSE), "")</f>
        <v>2</v>
      </c>
      <c r="R93" s="114" t="str">
        <f>IFERROR(VLOOKUP(B93, Shift_Analysis!A:Z, 7, FALSE), "")</f>
        <v>2</v>
      </c>
      <c r="S93" s="123">
        <f>IFERROR(VLOOKUP(A93, Current_Stats!A:Z, 3, FALSE),"")</f>
        <v>12</v>
      </c>
    </row>
    <row r="94" hidden="1">
      <c r="A94" s="110" t="str">
        <f t="array" ref="A94">IFERROR(
  INDEX(Refined_Data!O:O, MATCH(B94, Refined_Data!A:A, FALSE)),
"")</f>
        <v/>
      </c>
      <c r="B94" s="124" t="str">
        <f>Refined_Data!A94</f>
        <v>Simranjeet (Simran) Sanghera</v>
      </c>
      <c r="C94" s="112" t="str">
        <f>IFERROR(VLOOKUP(B94, Refined_Data!A:Z, 4, FALSE), "")</f>
        <v>English</v>
      </c>
      <c r="D94" s="113" t="str">
        <f>IF(B94="","", IFERROR(VLOOKUP(B94, Refined_Data!A:Z, 5, FALSE), ""))</f>
        <v/>
      </c>
      <c r="E94" s="114" t="str">
        <f>IFERROR(VLOOKUP(B94, Refined_Data!A:Z, 3, FALSE),"")</f>
        <v>Trainee</v>
      </c>
      <c r="F94" s="125" t="str">
        <f t="array" ref="F94">IF(B94="","",
  IFERROR(
    TEXTJOIN(", ", TRUE,
      IF(INDEX(Refined_Data!K:K, MATCH(B94, Refined_Data!A:A, 0))="Yes","SAFE",""),
      IF(INDEX(Refined_Data!L:L, MATCH(B94, Refined_Data!A:A, 0))="Yes","TRBLSHOOT",""),
      IF(INDEX(Refined_Data!M:M, MATCH(B94, Refined_Data!A:A, 0))="Yes","BMRC","")
    ),
  "")
)</f>
        <v/>
      </c>
      <c r="G94" s="126" t="str">
        <f>IFERROR(VLOOKUP(B94, Refined_Data!A:Z, 8, FALSE), "")</f>
        <v/>
      </c>
      <c r="H94" s="126" t="str">
        <f>IFERROR(VLOOKUP(B94, Refined_Data!A:Z, 9, FALSE), "")</f>
        <v/>
      </c>
      <c r="I94" s="126" t="str">
        <f>IFERROR(VLOOKUP(B94, Refined_Data!A:Z, 10, FALSE), "")</f>
        <v/>
      </c>
      <c r="J94" s="127" t="str">
        <f>IFERROR(VLOOKUP(B94, Refined_Data!A:Z, 14, FALSE), "")</f>
        <v>Diegue, Kerry</v>
      </c>
      <c r="K94" s="118" t="str">
        <f t="shared" si="1"/>
        <v/>
      </c>
      <c r="L94" s="119" t="str">
        <f>IFERROR(VLOOKUP(A94, Current_Stats!A:Z, 7, FALSE), "")</f>
        <v/>
      </c>
      <c r="M94" s="119" t="str">
        <f>IFERROR(VLOOKUP(A94, Previous_Stats!A:Z, 7, FALSE), "")</f>
        <v/>
      </c>
      <c r="N94" s="120" t="str">
        <f t="shared" si="2"/>
        <v/>
      </c>
      <c r="O94" s="119" t="str">
        <f>IFERROR(VLOOKUP(A94, Current_Stats!A:Z, 8, FALSE), "")</f>
        <v/>
      </c>
      <c r="P94" s="119" t="str">
        <f>IFERROR(VLOOKUP(A94, Previous_Stats!A:Z, 8, FALSE), "")</f>
        <v/>
      </c>
      <c r="Q94" s="112" t="str">
        <f>IFERROR(VLOOKUP(B94, Shift_Analysis!A:Z, 6, FALSE), "")</f>
        <v/>
      </c>
      <c r="R94" s="114" t="str">
        <f>IFERROR(VLOOKUP(B94, Shift_Analysis!A:Z, 7, FALSE), "")</f>
        <v/>
      </c>
      <c r="S94" s="123" t="str">
        <f>IFERROR(VLOOKUP(A94, Current_Stats!A:Z, 3, FALSE),"")</f>
        <v/>
      </c>
    </row>
    <row r="95">
      <c r="A95" s="110" t="str">
        <f t="array" ref="A95">IFERROR(
  INDEX(Refined_Data!O:O, MATCH(B95, Refined_Data!A:A, FALSE)),
"")</f>
        <v>Landry, Josianne</v>
      </c>
      <c r="B95" s="124" t="str">
        <f>Refined_Data!A54</f>
        <v>Landry, Josianne</v>
      </c>
      <c r="C95" s="112" t="str">
        <f>IFERROR(VLOOKUP(B95, Refined_Data!A:Z, 4, FALSE), "")</f>
        <v>Bilingual-French</v>
      </c>
      <c r="D95" s="113" t="str">
        <f>IF(B95="","", IFERROR(VLOOKUP(B95, Refined_Data!A:Z, 5, FALSE), ""))</f>
        <v>Day</v>
      </c>
      <c r="E95" s="114">
        <f>IFERROR(VLOOKUP(B95, Refined_Data!A:Z, 3, FALSE),"")</f>
        <v>4</v>
      </c>
      <c r="F95" s="125" t="str">
        <f t="array" ref="F95">IF(B95="","",
  IFERROR(
    TEXTJOIN(", ", TRUE,
      IF(INDEX(Refined_Data!K:K, MATCH(B95, Refined_Data!A:A, 0))="Yes","SAFE",""),
      IF(INDEX(Refined_Data!L:L, MATCH(B95, Refined_Data!A:A, 0))="Yes","TRBLSHOOT",""),
      IF(INDEX(Refined_Data!M:M, MATCH(B95, Refined_Data!A:A, 0))="Yes","BMRC","")
    ),
  "")
)</f>
        <v/>
      </c>
      <c r="G95" s="126" t="str">
        <f>IFERROR(VLOOKUP(B95, Refined_Data!A:Z, 8, FALSE), "")</f>
        <v>M0155</v>
      </c>
      <c r="H95" s="126">
        <f>IFERROR(VLOOKUP(B95, Refined_Data!A:Z, 9, FALSE), "")</f>
        <v>100956513</v>
      </c>
      <c r="I95" s="126">
        <f>IFERROR(VLOOKUP(B95, Refined_Data!A:Z, 10, FALSE), "")</f>
        <v>1066033</v>
      </c>
      <c r="J95" s="127" t="str">
        <f>IFERROR(VLOOKUP(B95, Refined_Data!A:Z, 14, FALSE), "")</f>
        <v>Kollias, Peter</v>
      </c>
      <c r="K95" s="118" t="str">
        <f t="shared" si="1"/>
        <v>→</v>
      </c>
      <c r="L95" s="119">
        <f>IFERROR(VLOOKUP(A95, Current_Stats!A:Z, 7, FALSE), "")</f>
        <v>1</v>
      </c>
      <c r="M95" s="119">
        <f>IFERROR(VLOOKUP(A95, Previous_Stats!A:Z, 7, FALSE), "")</f>
        <v>1</v>
      </c>
      <c r="N95" s="120" t="str">
        <f t="shared" si="2"/>
        <v>→</v>
      </c>
      <c r="O95" s="119">
        <f>IFERROR(VLOOKUP(A95, Current_Stats!A:Z, 8, FALSE), "")</f>
        <v>0</v>
      </c>
      <c r="P95" s="119">
        <f>IFERROR(VLOOKUP(A95, Previous_Stats!A:Z, 8, FALSE), "")</f>
        <v>0</v>
      </c>
      <c r="Q95" s="112" t="str">
        <f>IFERROR(VLOOKUP(B95, Shift_Analysis!A:Z, 6, FALSE), "")</f>
        <v>1</v>
      </c>
      <c r="R95" s="114" t="str">
        <f>IFERROR(VLOOKUP(B95, Shift_Analysis!A:Z, 7, FALSE), "")</f>
        <v>1</v>
      </c>
      <c r="S95" s="123">
        <f>IFERROR(VLOOKUP(A95, Current_Stats!A:Z, 3, FALSE),"")</f>
        <v>3</v>
      </c>
    </row>
    <row r="96">
      <c r="A96" s="110" t="str">
        <f t="array" ref="A96">IFERROR(
  INDEX(Refined_Data!O:O, MATCH(B96, Refined_Data!A:A, FALSE)),
"")</f>
        <v>Snelgrove, Sylvia</v>
      </c>
      <c r="B96" s="124" t="str">
        <f>Refined_Data!A96</f>
        <v>Snelgrove, Sylvia</v>
      </c>
      <c r="C96" s="112" t="str">
        <f>IFERROR(VLOOKUP(B96, Refined_Data!A:Z, 4, FALSE), "")</f>
        <v>Bilingual-English</v>
      </c>
      <c r="D96" s="113" t="str">
        <f>IF(B96="","", IFERROR(VLOOKUP(B96, Refined_Data!A:Z, 5, FALSE), ""))</f>
        <v>Day</v>
      </c>
      <c r="E96" s="114">
        <f>IFERROR(VLOOKUP(B96, Refined_Data!A:Z, 3, FALSE),"")</f>
        <v>2</v>
      </c>
      <c r="F96" s="125" t="str">
        <f t="array" ref="F96">IF(B96="","",
  IFERROR(
    TEXTJOIN(", ", TRUE,
      IF(INDEX(Refined_Data!K:K, MATCH(B96, Refined_Data!A:A, 0))="Yes","SAFE",""),
      IF(INDEX(Refined_Data!L:L, MATCH(B96, Refined_Data!A:A, 0))="Yes","TRBLSHOOT",""),
      IF(INDEX(Refined_Data!M:M, MATCH(B96, Refined_Data!A:A, 0))="Yes","BMRC","")
    ),
  "")
)</f>
        <v>SAFE</v>
      </c>
      <c r="G96" s="126" t="str">
        <f>IFERROR(VLOOKUP(B96, Refined_Data!A:Z, 8, FALSE), "")</f>
        <v>M0224</v>
      </c>
      <c r="H96" s="126">
        <f>IFERROR(VLOOKUP(B96, Refined_Data!A:Z, 9, FALSE), "")</f>
        <v>100996777</v>
      </c>
      <c r="I96" s="126">
        <f>IFERROR(VLOOKUP(B96, Refined_Data!A:Z, 10, FALSE), "")</f>
        <v>1060020</v>
      </c>
      <c r="J96" s="127" t="str">
        <f>IFERROR(VLOOKUP(B96, Refined_Data!A:Z, 14, FALSE), "")</f>
        <v>Gillingham, Shelley</v>
      </c>
      <c r="K96" s="118" t="str">
        <f t="shared" si="1"/>
        <v>↑</v>
      </c>
      <c r="L96" s="119">
        <f>IFERROR(VLOOKUP(A96, Current_Stats!A:Z, 7, FALSE), "")</f>
        <v>0.548</v>
      </c>
      <c r="M96" s="119">
        <f>IFERROR(VLOOKUP(A96, Previous_Stats!A:Z, 7, FALSE), "")</f>
        <v>0.505</v>
      </c>
      <c r="N96" s="120" t="str">
        <f t="shared" si="2"/>
        <v>↓</v>
      </c>
      <c r="O96" s="119">
        <f>IFERROR(VLOOKUP(A96, Current_Stats!A:Z, 8, FALSE), "")</f>
        <v>0.452</v>
      </c>
      <c r="P96" s="119">
        <f>IFERROR(VLOOKUP(A96, Previous_Stats!A:Z, 8, FALSE), "")</f>
        <v>0.495</v>
      </c>
      <c r="Q96" s="112" t="str">
        <f>IFERROR(VLOOKUP(B96, Shift_Analysis!A:Z, 6, FALSE), "")</f>
        <v>2</v>
      </c>
      <c r="R96" s="114" t="str">
        <f>IFERROR(VLOOKUP(B96, Shift_Analysis!A:Z, 7, FALSE), "")</f>
        <v>2</v>
      </c>
      <c r="S96" s="123">
        <f>IFERROR(VLOOKUP(A96, Current_Stats!A:Z, 3, FALSE),"")</f>
        <v>15</v>
      </c>
    </row>
    <row r="97">
      <c r="A97" s="110" t="str">
        <f t="array" ref="A97">IFERROR(
  INDEX(Refined_Data!O:O, MATCH(B97, Refined_Data!A:A, FALSE)),
"")</f>
        <v>Tanguay-Roy, Marcel</v>
      </c>
      <c r="B97" s="128" t="str">
        <f>Refined_Data!A97</f>
        <v>Tanguay-Roy, Marcel</v>
      </c>
      <c r="C97" s="112" t="str">
        <f>IFERROR(VLOOKUP(B97, Refined_Data!A:Z, 4, FALSE), "")</f>
        <v>Bilingual-French</v>
      </c>
      <c r="D97" s="113" t="str">
        <f>IF(B97="","", IFERROR(VLOOKUP(B97, Refined_Data!A:Z, 5, FALSE), ""))</f>
        <v>Day</v>
      </c>
      <c r="E97" s="114">
        <f>IFERROR(VLOOKUP(B97, Refined_Data!A:Z, 3, FALSE),"")</f>
        <v>2</v>
      </c>
      <c r="F97" s="125" t="str">
        <f t="array" ref="F97">IF(B97="","",
  IFERROR(
    TEXTJOIN(", ", TRUE,
      IF(INDEX(Refined_Data!K:K, MATCH(B97, Refined_Data!A:A, 0))="Yes","SAFE",""),
      IF(INDEX(Refined_Data!L:L, MATCH(B97, Refined_Data!A:A, 0))="Yes","TRBLSHOOT",""),
      IF(INDEX(Refined_Data!M:M, MATCH(B97, Refined_Data!A:A, 0))="Yes","BMRC","")
    ),
  "")
)</f>
        <v/>
      </c>
      <c r="G97" s="126" t="str">
        <f>IFERROR(VLOOKUP(B97, Refined_Data!A:Z, 8, FALSE), "")</f>
        <v>M0230</v>
      </c>
      <c r="H97" s="126">
        <f>IFERROR(VLOOKUP(B97, Refined_Data!A:Z, 9, FALSE), "")</f>
        <v>100955842</v>
      </c>
      <c r="I97" s="126">
        <f>IFERROR(VLOOKUP(B97, Refined_Data!A:Z, 10, FALSE), "")</f>
        <v>1066075</v>
      </c>
      <c r="J97" s="127" t="str">
        <f>IFERROR(VLOOKUP(B97, Refined_Data!A:Z, 14, FALSE), "")</f>
        <v>Kollias, Peter</v>
      </c>
      <c r="K97" s="118" t="str">
        <f t="shared" si="1"/>
        <v>↑</v>
      </c>
      <c r="L97" s="119">
        <f>IFERROR(VLOOKUP(A97, Current_Stats!A:Z, 7, FALSE), "")</f>
        <v>0.392</v>
      </c>
      <c r="M97" s="119">
        <f>IFERROR(VLOOKUP(A97, Previous_Stats!A:Z, 7, FALSE), "")</f>
        <v>0.355</v>
      </c>
      <c r="N97" s="120" t="str">
        <f t="shared" si="2"/>
        <v>↓</v>
      </c>
      <c r="O97" s="119">
        <f>IFERROR(VLOOKUP(A97, Current_Stats!A:Z, 8, FALSE), "")</f>
        <v>0.608</v>
      </c>
      <c r="P97" s="119">
        <f>IFERROR(VLOOKUP(A97, Previous_Stats!A:Z, 8, FALSE), "")</f>
        <v>0.645</v>
      </c>
      <c r="Q97" s="129" t="str">
        <f>IFERROR(VLOOKUP(B97, Shift_Analysis!A:Z, 6, FALSE), "")</f>
        <v>1</v>
      </c>
      <c r="R97" s="130" t="str">
        <f>IFERROR(VLOOKUP(B97, Shift_Analysis!A:Z, 7, FALSE), "")</f>
        <v>1</v>
      </c>
      <c r="S97" s="123">
        <f>IFERROR(VLOOKUP(A97, Current_Stats!A:Z, 3, FALSE),"")</f>
        <v>7</v>
      </c>
    </row>
    <row r="98" hidden="1">
      <c r="A98" s="110" t="str">
        <f t="array" ref="A98">IFERROR(
  INDEX(Refined_Data!O:O, MATCH(B98, Refined_Data!A:A, FALSE)),
"")</f>
        <v>Tawa Soh, Basile</v>
      </c>
      <c r="B98" s="124" t="str">
        <f>Refined_Data!A98</f>
        <v>Tawa Soh, Basile</v>
      </c>
      <c r="C98" s="131" t="str">
        <f>IFERROR(VLOOKUP(B98, Refined_Data!A:Z, 4, FALSE), "")</f>
        <v>Bilingual-French</v>
      </c>
      <c r="D98" s="113" t="str">
        <f>IF(B98="","", IFERROR(VLOOKUP(B98, Refined_Data!A:Z, 5, FALSE), ""))</f>
        <v/>
      </c>
      <c r="E98" s="114">
        <f>IFERROR(VLOOKUP(B98, Refined_Data!A:Z, 3, FALSE),"")</f>
        <v>1</v>
      </c>
      <c r="F98" s="132" t="str">
        <f t="array" ref="F98">IF(B98="","",
  IFERROR(
    TEXTJOIN(", ", TRUE,
      IF(INDEX(Refined_Data!K:K, MATCH(B98, Refined_Data!A:A, 0))="Yes","SAFE",""),
      IF(INDEX(Refined_Data!L:L, MATCH(B98, Refined_Data!A:A, 0))="Yes","TRBLSHOOT",""),
      IF(INDEX(Refined_Data!M:M, MATCH(B98, Refined_Data!A:A, 0))="Yes","BMRC","")
    ),
  "")
)</f>
        <v/>
      </c>
      <c r="G98" s="126" t="str">
        <f>IFERROR(VLOOKUP(B98, Refined_Data!A:Z, 8, FALSE), "")</f>
        <v>M0531</v>
      </c>
      <c r="H98" s="126">
        <f>IFERROR(VLOOKUP(B98, Refined_Data!A:Z, 9, FALSE), "")</f>
        <v>106001433</v>
      </c>
      <c r="I98" s="133"/>
      <c r="J98" s="127" t="str">
        <f>IFERROR(VLOOKUP(B98, Refined_Data!A:Z, 14, FALSE), "")</f>
        <v>Kollias, Peter</v>
      </c>
      <c r="K98" s="118" t="str">
        <f t="shared" si="1"/>
        <v>↑</v>
      </c>
      <c r="L98" s="119">
        <f>IFERROR(VLOOKUP(A98, Current_Stats!A:Z, 7, FALSE), "")</f>
        <v>0.427</v>
      </c>
      <c r="M98" s="119">
        <f>IFERROR(VLOOKUP(A98, Previous_Stats!A:Z, 7, FALSE), "")</f>
        <v>0</v>
      </c>
      <c r="N98" s="120" t="str">
        <f t="shared" si="2"/>
        <v>↑</v>
      </c>
      <c r="O98" s="119">
        <f>IFERROR(VLOOKUP(A98, Current_Stats!A:Z, 8, FALSE), "")</f>
        <v>0.573</v>
      </c>
      <c r="P98" s="92"/>
      <c r="Q98" s="134" t="str">
        <f>IFERROR(VLOOKUP(B98, Shift_Analysis!A:Z, 6, FALSE), "")</f>
        <v/>
      </c>
      <c r="R98" s="135" t="str">
        <f>IFERROR(VLOOKUP(B98, Shift_Analysis!A:Z, 7, FALSE), "")</f>
        <v/>
      </c>
      <c r="S98" s="123">
        <f>IFERROR(VLOOKUP(A98, Current_Stats!A:Z, 3, FALSE),"")</f>
        <v>5</v>
      </c>
    </row>
    <row r="99">
      <c r="A99" s="110" t="str">
        <f t="array" ref="A99">IFERROR(
  INDEX(Refined_Data!O:O, MATCH(B99, Refined_Data!A:A, FALSE)),
"")</f>
        <v>Thibert, Lise Valery</v>
      </c>
      <c r="B99" s="124" t="str">
        <f>Refined_Data!A99</f>
        <v>Thibert, Lise Valery</v>
      </c>
      <c r="C99" s="131" t="str">
        <f>IFERROR(VLOOKUP(B99, Refined_Data!A:Z, 4, FALSE), "")</f>
        <v>Bilingual-French</v>
      </c>
      <c r="D99" s="113" t="str">
        <f>IF(B99="","", IFERROR(VLOOKUP(B99, Refined_Data!A:Z, 5, FALSE), ""))</f>
        <v>Evening</v>
      </c>
      <c r="E99" s="114">
        <f>IFERROR(VLOOKUP(B99, Refined_Data!A:Z, 3, FALSE),"")</f>
        <v>2</v>
      </c>
      <c r="F99" s="132" t="str">
        <f t="array" ref="F99">IF(B99="","",
  IFERROR(
    TEXTJOIN(", ", TRUE,
      IF(INDEX(Refined_Data!K:K, MATCH(B99, Refined_Data!A:A, 0))="Yes","SAFE",""),
      IF(INDEX(Refined_Data!L:L, MATCH(B99, Refined_Data!A:A, 0))="Yes","TRBLSHOOT",""),
      IF(INDEX(Refined_Data!M:M, MATCH(B99, Refined_Data!A:A, 0))="Yes","BMRC","")
    ),
  "")
)</f>
        <v>SAFE</v>
      </c>
      <c r="G99" s="126" t="str">
        <f>IFERROR(VLOOKUP(B99, Refined_Data!A:Z, 8, FALSE), "")</f>
        <v>M0233</v>
      </c>
      <c r="H99" s="126">
        <f>IFERROR(VLOOKUP(B99, Refined_Data!A:Z, 9, FALSE), "")</f>
        <v>100956176</v>
      </c>
      <c r="I99" s="133"/>
      <c r="J99" s="127" t="str">
        <f>IFERROR(VLOOKUP(B99, Refined_Data!A:Z, 14, FALSE), "")</f>
        <v>Diegue, Kerry</v>
      </c>
      <c r="K99" s="118" t="str">
        <f t="shared" si="1"/>
        <v>↓</v>
      </c>
      <c r="L99" s="119">
        <f>IFERROR(VLOOKUP(A99, Current_Stats!A:Z, 7, FALSE), "")</f>
        <v>0.279</v>
      </c>
      <c r="M99" s="119">
        <f>IFERROR(VLOOKUP(A99, Previous_Stats!A:Z, 7, FALSE), "")</f>
        <v>0.308</v>
      </c>
      <c r="N99" s="120" t="str">
        <f t="shared" si="2"/>
        <v>↑</v>
      </c>
      <c r="O99" s="119">
        <f>IFERROR(VLOOKUP(A99, Current_Stats!A:Z, 8, FALSE), "")</f>
        <v>0.721</v>
      </c>
      <c r="P99" s="92"/>
      <c r="Q99" s="112" t="str">
        <f>IFERROR(VLOOKUP(B99, Shift_Analysis!A:Z, 6, FALSE), "")</f>
        <v>1</v>
      </c>
      <c r="R99" s="114" t="str">
        <f>IFERROR(VLOOKUP(B99, Shift_Analysis!A:Z, 7, FALSE), "")</f>
        <v>1</v>
      </c>
      <c r="S99" s="123">
        <f>IFERROR(VLOOKUP(A99, Current_Stats!A:Z, 3, FALSE),"")</f>
        <v>14</v>
      </c>
    </row>
    <row r="100">
      <c r="A100" s="110" t="str">
        <f t="array" ref="A100">IFERROR(
  INDEX(Refined_Data!O:O, MATCH(B100, Refined_Data!A:A, FALSE)),
"")</f>
        <v>Thurston, Sean</v>
      </c>
      <c r="B100" s="124" t="str">
        <f>Refined_Data!A100</f>
        <v>Thurston, Sean</v>
      </c>
      <c r="C100" s="131" t="str">
        <f>IFERROR(VLOOKUP(B100, Refined_Data!A:Z, 4, FALSE), "")</f>
        <v>English</v>
      </c>
      <c r="D100" s="113" t="str">
        <f>IF(B100="","", IFERROR(VLOOKUP(B100, Refined_Data!A:Z, 5, FALSE), ""))</f>
        <v>Night</v>
      </c>
      <c r="E100" s="114">
        <f>IFERROR(VLOOKUP(B100, Refined_Data!A:Z, 3, FALSE),"")</f>
        <v>4</v>
      </c>
      <c r="F100" s="132" t="str">
        <f t="array" ref="F100">IF(B100="","",
  IFERROR(
    TEXTJOIN(", ", TRUE,
      IF(INDEX(Refined_Data!K:K, MATCH(B100, Refined_Data!A:A, 0))="Yes","SAFE",""),
      IF(INDEX(Refined_Data!L:L, MATCH(B100, Refined_Data!A:A, 0))="Yes","TRBLSHOOT",""),
      IF(INDEX(Refined_Data!M:M, MATCH(B100, Refined_Data!A:A, 0))="Yes","BMRC","")
    ),
  "")
)</f>
        <v>SAFE, TRBLSHOOT</v>
      </c>
      <c r="G100" s="126" t="str">
        <f>IFERROR(VLOOKUP(B100, Refined_Data!A:Z, 8, FALSE), "")</f>
        <v>M0234</v>
      </c>
      <c r="H100" s="126">
        <f>IFERROR(VLOOKUP(B100, Refined_Data!A:Z, 9, FALSE), "")</f>
        <v>100973167</v>
      </c>
      <c r="I100" s="133"/>
      <c r="J100" s="127" t="str">
        <f>IFERROR(VLOOKUP(B100, Refined_Data!A:Z, 14, FALSE), "")</f>
        <v>Coghiel, Caren</v>
      </c>
      <c r="K100" s="118" t="str">
        <f t="shared" si="1"/>
        <v>↓</v>
      </c>
      <c r="L100" s="119">
        <f>IFERROR(VLOOKUP(A100, Current_Stats!A:Z, 7, FALSE), "")</f>
        <v>0.729</v>
      </c>
      <c r="M100" s="119" t="str">
        <f>IFERROR(VLOOKUP(A100, Previous_Stats!A:Z, 7, FALSE), "")</f>
        <v/>
      </c>
      <c r="N100" s="120" t="str">
        <f t="shared" si="2"/>
        <v>↑</v>
      </c>
      <c r="O100" s="119">
        <f>IFERROR(VLOOKUP(A100, Current_Stats!A:Z, 8, FALSE), "")</f>
        <v>0.271</v>
      </c>
      <c r="P100" s="92"/>
      <c r="Q100" s="112" t="str">
        <f>IFERROR(VLOOKUP(B100, Shift_Analysis!A:Z, 6, FALSE), "")</f>
        <v>1</v>
      </c>
      <c r="R100" s="114" t="str">
        <f>IFERROR(VLOOKUP(B100, Shift_Analysis!A:Z, 7, FALSE), "")</f>
        <v>0</v>
      </c>
      <c r="S100" s="123">
        <f>IFERROR(VLOOKUP(A100, Current_Stats!A:Z, 3, FALSE),"")</f>
        <v>7</v>
      </c>
    </row>
    <row r="101">
      <c r="A101" s="110" t="str">
        <f t="array" ref="A101">IFERROR(
  INDEX(Refined_Data!O:O, MATCH(B101, Refined_Data!A:A, FALSE)),
"")</f>
        <v>Tounsi, Taha</v>
      </c>
      <c r="B101" s="124" t="str">
        <f>Refined_Data!A101</f>
        <v>Tounsi, Taha</v>
      </c>
      <c r="C101" s="131" t="str">
        <f>IFERROR(VLOOKUP(B101, Refined_Data!A:Z, 4, FALSE), "")</f>
        <v>Bilingual-French</v>
      </c>
      <c r="D101" s="113" t="str">
        <f>IF(B101="","", IFERROR(VLOOKUP(B101, Refined_Data!A:Z, 5, FALSE), ""))</f>
        <v>Night</v>
      </c>
      <c r="E101" s="114">
        <f>IFERROR(VLOOKUP(B101, Refined_Data!A:Z, 3, FALSE),"")</f>
        <v>2</v>
      </c>
      <c r="F101" s="132" t="str">
        <f t="array" ref="F101">IF(B101="","",
  IFERROR(
    TEXTJOIN(", ", TRUE,
      IF(INDEX(Refined_Data!K:K, MATCH(B101, Refined_Data!A:A, 0))="Yes","SAFE",""),
      IF(INDEX(Refined_Data!L:L, MATCH(B101, Refined_Data!A:A, 0))="Yes","TRBLSHOOT",""),
      IF(INDEX(Refined_Data!M:M, MATCH(B101, Refined_Data!A:A, 0))="Yes","BMRC","")
    ),
  "")
)</f>
        <v/>
      </c>
      <c r="G101" s="126" t="str">
        <f>IFERROR(VLOOKUP(B101, Refined_Data!A:Z, 8, FALSE), "")</f>
        <v>M0513</v>
      </c>
      <c r="H101" s="126">
        <f>IFERROR(VLOOKUP(B101, Refined_Data!A:Z, 9, FALSE), "")</f>
        <v>100773674</v>
      </c>
      <c r="I101" s="133"/>
      <c r="J101" s="127" t="str">
        <f>IFERROR(VLOOKUP(B101, Refined_Data!A:Z, 14, FALSE), "")</f>
        <v>Coghiel, Caren</v>
      </c>
      <c r="K101" s="118" t="str">
        <f t="shared" si="1"/>
        <v>↑</v>
      </c>
      <c r="L101" s="119">
        <f>IFERROR(VLOOKUP(A101, Current_Stats!A:Z, 7, FALSE), "")</f>
        <v>0.544</v>
      </c>
      <c r="M101" s="119">
        <f>IFERROR(VLOOKUP(A101, Previous_Stats!A:Z, 7, FALSE), "")</f>
        <v>0.516</v>
      </c>
      <c r="N101" s="120" t="str">
        <f t="shared" si="2"/>
        <v>↑</v>
      </c>
      <c r="O101" s="119">
        <f>IFERROR(VLOOKUP(A101, Current_Stats!A:Z, 8, FALSE), "")</f>
        <v>0.456</v>
      </c>
      <c r="P101" s="92"/>
      <c r="Q101" s="112" t="str">
        <f>IFERROR(VLOOKUP(B101, Shift_Analysis!A:Z, 6, FALSE), "")</f>
        <v>1</v>
      </c>
      <c r="R101" s="114" t="str">
        <f>IFERROR(VLOOKUP(B101, Shift_Analysis!A:Z, 7, FALSE), "")</f>
        <v>2</v>
      </c>
      <c r="S101" s="123">
        <f>IFERROR(VLOOKUP(A101, Current_Stats!A:Z, 3, FALSE),"")</f>
        <v>15</v>
      </c>
    </row>
    <row r="102">
      <c r="A102" s="110" t="str">
        <f t="array" ref="A102">IFERROR(
  INDEX(Refined_Data!O:O, MATCH(B102, Refined_Data!A:A, FALSE)),
"")</f>
        <v>Tredwell, Chris</v>
      </c>
      <c r="B102" s="124" t="str">
        <f>Refined_Data!A102</f>
        <v>Tredwell, Chris</v>
      </c>
      <c r="C102" s="131" t="str">
        <f>IFERROR(VLOOKUP(B102, Refined_Data!A:Z, 4, FALSE), "")</f>
        <v>English</v>
      </c>
      <c r="D102" s="113" t="str">
        <f>IF(B102="","", IFERROR(VLOOKUP(B102, Refined_Data!A:Z, 5, FALSE), ""))</f>
        <v>Day</v>
      </c>
      <c r="E102" s="114">
        <f>IFERROR(VLOOKUP(B102, Refined_Data!A:Z, 3, FALSE),"")</f>
        <v>4</v>
      </c>
      <c r="F102" s="132" t="str">
        <f t="array" ref="F102">IF(B102="","",
  IFERROR(
    TEXTJOIN(", ", TRUE,
      IF(INDEX(Refined_Data!K:K, MATCH(B102, Refined_Data!A:A, 0))="Yes","SAFE",""),
      IF(INDEX(Refined_Data!L:L, MATCH(B102, Refined_Data!A:A, 0))="Yes","TRBLSHOOT",""),
      IF(INDEX(Refined_Data!M:M, MATCH(B102, Refined_Data!A:A, 0))="Yes","BMRC","")
    ),
  "")
)</f>
        <v>SAFE</v>
      </c>
      <c r="G102" s="126" t="str">
        <f>IFERROR(VLOOKUP(B102, Refined_Data!A:Z, 8, FALSE), "")</f>
        <v>M0236</v>
      </c>
      <c r="H102" s="126">
        <f>IFERROR(VLOOKUP(B102, Refined_Data!A:Z, 9, FALSE), "")</f>
        <v>100973170</v>
      </c>
      <c r="I102" s="133"/>
      <c r="J102" s="127" t="str">
        <f>IFERROR(VLOOKUP(B102, Refined_Data!A:Z, 14, FALSE), "")</f>
        <v>Lo, Mamadou</v>
      </c>
      <c r="K102" s="118" t="str">
        <f t="shared" si="1"/>
        <v>↑</v>
      </c>
      <c r="L102" s="119">
        <f>IFERROR(VLOOKUP(A102, Current_Stats!A:Z, 7, FALSE), "")</f>
        <v>0.816</v>
      </c>
      <c r="M102" s="119">
        <f>IFERROR(VLOOKUP(A102, Previous_Stats!A:Z, 7, FALSE), "")</f>
        <v>0.646</v>
      </c>
      <c r="N102" s="120" t="str">
        <f t="shared" si="2"/>
        <v>↑</v>
      </c>
      <c r="O102" s="119">
        <f>IFERROR(VLOOKUP(A102, Current_Stats!A:Z, 8, FALSE), "")</f>
        <v>0.184</v>
      </c>
      <c r="P102" s="92"/>
      <c r="Q102" s="112" t="str">
        <f>IFERROR(VLOOKUP(B102, Shift_Analysis!A:Z, 6, FALSE), "")</f>
        <v>3</v>
      </c>
      <c r="R102" s="114" t="str">
        <f>IFERROR(VLOOKUP(B102, Shift_Analysis!A:Z, 7, FALSE), "")</f>
        <v>2</v>
      </c>
      <c r="S102" s="123">
        <f>IFERROR(VLOOKUP(A102, Current_Stats!A:Z, 3, FALSE),"")</f>
        <v>12</v>
      </c>
    </row>
    <row r="103">
      <c r="A103" s="110" t="str">
        <f t="array" ref="A103">IFERROR(
  INDEX(Refined_Data!O:O, MATCH(B103, Refined_Data!A:A, FALSE)),
"")</f>
        <v>Tsan, Senh</v>
      </c>
      <c r="B103" s="124" t="str">
        <f>Refined_Data!A103</f>
        <v>Tsan, Senh</v>
      </c>
      <c r="C103" s="131" t="str">
        <f>IFERROR(VLOOKUP(B103, Refined_Data!A:Z, 4, FALSE), "")</f>
        <v>English</v>
      </c>
      <c r="D103" s="113" t="str">
        <f>IF(B103="","", IFERROR(VLOOKUP(B103, Refined_Data!A:Z, 5, FALSE), ""))</f>
        <v>Evening</v>
      </c>
      <c r="E103" s="114">
        <f>IFERROR(VLOOKUP(B103, Refined_Data!A:Z, 3, FALSE),"")</f>
        <v>4</v>
      </c>
      <c r="F103" s="132" t="str">
        <f t="array" ref="F103">IF(B103="","",
  IFERROR(
    TEXTJOIN(", ", TRUE,
      IF(INDEX(Refined_Data!K:K, MATCH(B103, Refined_Data!A:A, 0))="Yes","SAFE",""),
      IF(INDEX(Refined_Data!L:L, MATCH(B103, Refined_Data!A:A, 0))="Yes","TRBLSHOOT",""),
      IF(INDEX(Refined_Data!M:M, MATCH(B103, Refined_Data!A:A, 0))="Yes","BMRC","")
    ),
  "")
)</f>
        <v>SAFE, TRBLSHOOT</v>
      </c>
      <c r="G103" s="126" t="str">
        <f>IFERROR(VLOOKUP(B103, Refined_Data!A:Z, 8, FALSE), "")</f>
        <v>M0238</v>
      </c>
      <c r="H103" s="126">
        <f>IFERROR(VLOOKUP(B103, Refined_Data!A:Z, 9, FALSE), "")</f>
        <v>100936683</v>
      </c>
      <c r="I103" s="133"/>
      <c r="J103" s="127" t="str">
        <f>IFERROR(VLOOKUP(B103, Refined_Data!A:Z, 14, FALSE), "")</f>
        <v>Dhindsa, Sukhjinder</v>
      </c>
      <c r="K103" s="118" t="str">
        <f t="shared" si="1"/>
        <v>↑</v>
      </c>
      <c r="L103" s="119">
        <f>IFERROR(VLOOKUP(A103, Current_Stats!A:Z, 7, FALSE), "")</f>
        <v>0.811</v>
      </c>
      <c r="M103" s="119">
        <f>IFERROR(VLOOKUP(A103, Previous_Stats!A:Z, 7, FALSE), "")</f>
        <v>0.711</v>
      </c>
      <c r="N103" s="120" t="str">
        <f t="shared" si="2"/>
        <v>↑</v>
      </c>
      <c r="O103" s="119">
        <f>IFERROR(VLOOKUP(A103, Current_Stats!A:Z, 8, FALSE), "")</f>
        <v>0.189</v>
      </c>
      <c r="P103" s="92"/>
      <c r="Q103" s="112" t="str">
        <f>IFERROR(VLOOKUP(B103, Shift_Analysis!A:Z, 6, FALSE), "")</f>
        <v>2</v>
      </c>
      <c r="R103" s="114" t="str">
        <f>IFERROR(VLOOKUP(B103, Shift_Analysis!A:Z, 7, FALSE), "")</f>
        <v>2</v>
      </c>
      <c r="S103" s="123">
        <f>IFERROR(VLOOKUP(A103, Current_Stats!A:Z, 3, FALSE),"")</f>
        <v>16</v>
      </c>
    </row>
    <row r="104">
      <c r="A104" s="110" t="str">
        <f t="array" ref="A104">IFERROR(
  INDEX(Refined_Data!O:O, MATCH(B104, Refined_Data!A:A, FALSE)),
"")</f>
        <v>Vachon, Genevieve</v>
      </c>
      <c r="B104" s="124" t="str">
        <f>Refined_Data!A104</f>
        <v>Vachon, Genevieve</v>
      </c>
      <c r="C104" s="131" t="str">
        <f>IFERROR(VLOOKUP(B104, Refined_Data!A:Z, 4, FALSE), "")</f>
        <v>Bilingual-French</v>
      </c>
      <c r="D104" s="113" t="str">
        <f>IF(B104="","", IFERROR(VLOOKUP(B104, Refined_Data!A:Z, 5, FALSE), ""))</f>
        <v>Day</v>
      </c>
      <c r="E104" s="114">
        <f>IFERROR(VLOOKUP(B104, Refined_Data!A:Z, 3, FALSE),"")</f>
        <v>3</v>
      </c>
      <c r="F104" s="132" t="str">
        <f t="array" ref="F104">IF(B104="","",
  IFERROR(
    TEXTJOIN(", ", TRUE,
      IF(INDEX(Refined_Data!K:K, MATCH(B104, Refined_Data!A:A, 0))="Yes","SAFE",""),
      IF(INDEX(Refined_Data!L:L, MATCH(B104, Refined_Data!A:A, 0))="Yes","TRBLSHOOT",""),
      IF(INDEX(Refined_Data!M:M, MATCH(B104, Refined_Data!A:A, 0))="Yes","BMRC","")
    ),
  "")
)</f>
        <v>SAFE, TRBLSHOOT</v>
      </c>
      <c r="G104" s="126" t="str">
        <f>IFERROR(VLOOKUP(B104, Refined_Data!A:Z, 8, FALSE), "")</f>
        <v>M0240</v>
      </c>
      <c r="H104" s="126">
        <f>IFERROR(VLOOKUP(B104, Refined_Data!A:Z, 9, FALSE), "")</f>
        <v>100956378</v>
      </c>
      <c r="I104" s="133"/>
      <c r="J104" s="127" t="str">
        <f>IFERROR(VLOOKUP(B104, Refined_Data!A:Z, 14, FALSE), "")</f>
        <v>Lo, Mamadou</v>
      </c>
      <c r="K104" s="118" t="str">
        <f t="shared" si="1"/>
        <v>↑</v>
      </c>
      <c r="L104" s="119">
        <f>IFERROR(VLOOKUP(A104, Current_Stats!A:Z, 7, FALSE), "")</f>
        <v>0.78</v>
      </c>
      <c r="M104" s="119">
        <f>IFERROR(VLOOKUP(A104, Previous_Stats!A:Z, 7, FALSE), "")</f>
        <v>0.737</v>
      </c>
      <c r="N104" s="120" t="str">
        <f t="shared" si="2"/>
        <v>↑</v>
      </c>
      <c r="O104" s="119">
        <f>IFERROR(VLOOKUP(A104, Current_Stats!A:Z, 8, FALSE), "")</f>
        <v>0.22</v>
      </c>
      <c r="P104" s="92"/>
      <c r="Q104" s="112" t="str">
        <f>IFERROR(VLOOKUP(B104, Shift_Analysis!A:Z, 6, FALSE), "")</f>
        <v>2</v>
      </c>
      <c r="R104" s="114" t="str">
        <f>IFERROR(VLOOKUP(B104, Shift_Analysis!A:Z, 7, FALSE), "")</f>
        <v>2</v>
      </c>
      <c r="S104" s="123">
        <f>IFERROR(VLOOKUP(A104, Current_Stats!A:Z, 3, FALSE),"")</f>
        <v>19</v>
      </c>
    </row>
    <row r="105" hidden="1">
      <c r="A105" s="110" t="str">
        <f t="array" ref="A105">IFERROR(
  INDEX(Refined_Data!O:O, MATCH(B105, Refined_Data!A:A, FALSE)),
"")</f>
        <v>Villanueva, Tara</v>
      </c>
      <c r="B105" s="124" t="str">
        <f>Refined_Data!A105</f>
        <v>Villanueva, Tara</v>
      </c>
      <c r="C105" s="131" t="str">
        <f>IFERROR(VLOOKUP(B105, Refined_Data!A:Z, 4, FALSE), "")</f>
        <v>English</v>
      </c>
      <c r="D105" s="113" t="str">
        <f>IF(B105="","", IFERROR(VLOOKUP(B105, Refined_Data!A:Z, 5, FALSE), ""))</f>
        <v/>
      </c>
      <c r="E105" s="114">
        <f>IFERROR(VLOOKUP(B105, Refined_Data!A:Z, 3, FALSE),"")</f>
        <v>1</v>
      </c>
      <c r="F105" s="132" t="str">
        <f t="array" ref="F105">IF(B105="","",
  IFERROR(
    TEXTJOIN(", ", TRUE,
      IF(INDEX(Refined_Data!K:K, MATCH(B105, Refined_Data!A:A, 0))="Yes","SAFE",""),
      IF(INDEX(Refined_Data!L:L, MATCH(B105, Refined_Data!A:A, 0))="Yes","TRBLSHOOT",""),
      IF(INDEX(Refined_Data!M:M, MATCH(B105, Refined_Data!A:A, 0))="Yes","BMRC","")
    ),
  "")
)</f>
        <v/>
      </c>
      <c r="G105" s="126" t="str">
        <f>IFERROR(VLOOKUP(B105, Refined_Data!A:Z, 8, FALSE), "")</f>
        <v>M0540</v>
      </c>
      <c r="H105" s="126">
        <f>IFERROR(VLOOKUP(B105, Refined_Data!A:Z, 9, FALSE), "")</f>
        <v>106001442</v>
      </c>
      <c r="I105" s="133"/>
      <c r="J105" s="127" t="str">
        <f>IFERROR(VLOOKUP(B105, Refined_Data!A:Z, 14, FALSE), "")</f>
        <v>Coghiel, Caren</v>
      </c>
      <c r="K105" s="118" t="str">
        <f t="shared" si="1"/>
        <v>↑</v>
      </c>
      <c r="L105" s="119">
        <f>IFERROR(VLOOKUP(A105, Current_Stats!A:Z, 7, FALSE), "")</f>
        <v>0.027</v>
      </c>
      <c r="M105" s="119">
        <f>IFERROR(VLOOKUP(A105, Previous_Stats!A:Z, 7, FALSE), "")</f>
        <v>0.02</v>
      </c>
      <c r="N105" s="120" t="str">
        <f t="shared" si="2"/>
        <v>↑</v>
      </c>
      <c r="O105" s="119">
        <f>IFERROR(VLOOKUP(A105, Current_Stats!A:Z, 8, FALSE), "")</f>
        <v>0.973</v>
      </c>
      <c r="P105" s="92"/>
      <c r="Q105" s="112" t="str">
        <f>IFERROR(VLOOKUP(B105, Shift_Analysis!A:Z, 6, FALSE), "")</f>
        <v/>
      </c>
      <c r="R105" s="114" t="str">
        <f>IFERROR(VLOOKUP(B105, Shift_Analysis!A:Z, 7, FALSE), "")</f>
        <v/>
      </c>
      <c r="S105" s="123">
        <f>IFERROR(VLOOKUP(A105, Current_Stats!A:Z, 3, FALSE),"")</f>
        <v>8</v>
      </c>
    </row>
    <row r="106">
      <c r="A106" s="110" t="str">
        <f t="array" ref="A106">IFERROR(
  INDEX(Refined_Data!O:O, MATCH(B106, Refined_Data!A:A, FALSE)),
"")</f>
        <v>Wong, Jordan</v>
      </c>
      <c r="B106" s="124" t="str">
        <f>Refined_Data!A106</f>
        <v>Wong, Jordan</v>
      </c>
      <c r="C106" s="131" t="str">
        <f>IFERROR(VLOOKUP(B106, Refined_Data!A:Z, 4, FALSE), "")</f>
        <v>English</v>
      </c>
      <c r="D106" s="113" t="str">
        <f>IF(B106="","", IFERROR(VLOOKUP(B106, Refined_Data!A:Z, 5, FALSE), ""))</f>
        <v>Day</v>
      </c>
      <c r="E106" s="114">
        <f>IFERROR(VLOOKUP(B106, Refined_Data!A:Z, 3, FALSE),"")</f>
        <v>4</v>
      </c>
      <c r="F106" s="132" t="str">
        <f t="array" ref="F106">IF(B106="","",
  IFERROR(
    TEXTJOIN(", ", TRUE,
      IF(INDEX(Refined_Data!K:K, MATCH(B106, Refined_Data!A:A, 0))="Yes","SAFE",""),
      IF(INDEX(Refined_Data!L:L, MATCH(B106, Refined_Data!A:A, 0))="Yes","TRBLSHOOT",""),
      IF(INDEX(Refined_Data!M:M, MATCH(B106, Refined_Data!A:A, 0))="Yes","BMRC","")
    ),
  "")
)</f>
        <v>SAFE, TRBLSHOOT</v>
      </c>
      <c r="G106" s="126" t="str">
        <f>IFERROR(VLOOKUP(B106, Refined_Data!A:Z, 8, FALSE), "")</f>
        <v>M0245</v>
      </c>
      <c r="H106" s="126">
        <f>IFERROR(VLOOKUP(B106, Refined_Data!A:Z, 9, FALSE), "")</f>
        <v>100936703</v>
      </c>
      <c r="I106" s="133"/>
      <c r="J106" s="127" t="str">
        <f>IFERROR(VLOOKUP(B106, Refined_Data!A:Z, 14, FALSE), "")</f>
        <v>Dhindsa, Sukhjinder</v>
      </c>
      <c r="K106" s="118" t="str">
        <f t="shared" si="1"/>
        <v>↓</v>
      </c>
      <c r="L106" s="119">
        <f>IFERROR(VLOOKUP(A106, Current_Stats!A:Z, 7, FALSE), "")</f>
        <v>0.573</v>
      </c>
      <c r="M106" s="119">
        <f>IFERROR(VLOOKUP(A106, Previous_Stats!A:Z, 7, FALSE), "")</f>
        <v>0.645</v>
      </c>
      <c r="N106" s="120" t="str">
        <f t="shared" si="2"/>
        <v>↑</v>
      </c>
      <c r="O106" s="119">
        <f>IFERROR(VLOOKUP(A106, Current_Stats!A:Z, 8, FALSE), "")</f>
        <v>0.427</v>
      </c>
      <c r="P106" s="92"/>
      <c r="Q106" s="112" t="str">
        <f>IFERROR(VLOOKUP(B106, Shift_Analysis!A:Z, 6, FALSE), "")</f>
        <v>2</v>
      </c>
      <c r="R106" s="114" t="str">
        <f>IFERROR(VLOOKUP(B106, Shift_Analysis!A:Z, 7, FALSE), "")</f>
        <v>2</v>
      </c>
      <c r="S106" s="123">
        <f>IFERROR(VLOOKUP(A106, Current_Stats!A:Z, 3, FALSE),"")</f>
        <v>15</v>
      </c>
    </row>
    <row r="107">
      <c r="A107" s="110" t="str">
        <f t="array" ref="A107">IFERROR(
  INDEX(Refined_Data!O:O, MATCH(B107, Refined_Data!A:A, FALSE)),
"")</f>
        <v>Wong, Lawrence</v>
      </c>
      <c r="B107" s="124" t="str">
        <f>Refined_Data!A107</f>
        <v>Wong, Lawrence</v>
      </c>
      <c r="C107" s="131" t="str">
        <f>IFERROR(VLOOKUP(B107, Refined_Data!A:Z, 4, FALSE), "")</f>
        <v>English</v>
      </c>
      <c r="D107" s="113" t="str">
        <f>IF(B107="","", IFERROR(VLOOKUP(B107, Refined_Data!A:Z, 5, FALSE), ""))</f>
        <v>Night</v>
      </c>
      <c r="E107" s="114">
        <f>IFERROR(VLOOKUP(B107, Refined_Data!A:Z, 3, FALSE),"")</f>
        <v>2</v>
      </c>
      <c r="F107" s="132" t="str">
        <f t="array" ref="F107">IF(B107="","",
  IFERROR(
    TEXTJOIN(", ", TRUE,
      IF(INDEX(Refined_Data!K:K, MATCH(B107, Refined_Data!A:A, 0))="Yes","SAFE",""),
      IF(INDEX(Refined_Data!L:L, MATCH(B107, Refined_Data!A:A, 0))="Yes","TRBLSHOOT",""),
      IF(INDEX(Refined_Data!M:M, MATCH(B107, Refined_Data!A:A, 0))="Yes","BMRC","")
    ),
  "")
)</f>
        <v>SAFE, TRBLSHOOT</v>
      </c>
      <c r="G107" s="126" t="str">
        <f>IFERROR(VLOOKUP(B107, Refined_Data!A:Z, 8, FALSE), "")</f>
        <v>M0246</v>
      </c>
      <c r="H107" s="126">
        <f>IFERROR(VLOOKUP(B107, Refined_Data!A:Z, 9, FALSE), "")</f>
        <v>100936684</v>
      </c>
      <c r="I107" s="133"/>
      <c r="J107" s="127" t="str">
        <f>IFERROR(VLOOKUP(B107, Refined_Data!A:Z, 14, FALSE), "")</f>
        <v>Herrati, Houcine</v>
      </c>
      <c r="K107" s="118" t="str">
        <f t="shared" si="1"/>
        <v>↓</v>
      </c>
      <c r="L107" s="119">
        <f>IFERROR(VLOOKUP(A107, Current_Stats!A:Z, 7, FALSE), "")</f>
        <v>0.734</v>
      </c>
      <c r="M107" s="119">
        <f>IFERROR(VLOOKUP(A107, Previous_Stats!A:Z, 7, FALSE), "")</f>
        <v>0.753</v>
      </c>
      <c r="N107" s="120" t="str">
        <f t="shared" si="2"/>
        <v>↑</v>
      </c>
      <c r="O107" s="119">
        <f>IFERROR(VLOOKUP(A107, Current_Stats!A:Z, 8, FALSE), "")</f>
        <v>0.266</v>
      </c>
      <c r="P107" s="92"/>
      <c r="Q107" s="112" t="str">
        <f>IFERROR(VLOOKUP(B107, Shift_Analysis!A:Z, 6, FALSE), "")</f>
        <v>2</v>
      </c>
      <c r="R107" s="114" t="str">
        <f>IFERROR(VLOOKUP(B107, Shift_Analysis!A:Z, 7, FALSE), "")</f>
        <v>3</v>
      </c>
      <c r="S107" s="123">
        <f>IFERROR(VLOOKUP(A107, Current_Stats!A:Z, 3, FALSE),"")</f>
        <v>16</v>
      </c>
    </row>
    <row r="108">
      <c r="A108" s="110" t="str">
        <f t="array" ref="A108">IFERROR(
  INDEX(Refined_Data!O:O, MATCH(B108, Refined_Data!A:A, FALSE)),
"")</f>
        <v>Young, Helen</v>
      </c>
      <c r="B108" s="124" t="str">
        <f>Refined_Data!A108</f>
        <v>Young, Helen</v>
      </c>
      <c r="C108" s="131" t="str">
        <f>IFERROR(VLOOKUP(B108, Refined_Data!A:Z, 4, FALSE), "")</f>
        <v>English</v>
      </c>
      <c r="D108" s="113" t="str">
        <f>IF(B108="","", IFERROR(VLOOKUP(B108, Refined_Data!A:Z, 5, FALSE), ""))</f>
        <v>Day</v>
      </c>
      <c r="E108" s="114">
        <f>IFERROR(VLOOKUP(B108, Refined_Data!A:Z, 3, FALSE),"")</f>
        <v>2</v>
      </c>
      <c r="F108" s="132" t="str">
        <f t="array" ref="F108">IF(B108="","",
  IFERROR(
    TEXTJOIN(", ", TRUE,
      IF(INDEX(Refined_Data!K:K, MATCH(B108, Refined_Data!A:A, 0))="Yes","SAFE",""),
      IF(INDEX(Refined_Data!L:L, MATCH(B108, Refined_Data!A:A, 0))="Yes","TRBLSHOOT",""),
      IF(INDEX(Refined_Data!M:M, MATCH(B108, Refined_Data!A:A, 0))="Yes","BMRC","")
    ),
  "")
)</f>
        <v>SAFE</v>
      </c>
      <c r="G108" s="126" t="str">
        <f>IFERROR(VLOOKUP(B108, Refined_Data!A:Z, 8, FALSE), "")</f>
        <v>M0247</v>
      </c>
      <c r="H108" s="126">
        <f>IFERROR(VLOOKUP(B108, Refined_Data!A:Z, 9, FALSE), "")</f>
        <v>100956361</v>
      </c>
      <c r="I108" s="133"/>
      <c r="J108" s="127" t="str">
        <f>IFERROR(VLOOKUP(B108, Refined_Data!A:Z, 14, FALSE), "")</f>
        <v>Gillingham, Shelley</v>
      </c>
      <c r="K108" s="118" t="str">
        <f t="shared" si="1"/>
        <v>↓</v>
      </c>
      <c r="L108" s="119">
        <f>IFERROR(VLOOKUP(A108, Current_Stats!A:Z, 7, FALSE), "")</f>
        <v>0.155</v>
      </c>
      <c r="M108" s="119">
        <f>IFERROR(VLOOKUP(A108, Previous_Stats!A:Z, 7, FALSE), "")</f>
        <v>0.328</v>
      </c>
      <c r="N108" s="120" t="str">
        <f t="shared" si="2"/>
        <v>↑</v>
      </c>
      <c r="O108" s="119">
        <f>IFERROR(VLOOKUP(A108, Current_Stats!A:Z, 8, FALSE), "")</f>
        <v>0.845</v>
      </c>
      <c r="P108" s="92"/>
      <c r="Q108" s="112" t="str">
        <f>IFERROR(VLOOKUP(B108, Shift_Analysis!A:Z, 6, FALSE), "")</f>
        <v>1</v>
      </c>
      <c r="R108" s="114" t="str">
        <f>IFERROR(VLOOKUP(B108, Shift_Analysis!A:Z, 7, FALSE), "")</f>
        <v>1</v>
      </c>
      <c r="S108" s="123">
        <f>IFERROR(VLOOKUP(A108, Current_Stats!A:Z, 3, FALSE),"")</f>
        <v>8</v>
      </c>
    </row>
    <row r="109" hidden="1">
      <c r="A109" s="110" t="str">
        <f t="array" ref="A109">IFERROR(
  INDEX(Refined_Data!O:O, MATCH(B109, Refined_Data!A:A, FALSE)),
"")</f>
        <v/>
      </c>
      <c r="B109" s="124" t="str">
        <f>Refined_Data!A109</f>
        <v/>
      </c>
      <c r="C109" s="131" t="str">
        <f>IFERROR(VLOOKUP(B109, Refined_Data!A:Z, 4, FALSE), "")</f>
        <v/>
      </c>
      <c r="D109" s="113" t="str">
        <f>IF(B109="","", IFERROR(VLOOKUP(B109, Refined_Data!A:Z, 5, FALSE), ""))</f>
        <v/>
      </c>
      <c r="E109" s="114" t="str">
        <f>IFERROR(VLOOKUP(B109, Refined_Data!A:Z, 3, FALSE),"")</f>
        <v/>
      </c>
      <c r="F109" s="132" t="str">
        <f t="array" ref="F109">IF(B109="","",
  IFERROR(
    TEXTJOIN(", ", TRUE,
      IF(INDEX(Refined_Data!K:K, MATCH(B109, Refined_Data!A:A, 0))="Yes","SAFE",""),
      IF(INDEX(Refined_Data!L:L, MATCH(B109, Refined_Data!A:A, 0))="Yes","TRBLSHOOT",""),
      IF(INDEX(Refined_Data!M:M, MATCH(B109, Refined_Data!A:A, 0))="Yes","BMRC","")
    ),
  "")
)</f>
        <v/>
      </c>
      <c r="G109" s="126" t="str">
        <f>IFERROR(VLOOKUP(B109, Refined_Data!A:Z, 8, FALSE), "")</f>
        <v/>
      </c>
      <c r="H109" s="126" t="str">
        <f>IFERROR(VLOOKUP(B109, Refined_Data!A:Z, 9, FALSE), "")</f>
        <v/>
      </c>
      <c r="I109" s="133"/>
      <c r="J109" s="127" t="str">
        <f>IFERROR(VLOOKUP(B109, Refined_Data!A:Z, 14, FALSE), "")</f>
        <v/>
      </c>
      <c r="K109" s="118" t="str">
        <f t="shared" si="1"/>
        <v/>
      </c>
      <c r="L109" s="119" t="str">
        <f>IFERROR(VLOOKUP(A109, Current_Stats!A:Z, 7, FALSE), "")</f>
        <v/>
      </c>
      <c r="M109" s="119" t="str">
        <f>IFERROR(VLOOKUP(A109, Previous_Stats!A:Z, 7, FALSE), "")</f>
        <v/>
      </c>
      <c r="N109" s="120" t="str">
        <f t="shared" si="2"/>
        <v/>
      </c>
      <c r="O109" s="119" t="str">
        <f>IFERROR(VLOOKUP(A109, Current_Stats!A:Z, 8, FALSE), "")</f>
        <v/>
      </c>
      <c r="P109" s="92"/>
      <c r="Q109" s="112" t="str">
        <f>IFERROR(VLOOKUP(B109, Shift_Analysis!A:Z, 6, FALSE), "")</f>
        <v/>
      </c>
      <c r="R109" s="114" t="str">
        <f>IFERROR(VLOOKUP(B109, Shift_Analysis!A:Z, 7, FALSE), "")</f>
        <v/>
      </c>
      <c r="S109" s="123" t="str">
        <f>IFERROR(VLOOKUP(A109, Current_Stats!A:Z, 3, FALSE),"")</f>
        <v/>
      </c>
    </row>
    <row r="110" hidden="1">
      <c r="A110" s="110" t="str">
        <f t="array" ref="A110">IFERROR(
  INDEX(Refined_Data!O:O, MATCH(B110, Refined_Data!A:A, FALSE)),
"")</f>
        <v/>
      </c>
      <c r="B110" s="124" t="str">
        <f>Refined_Data!A110</f>
        <v/>
      </c>
      <c r="C110" s="131" t="str">
        <f>IFERROR(VLOOKUP(B110, Refined_Data!A:Z, 4, FALSE), "")</f>
        <v/>
      </c>
      <c r="D110" s="113" t="str">
        <f>IF(B110="","", IFERROR(VLOOKUP(B110, Refined_Data!A:Z, 5, FALSE), ""))</f>
        <v/>
      </c>
      <c r="E110" s="114" t="str">
        <f>IFERROR(VLOOKUP(B110, Refined_Data!A:Z, 3, FALSE),"")</f>
        <v/>
      </c>
      <c r="F110" s="132" t="str">
        <f t="array" ref="F110">IF(B110="","",
  IFERROR(
    TEXTJOIN(", ", TRUE,
      IF(INDEX(Refined_Data!K:K, MATCH(B110, Refined_Data!A:A, 0))="Yes","SAFE",""),
      IF(INDEX(Refined_Data!L:L, MATCH(B110, Refined_Data!A:A, 0))="Yes","TRBLSHOOT",""),
      IF(INDEX(Refined_Data!M:M, MATCH(B110, Refined_Data!A:A, 0))="Yes","BMRC","")
    ),
  "")
)</f>
        <v/>
      </c>
      <c r="G110" s="126" t="str">
        <f>IFERROR(VLOOKUP(B110, Refined_Data!A:Z, 8, FALSE), "")</f>
        <v/>
      </c>
      <c r="H110" s="126" t="str">
        <f>IFERROR(VLOOKUP(B110, Refined_Data!A:Z, 9, FALSE), "")</f>
        <v/>
      </c>
      <c r="I110" s="133"/>
      <c r="J110" s="127" t="str">
        <f>IFERROR(VLOOKUP(B110, Refined_Data!A:Z, 14, FALSE), "")</f>
        <v/>
      </c>
      <c r="K110" s="118" t="str">
        <f t="shared" si="1"/>
        <v/>
      </c>
      <c r="L110" s="119" t="str">
        <f>IFERROR(VLOOKUP(A110, Current_Stats!A:Z, 7, FALSE), "")</f>
        <v/>
      </c>
      <c r="M110" s="119" t="str">
        <f>IFERROR(VLOOKUP(A110, Previous_Stats!A:Z, 7, FALSE), "")</f>
        <v/>
      </c>
      <c r="N110" s="120" t="str">
        <f t="shared" si="2"/>
        <v/>
      </c>
      <c r="O110" s="119" t="str">
        <f>IFERROR(VLOOKUP(A110, Current_Stats!A:Z, 8, FALSE), "")</f>
        <v/>
      </c>
      <c r="P110" s="92"/>
      <c r="Q110" s="112" t="str">
        <f>IFERROR(VLOOKUP(B110, Shift_Analysis!A:Z, 6, FALSE), "")</f>
        <v/>
      </c>
      <c r="R110" s="114" t="str">
        <f>IFERROR(VLOOKUP(B110, Shift_Analysis!A:Z, 7, FALSE), "")</f>
        <v/>
      </c>
      <c r="S110" s="123" t="str">
        <f>IFERROR(VLOOKUP(A110, Current_Stats!A:Z, 3, FALSE),"")</f>
        <v/>
      </c>
    </row>
    <row r="111" hidden="1">
      <c r="A111" s="110" t="str">
        <f t="array" ref="A111">IFERROR(
  INDEX(Refined_Data!O:O, MATCH(B111, Refined_Data!A:A, FALSE)),
"")</f>
        <v/>
      </c>
      <c r="B111" s="124" t="str">
        <f>Refined_Data!A111</f>
        <v/>
      </c>
      <c r="C111" s="131" t="str">
        <f>IFERROR(VLOOKUP(B111, Refined_Data!A:Z, 4, FALSE), "")</f>
        <v/>
      </c>
      <c r="D111" s="113" t="str">
        <f>IF(B111="","", IFERROR(VLOOKUP(B111, Refined_Data!A:Z, 5, FALSE), ""))</f>
        <v/>
      </c>
      <c r="E111" s="114" t="str">
        <f>IFERROR(VLOOKUP(B111, Refined_Data!A:Z, 3, FALSE),"")</f>
        <v/>
      </c>
      <c r="F111" s="132" t="str">
        <f t="array" ref="F111">IF(B111="","",
  IFERROR(
    TEXTJOIN(", ", TRUE,
      IF(INDEX(Refined_Data!K:K, MATCH(B111, Refined_Data!A:A, 0))="Yes","SAFE",""),
      IF(INDEX(Refined_Data!L:L, MATCH(B111, Refined_Data!A:A, 0))="Yes","TRBLSHOOT",""),
      IF(INDEX(Refined_Data!M:M, MATCH(B111, Refined_Data!A:A, 0))="Yes","BMRC","")
    ),
  "")
)</f>
        <v/>
      </c>
      <c r="G111" s="126" t="str">
        <f>IFERROR(VLOOKUP(B111, Refined_Data!A:Z, 8, FALSE), "")</f>
        <v/>
      </c>
      <c r="H111" s="126" t="str">
        <f>IFERROR(VLOOKUP(B111, Refined_Data!A:Z, 9, FALSE), "")</f>
        <v/>
      </c>
      <c r="I111" s="133"/>
      <c r="J111" s="127" t="str">
        <f>IFERROR(VLOOKUP(B111, Refined_Data!A:Z, 14, FALSE), "")</f>
        <v/>
      </c>
      <c r="K111" s="118" t="str">
        <f t="shared" si="1"/>
        <v/>
      </c>
      <c r="L111" s="119" t="str">
        <f>IFERROR(VLOOKUP(A111, Current_Stats!A:Z, 7, FALSE), "")</f>
        <v/>
      </c>
      <c r="M111" s="119" t="str">
        <f>IFERROR(VLOOKUP(A111, Previous_Stats!A:Z, 7, FALSE), "")</f>
        <v/>
      </c>
      <c r="N111" s="120" t="str">
        <f t="shared" si="2"/>
        <v/>
      </c>
      <c r="O111" s="119" t="str">
        <f>IFERROR(VLOOKUP(A111, Current_Stats!A:Z, 8, FALSE), "")</f>
        <v/>
      </c>
      <c r="P111" s="92"/>
      <c r="Q111" s="112" t="str">
        <f>IFERROR(VLOOKUP(B111, Shift_Analysis!A:Z, 6, FALSE), "")</f>
        <v/>
      </c>
      <c r="R111" s="114" t="str">
        <f>IFERROR(VLOOKUP(B111, Shift_Analysis!A:Z, 7, FALSE), "")</f>
        <v/>
      </c>
      <c r="S111" s="123" t="str">
        <f>IFERROR(VLOOKUP(A111, Current_Stats!A:Z, 3, FALSE),"")</f>
        <v/>
      </c>
    </row>
    <row r="112" hidden="1">
      <c r="A112" s="110" t="str">
        <f t="array" ref="A112">IFERROR(
  INDEX(Refined_Data!O:O, MATCH(B112, Refined_Data!A:A, FALSE)),
"")</f>
        <v/>
      </c>
      <c r="B112" s="124" t="str">
        <f>Refined_Data!A112</f>
        <v/>
      </c>
      <c r="C112" s="131" t="str">
        <f>IFERROR(VLOOKUP(B112, Refined_Data!A:Z, 4, FALSE), "")</f>
        <v/>
      </c>
      <c r="D112" s="113" t="str">
        <f>IF(B112="","", IFERROR(VLOOKUP(B112, Refined_Data!A:Z, 5, FALSE), ""))</f>
        <v/>
      </c>
      <c r="E112" s="114" t="str">
        <f>IFERROR(VLOOKUP(B112, Refined_Data!A:Z, 3, FALSE),"")</f>
        <v/>
      </c>
      <c r="F112" s="132" t="str">
        <f t="array" ref="F112">IF(B112="","",
  IFERROR(
    TEXTJOIN(", ", TRUE,
      IF(INDEX(Refined_Data!K:K, MATCH(B112, Refined_Data!A:A, 0))="Yes","SAFE",""),
      IF(INDEX(Refined_Data!L:L, MATCH(B112, Refined_Data!A:A, 0))="Yes","TRBLSHOOT",""),
      IF(INDEX(Refined_Data!M:M, MATCH(B112, Refined_Data!A:A, 0))="Yes","BMRC","")
    ),
  "")
)</f>
        <v/>
      </c>
      <c r="G112" s="126" t="str">
        <f>IFERROR(VLOOKUP(B112, Refined_Data!A:Z, 8, FALSE), "")</f>
        <v/>
      </c>
      <c r="H112" s="126" t="str">
        <f>IFERROR(VLOOKUP(B112, Refined_Data!A:Z, 9, FALSE), "")</f>
        <v/>
      </c>
      <c r="I112" s="133"/>
      <c r="J112" s="127" t="str">
        <f>IFERROR(VLOOKUP(B112, Refined_Data!A:Z, 14, FALSE), "")</f>
        <v/>
      </c>
      <c r="K112" s="118" t="str">
        <f t="shared" si="1"/>
        <v/>
      </c>
      <c r="L112" s="119" t="str">
        <f>IFERROR(VLOOKUP(A112, Current_Stats!A:Z, 7, FALSE), "")</f>
        <v/>
      </c>
      <c r="M112" s="119" t="str">
        <f>IFERROR(VLOOKUP(A112, Previous_Stats!A:Z, 7, FALSE), "")</f>
        <v/>
      </c>
      <c r="N112" s="120" t="str">
        <f t="shared" si="2"/>
        <v/>
      </c>
      <c r="O112" s="119" t="str">
        <f>IFERROR(VLOOKUP(A112, Current_Stats!A:Z, 8, FALSE), "")</f>
        <v/>
      </c>
      <c r="P112" s="92"/>
      <c r="Q112" s="112" t="str">
        <f>IFERROR(VLOOKUP(B112, Shift_Analysis!A:Z, 6, FALSE), "")</f>
        <v/>
      </c>
      <c r="R112" s="114" t="str">
        <f>IFERROR(VLOOKUP(B112, Shift_Analysis!A:Z, 7, FALSE), "")</f>
        <v/>
      </c>
      <c r="S112" s="123" t="str">
        <f>IFERROR(VLOOKUP(A112, Current_Stats!A:Z, 3, FALSE),"")</f>
        <v/>
      </c>
    </row>
    <row r="113" hidden="1">
      <c r="A113" s="110" t="str">
        <f t="array" ref="A113">IFERROR(
  INDEX(Refined_Data!O:O, MATCH(B113, Refined_Data!A:A, FALSE)),
"")</f>
        <v/>
      </c>
      <c r="B113" s="124" t="str">
        <f>Refined_Data!A113</f>
        <v/>
      </c>
      <c r="C113" s="131" t="str">
        <f>IFERROR(VLOOKUP(B113, Refined_Data!A:Z, 4, FALSE), "")</f>
        <v/>
      </c>
      <c r="D113" s="113" t="str">
        <f>IF(B113="","", IFERROR(VLOOKUP(B113, Refined_Data!A:Z, 5, FALSE), ""))</f>
        <v/>
      </c>
      <c r="E113" s="114" t="str">
        <f>IFERROR(VLOOKUP(B113, Refined_Data!A:Z, 3, FALSE),"")</f>
        <v/>
      </c>
      <c r="F113" s="132" t="str">
        <f t="array" ref="F113">IF(B113="","",
  IFERROR(
    TEXTJOIN(", ", TRUE,
      IF(INDEX(Refined_Data!K:K, MATCH(B113, Refined_Data!A:A, 0))="Yes","SAFE",""),
      IF(INDEX(Refined_Data!L:L, MATCH(B113, Refined_Data!A:A, 0))="Yes","TRBLSHOOT",""),
      IF(INDEX(Refined_Data!M:M, MATCH(B113, Refined_Data!A:A, 0))="Yes","BMRC","")
    ),
  "")
)</f>
        <v/>
      </c>
      <c r="G113" s="126" t="str">
        <f>IFERROR(VLOOKUP(B113, Refined_Data!A:Z, 8, FALSE), "")</f>
        <v/>
      </c>
      <c r="H113" s="126" t="str">
        <f>IFERROR(VLOOKUP(B113, Refined_Data!A:Z, 9, FALSE), "")</f>
        <v/>
      </c>
      <c r="I113" s="133"/>
      <c r="J113" s="127" t="str">
        <f>IFERROR(VLOOKUP(B113, Refined_Data!A:Z, 14, FALSE), "")</f>
        <v/>
      </c>
      <c r="K113" s="118" t="str">
        <f t="shared" si="1"/>
        <v/>
      </c>
      <c r="L113" s="119" t="str">
        <f>IFERROR(VLOOKUP(A113, Current_Stats!A:Z, 7, FALSE), "")</f>
        <v/>
      </c>
      <c r="M113" s="119" t="str">
        <f>IFERROR(VLOOKUP(A113, Previous_Stats!A:Z, 7, FALSE), "")</f>
        <v/>
      </c>
      <c r="N113" s="120" t="str">
        <f t="shared" si="2"/>
        <v/>
      </c>
      <c r="O113" s="119" t="str">
        <f>IFERROR(VLOOKUP(A113, Current_Stats!A:Z, 8, FALSE), "")</f>
        <v/>
      </c>
      <c r="P113" s="92"/>
      <c r="Q113" s="112" t="str">
        <f>IFERROR(VLOOKUP(B113, Shift_Analysis!A:Z, 6, FALSE), "")</f>
        <v/>
      </c>
      <c r="R113" s="114" t="str">
        <f>IFERROR(VLOOKUP(B113, Shift_Analysis!A:Z, 7, FALSE), "")</f>
        <v/>
      </c>
      <c r="S113" s="123" t="str">
        <f>IFERROR(VLOOKUP(A113, Current_Stats!A:Z, 3, FALSE),"")</f>
        <v/>
      </c>
    </row>
    <row r="114" hidden="1">
      <c r="A114" s="110" t="str">
        <f t="array" ref="A114">IFERROR(
  INDEX(Refined_Data!O:O, MATCH(B114, Refined_Data!A:A, FALSE)),
"")</f>
        <v/>
      </c>
      <c r="B114" s="124" t="str">
        <f>Refined_Data!A114</f>
        <v/>
      </c>
      <c r="C114" s="131" t="str">
        <f>IFERROR(VLOOKUP(B114, Refined_Data!A:Z, 4, FALSE), "")</f>
        <v/>
      </c>
      <c r="D114" s="113" t="str">
        <f>IF(B114="","", IFERROR(VLOOKUP(B114, Refined_Data!A:Z, 5, FALSE), ""))</f>
        <v/>
      </c>
      <c r="E114" s="114" t="str">
        <f>IFERROR(VLOOKUP(B114, Refined_Data!A:Z, 3, FALSE),"")</f>
        <v/>
      </c>
      <c r="F114" s="132" t="str">
        <f t="array" ref="F114">IF(B114="","",
  IFERROR(
    TEXTJOIN(", ", TRUE,
      IF(INDEX(Refined_Data!K:K, MATCH(B114, Refined_Data!A:A, 0))="Yes","SAFE",""),
      IF(INDEX(Refined_Data!L:L, MATCH(B114, Refined_Data!A:A, 0))="Yes","TRBLSHOOT",""),
      IF(INDEX(Refined_Data!M:M, MATCH(B114, Refined_Data!A:A, 0))="Yes","BMRC","")
    ),
  "")
)</f>
        <v/>
      </c>
      <c r="G114" s="126" t="str">
        <f>IFERROR(VLOOKUP(B114, Refined_Data!A:Z, 8, FALSE), "")</f>
        <v/>
      </c>
      <c r="H114" s="126" t="str">
        <f>IFERROR(VLOOKUP(B114, Refined_Data!A:Z, 9, FALSE), "")</f>
        <v/>
      </c>
      <c r="I114" s="133"/>
      <c r="J114" s="127" t="str">
        <f>IFERROR(VLOOKUP(B114, Refined_Data!A:Z, 14, FALSE), "")</f>
        <v/>
      </c>
      <c r="K114" s="118" t="str">
        <f t="shared" si="1"/>
        <v/>
      </c>
      <c r="L114" s="119" t="str">
        <f>IFERROR(VLOOKUP(A114, Current_Stats!A:Z, 7, FALSE), "")</f>
        <v/>
      </c>
      <c r="M114" s="119" t="str">
        <f>IFERROR(VLOOKUP(A114, Previous_Stats!A:Z, 7, FALSE), "")</f>
        <v/>
      </c>
      <c r="N114" s="120" t="str">
        <f t="shared" si="2"/>
        <v/>
      </c>
      <c r="O114" s="119" t="str">
        <f>IFERROR(VLOOKUP(A114, Current_Stats!A:Z, 8, FALSE), "")</f>
        <v/>
      </c>
      <c r="P114" s="92"/>
      <c r="Q114" s="112" t="str">
        <f>IFERROR(VLOOKUP(B114, Shift_Analysis!A:Z, 6, FALSE), "")</f>
        <v/>
      </c>
      <c r="R114" s="114" t="str">
        <f>IFERROR(VLOOKUP(B114, Shift_Analysis!A:Z, 7, FALSE), "")</f>
        <v/>
      </c>
      <c r="S114" s="123" t="str">
        <f>IFERROR(VLOOKUP(A114, Current_Stats!A:Z, 3, FALSE),"")</f>
        <v/>
      </c>
    </row>
    <row r="115" hidden="1">
      <c r="A115" s="110" t="str">
        <f t="array" ref="A115">IFERROR(
  INDEX(Refined_Data!O:O, MATCH(B115, Refined_Data!A:A, FALSE)),
"")</f>
        <v/>
      </c>
      <c r="B115" s="124" t="str">
        <f>Refined_Data!A115</f>
        <v/>
      </c>
      <c r="C115" s="131" t="str">
        <f>IFERROR(VLOOKUP(B115, Refined_Data!A:Z, 4, FALSE), "")</f>
        <v/>
      </c>
      <c r="D115" s="113" t="str">
        <f>IF(B115="","", IFERROR(VLOOKUP(B115, Refined_Data!A:Z, 5, FALSE), ""))</f>
        <v/>
      </c>
      <c r="E115" s="114" t="str">
        <f>IFERROR(VLOOKUP(B115, Refined_Data!A:Z, 3, FALSE),"")</f>
        <v/>
      </c>
      <c r="F115" s="132" t="str">
        <f t="array" ref="F115">IF(B115="","",
  IFERROR(
    TEXTJOIN(", ", TRUE,
      IF(INDEX(Refined_Data!K:K, MATCH(B115, Refined_Data!A:A, 0))="Yes","SAFE",""),
      IF(INDEX(Refined_Data!L:L, MATCH(B115, Refined_Data!A:A, 0))="Yes","TRBLSHOOT",""),
      IF(INDEX(Refined_Data!M:M, MATCH(B115, Refined_Data!A:A, 0))="Yes","BMRC","")
    ),
  "")
)</f>
        <v/>
      </c>
      <c r="G115" s="126" t="str">
        <f>IFERROR(VLOOKUP(B115, Refined_Data!A:Z, 8, FALSE), "")</f>
        <v/>
      </c>
      <c r="H115" s="126" t="str">
        <f>IFERROR(VLOOKUP(B115, Refined_Data!A:Z, 9, FALSE), "")</f>
        <v/>
      </c>
      <c r="I115" s="133"/>
      <c r="J115" s="127" t="str">
        <f>IFERROR(VLOOKUP(B115, Refined_Data!A:Z, 14, FALSE), "")</f>
        <v/>
      </c>
      <c r="K115" s="118" t="str">
        <f t="shared" si="1"/>
        <v/>
      </c>
      <c r="L115" s="119" t="str">
        <f>IFERROR(VLOOKUP(A115, Current_Stats!A:Z, 7, FALSE), "")</f>
        <v/>
      </c>
      <c r="M115" s="119" t="str">
        <f>IFERROR(VLOOKUP(A115, Previous_Stats!A:Z, 7, FALSE), "")</f>
        <v/>
      </c>
      <c r="N115" s="120" t="str">
        <f t="shared" si="2"/>
        <v/>
      </c>
      <c r="O115" s="119" t="str">
        <f>IFERROR(VLOOKUP(A115, Current_Stats!A:Z, 8, FALSE), "")</f>
        <v/>
      </c>
      <c r="P115" s="92"/>
      <c r="Q115" s="112" t="str">
        <f>IFERROR(VLOOKUP(B115, Shift_Analysis!A:Z, 6, FALSE), "")</f>
        <v/>
      </c>
      <c r="R115" s="114" t="str">
        <f>IFERROR(VLOOKUP(B115, Shift_Analysis!A:Z, 7, FALSE), "")</f>
        <v/>
      </c>
      <c r="S115" s="123" t="str">
        <f>IFERROR(VLOOKUP(A115, Current_Stats!A:Z, 3, FALSE),"")</f>
        <v/>
      </c>
    </row>
    <row r="116" hidden="1">
      <c r="A116" s="110" t="str">
        <f t="array" ref="A116">IFERROR(
  INDEX(Refined_Data!O:O, MATCH(B116, Refined_Data!A:A, FALSE)),
"")</f>
        <v/>
      </c>
      <c r="B116" s="124" t="str">
        <f>Refined_Data!A116</f>
        <v/>
      </c>
      <c r="C116" s="131" t="str">
        <f>IFERROR(VLOOKUP(B116, Refined_Data!A:Z, 4, FALSE), "")</f>
        <v/>
      </c>
      <c r="D116" s="113" t="str">
        <f>IF(B116="","", IFERROR(VLOOKUP(B116, Refined_Data!A:Z, 5, FALSE), ""))</f>
        <v/>
      </c>
      <c r="E116" s="114" t="str">
        <f>IFERROR(VLOOKUP(B116, Refined_Data!A:Z, 3, FALSE),"")</f>
        <v/>
      </c>
      <c r="F116" s="132" t="str">
        <f t="array" ref="F116">IF(B116="","",
  IFERROR(
    TEXTJOIN(", ", TRUE,
      IF(INDEX(Refined_Data!K:K, MATCH(B116, Refined_Data!A:A, 0))="Yes","SAFE",""),
      IF(INDEX(Refined_Data!L:L, MATCH(B116, Refined_Data!A:A, 0))="Yes","TRBLSHOOT",""),
      IF(INDEX(Refined_Data!M:M, MATCH(B116, Refined_Data!A:A, 0))="Yes","BMRC","")
    ),
  "")
)</f>
        <v/>
      </c>
      <c r="G116" s="126" t="str">
        <f>IFERROR(VLOOKUP(B116, Refined_Data!A:Z, 8, FALSE), "")</f>
        <v/>
      </c>
      <c r="H116" s="126" t="str">
        <f>IFERROR(VLOOKUP(B116, Refined_Data!A:Z, 9, FALSE), "")</f>
        <v/>
      </c>
      <c r="I116" s="133"/>
      <c r="J116" s="127" t="str">
        <f>IFERROR(VLOOKUP(B116, Refined_Data!A:Z, 14, FALSE), "")</f>
        <v/>
      </c>
      <c r="K116" s="118" t="str">
        <f t="shared" si="1"/>
        <v/>
      </c>
      <c r="L116" s="119" t="str">
        <f>IFERROR(VLOOKUP(A116, Current_Stats!A:Z, 7, FALSE), "")</f>
        <v/>
      </c>
      <c r="M116" s="119" t="str">
        <f>IFERROR(VLOOKUP(A116, Previous_Stats!A:Z, 7, FALSE), "")</f>
        <v/>
      </c>
      <c r="N116" s="120" t="str">
        <f t="shared" si="2"/>
        <v/>
      </c>
      <c r="O116" s="119" t="str">
        <f>IFERROR(VLOOKUP(A116, Current_Stats!A:Z, 8, FALSE), "")</f>
        <v/>
      </c>
      <c r="P116" s="92"/>
      <c r="Q116" s="112" t="str">
        <f>IFERROR(VLOOKUP(B116, Shift_Analysis!A:Z, 6, FALSE), "")</f>
        <v/>
      </c>
      <c r="R116" s="114" t="str">
        <f>IFERROR(VLOOKUP(B116, Shift_Analysis!A:Z, 7, FALSE), "")</f>
        <v/>
      </c>
      <c r="S116" s="123" t="str">
        <f>IFERROR(VLOOKUP(A116, Current_Stats!A:Z, 3, FALSE),"")</f>
        <v/>
      </c>
    </row>
    <row r="117" hidden="1">
      <c r="A117" s="110" t="str">
        <f t="array" ref="A117">IFERROR(
  INDEX(Refined_Data!O:O, MATCH(B117, Refined_Data!A:A, FALSE)),
"")</f>
        <v/>
      </c>
      <c r="B117" s="124" t="str">
        <f>Refined_Data!A117</f>
        <v/>
      </c>
      <c r="C117" s="131" t="str">
        <f>IFERROR(VLOOKUP(B117, Refined_Data!A:Z, 4, FALSE), "")</f>
        <v/>
      </c>
      <c r="D117" s="113" t="str">
        <f>IF(B117="","", IFERROR(VLOOKUP(B117, Refined_Data!A:Z, 5, FALSE), ""))</f>
        <v/>
      </c>
      <c r="E117" s="114" t="str">
        <f>IFERROR(VLOOKUP(B117, Refined_Data!A:Z, 3, FALSE),"")</f>
        <v/>
      </c>
      <c r="F117" s="132" t="str">
        <f t="array" ref="F117">IF(B117="","",
  IFERROR(
    TEXTJOIN(", ", TRUE,
      IF(INDEX(Refined_Data!K:K, MATCH(B117, Refined_Data!A:A, 0))="Yes","SAFE",""),
      IF(INDEX(Refined_Data!L:L, MATCH(B117, Refined_Data!A:A, 0))="Yes","TRBLSHOOT",""),
      IF(INDEX(Refined_Data!M:M, MATCH(B117, Refined_Data!A:A, 0))="Yes","BMRC","")
    ),
  "")
)</f>
        <v/>
      </c>
      <c r="G117" s="126" t="str">
        <f>IFERROR(VLOOKUP(B117, Refined_Data!A:Z, 8, FALSE), "")</f>
        <v/>
      </c>
      <c r="H117" s="126" t="str">
        <f>IFERROR(VLOOKUP(B117, Refined_Data!A:Z, 9, FALSE), "")</f>
        <v/>
      </c>
      <c r="I117" s="133"/>
      <c r="J117" s="127" t="str">
        <f>IFERROR(VLOOKUP(B117, Refined_Data!A:Z, 14, FALSE), "")</f>
        <v/>
      </c>
      <c r="K117" s="118" t="str">
        <f t="shared" si="1"/>
        <v/>
      </c>
      <c r="L117" s="119" t="str">
        <f>IFERROR(VLOOKUP(A117, Current_Stats!A:Z, 7, FALSE), "")</f>
        <v/>
      </c>
      <c r="M117" s="119" t="str">
        <f>IFERROR(VLOOKUP(A117, Previous_Stats!A:Z, 7, FALSE), "")</f>
        <v/>
      </c>
      <c r="N117" s="120" t="str">
        <f t="shared" si="2"/>
        <v/>
      </c>
      <c r="O117" s="119" t="str">
        <f>IFERROR(VLOOKUP(A117, Current_Stats!A:Z, 8, FALSE), "")</f>
        <v/>
      </c>
      <c r="P117" s="92"/>
      <c r="Q117" s="112" t="str">
        <f>IFERROR(VLOOKUP(B117, Shift_Analysis!A:Z, 6, FALSE), "")</f>
        <v/>
      </c>
      <c r="R117" s="114" t="str">
        <f>IFERROR(VLOOKUP(B117, Shift_Analysis!A:Z, 7, FALSE), "")</f>
        <v/>
      </c>
      <c r="S117" s="123" t="str">
        <f>IFERROR(VLOOKUP(A117, Current_Stats!A:Z, 3, FALSE),"")</f>
        <v/>
      </c>
    </row>
    <row r="118" hidden="1">
      <c r="A118" s="110" t="str">
        <f t="array" ref="A118">IFERROR(
  INDEX(Refined_Data!O:O, MATCH(B118, Refined_Data!A:A, FALSE)),
"")</f>
        <v/>
      </c>
      <c r="B118" s="124" t="str">
        <f>Refined_Data!A118</f>
        <v/>
      </c>
      <c r="C118" s="131" t="str">
        <f>IFERROR(VLOOKUP(B118, Refined_Data!A:Z, 4, FALSE), "")</f>
        <v/>
      </c>
      <c r="D118" s="113" t="str">
        <f>IF(B118="","", IFERROR(VLOOKUP(B118, Refined_Data!A:Z, 5, FALSE), ""))</f>
        <v/>
      </c>
      <c r="E118" s="114" t="str">
        <f>IFERROR(VLOOKUP(B118, Refined_Data!A:Z, 3, FALSE),"")</f>
        <v/>
      </c>
      <c r="F118" s="132" t="str">
        <f t="array" ref="F118">IF(B118="","",
  IFERROR(
    TEXTJOIN(", ", TRUE,
      IF(INDEX(Refined_Data!K:K, MATCH(B118, Refined_Data!A:A, 0))="Yes","SAFE",""),
      IF(INDEX(Refined_Data!L:L, MATCH(B118, Refined_Data!A:A, 0))="Yes","TRBLSHOOT",""),
      IF(INDEX(Refined_Data!M:M, MATCH(B118, Refined_Data!A:A, 0))="Yes","BMRC","")
    ),
  "")
)</f>
        <v/>
      </c>
      <c r="G118" s="126" t="str">
        <f>IFERROR(VLOOKUP(B118, Refined_Data!A:Z, 8, FALSE), "")</f>
        <v/>
      </c>
      <c r="H118" s="126" t="str">
        <f>IFERROR(VLOOKUP(B118, Refined_Data!A:Z, 9, FALSE), "")</f>
        <v/>
      </c>
      <c r="I118" s="133"/>
      <c r="J118" s="127" t="str">
        <f>IFERROR(VLOOKUP(B118, Refined_Data!A:Z, 14, FALSE), "")</f>
        <v/>
      </c>
      <c r="K118" s="118" t="str">
        <f t="shared" si="1"/>
        <v/>
      </c>
      <c r="L118" s="119" t="str">
        <f>IFERROR(VLOOKUP(A118, Current_Stats!A:Z, 7, FALSE), "")</f>
        <v/>
      </c>
      <c r="M118" s="119" t="str">
        <f>IFERROR(VLOOKUP(A118, Previous_Stats!A:Z, 7, FALSE), "")</f>
        <v/>
      </c>
      <c r="N118" s="120" t="str">
        <f t="shared" si="2"/>
        <v/>
      </c>
      <c r="O118" s="119" t="str">
        <f>IFERROR(VLOOKUP(A118, Current_Stats!A:Z, 8, FALSE), "")</f>
        <v/>
      </c>
      <c r="P118" s="92"/>
      <c r="Q118" s="112" t="str">
        <f>IFERROR(VLOOKUP(B118, Shift_Analysis!A:Z, 6, FALSE), "")</f>
        <v/>
      </c>
      <c r="R118" s="114" t="str">
        <f>IFERROR(VLOOKUP(B118, Shift_Analysis!A:Z, 7, FALSE), "")</f>
        <v/>
      </c>
      <c r="S118" s="123" t="str">
        <f>IFERROR(VLOOKUP(A118, Current_Stats!A:Z, 3, FALSE),"")</f>
        <v/>
      </c>
    </row>
    <row r="119" hidden="1">
      <c r="A119" s="110" t="str">
        <f t="array" ref="A119">IFERROR(
  INDEX(Refined_Data!O:O, MATCH(B119, Refined_Data!A:A, FALSE)),
"")</f>
        <v/>
      </c>
      <c r="B119" s="124" t="str">
        <f>Refined_Data!A119</f>
        <v/>
      </c>
      <c r="C119" s="131" t="str">
        <f>IFERROR(VLOOKUP(B119, Refined_Data!A:Z, 4, FALSE), "")</f>
        <v/>
      </c>
      <c r="D119" s="113" t="str">
        <f>IF(B119="","", IFERROR(VLOOKUP(B119, Refined_Data!A:Z, 5, FALSE), ""))</f>
        <v/>
      </c>
      <c r="E119" s="114" t="str">
        <f>IFERROR(VLOOKUP(B119, Refined_Data!A:Z, 3, FALSE),"")</f>
        <v/>
      </c>
      <c r="F119" s="132" t="str">
        <f t="array" ref="F119">IF(B119="","",
  IFERROR(
    TEXTJOIN(", ", TRUE,
      IF(INDEX(Refined_Data!K:K, MATCH(B119, Refined_Data!A:A, 0))="Yes","SAFE",""),
      IF(INDEX(Refined_Data!L:L, MATCH(B119, Refined_Data!A:A, 0))="Yes","TRBLSHOOT",""),
      IF(INDEX(Refined_Data!M:M, MATCH(B119, Refined_Data!A:A, 0))="Yes","BMRC","")
    ),
  "")
)</f>
        <v/>
      </c>
      <c r="G119" s="126" t="str">
        <f>IFERROR(VLOOKUP(B119, Refined_Data!A:Z, 8, FALSE), "")</f>
        <v/>
      </c>
      <c r="H119" s="126" t="str">
        <f>IFERROR(VLOOKUP(B119, Refined_Data!A:Z, 9, FALSE), "")</f>
        <v/>
      </c>
      <c r="I119" s="133"/>
      <c r="J119" s="127" t="str">
        <f>IFERROR(VLOOKUP(B119, Refined_Data!A:Z, 14, FALSE), "")</f>
        <v/>
      </c>
      <c r="K119" s="118" t="str">
        <f t="shared" si="1"/>
        <v/>
      </c>
      <c r="L119" s="119" t="str">
        <f>IFERROR(VLOOKUP(A119, Current_Stats!A:Z, 7, FALSE), "")</f>
        <v/>
      </c>
      <c r="M119" s="119" t="str">
        <f>IFERROR(VLOOKUP(A119, Previous_Stats!A:Z, 7, FALSE), "")</f>
        <v/>
      </c>
      <c r="N119" s="120" t="str">
        <f t="shared" si="2"/>
        <v/>
      </c>
      <c r="O119" s="119" t="str">
        <f>IFERROR(VLOOKUP(A119, Current_Stats!A:Z, 8, FALSE), "")</f>
        <v/>
      </c>
      <c r="P119" s="92"/>
      <c r="Q119" s="112" t="str">
        <f>IFERROR(VLOOKUP(B119, Shift_Analysis!A:Z, 6, FALSE), "")</f>
        <v/>
      </c>
      <c r="R119" s="114" t="str">
        <f>IFERROR(VLOOKUP(B119, Shift_Analysis!A:Z, 7, FALSE), "")</f>
        <v/>
      </c>
      <c r="S119" s="123" t="str">
        <f>IFERROR(VLOOKUP(A119, Current_Stats!A:Z, 3, FALSE),"")</f>
        <v/>
      </c>
    </row>
    <row r="120" hidden="1">
      <c r="A120" s="110" t="str">
        <f t="array" ref="A120">IFERROR(
  INDEX(Refined_Data!O:O, MATCH(B120, Refined_Data!A:A, FALSE)),
"")</f>
        <v/>
      </c>
      <c r="B120" s="124" t="str">
        <f>Refined_Data!A120</f>
        <v/>
      </c>
      <c r="C120" s="131" t="str">
        <f>IFERROR(VLOOKUP(B120, Refined_Data!A:Z, 4, FALSE), "")</f>
        <v/>
      </c>
      <c r="D120" s="113" t="str">
        <f>IF(B120="","", IFERROR(VLOOKUP(B120, Refined_Data!A:Z, 5, FALSE), ""))</f>
        <v/>
      </c>
      <c r="E120" s="114" t="str">
        <f>IFERROR(VLOOKUP(B120, Refined_Data!A:Z, 3, FALSE),"")</f>
        <v/>
      </c>
      <c r="F120" s="132" t="str">
        <f t="array" ref="F120">IF(B120="","",
  IFERROR(
    TEXTJOIN(", ", TRUE,
      IF(INDEX(Refined_Data!K:K, MATCH(B120, Refined_Data!A:A, 0))="Yes","SAFE",""),
      IF(INDEX(Refined_Data!L:L, MATCH(B120, Refined_Data!A:A, 0))="Yes","TRBLSHOOT",""),
      IF(INDEX(Refined_Data!M:M, MATCH(B120, Refined_Data!A:A, 0))="Yes","BMRC","")
    ),
  "")
)</f>
        <v/>
      </c>
      <c r="G120" s="126" t="str">
        <f>IFERROR(VLOOKUP(B120, Refined_Data!A:Z, 8, FALSE), "")</f>
        <v/>
      </c>
      <c r="H120" s="126" t="str">
        <f>IFERROR(VLOOKUP(B120, Refined_Data!A:Z, 9, FALSE), "")</f>
        <v/>
      </c>
      <c r="I120" s="133"/>
      <c r="J120" s="127" t="str">
        <f>IFERROR(VLOOKUP(B120, Refined_Data!A:Z, 14, FALSE), "")</f>
        <v/>
      </c>
      <c r="K120" s="118" t="str">
        <f t="shared" si="1"/>
        <v/>
      </c>
      <c r="L120" s="119" t="str">
        <f>IFERROR(VLOOKUP(A120, Current_Stats!A:Z, 7, FALSE), "")</f>
        <v/>
      </c>
      <c r="M120" s="119" t="str">
        <f>IFERROR(VLOOKUP(A120, Previous_Stats!A:Z, 7, FALSE), "")</f>
        <v/>
      </c>
      <c r="N120" s="120" t="str">
        <f t="shared" si="2"/>
        <v/>
      </c>
      <c r="O120" s="119" t="str">
        <f>IFERROR(VLOOKUP(A120, Current_Stats!A:Z, 8, FALSE), "")</f>
        <v/>
      </c>
      <c r="P120" s="92"/>
      <c r="Q120" s="112" t="str">
        <f>IFERROR(VLOOKUP(B120, Shift_Analysis!A:Z, 6, FALSE), "")</f>
        <v/>
      </c>
      <c r="R120" s="114" t="str">
        <f>IFERROR(VLOOKUP(B120, Shift_Analysis!A:Z, 7, FALSE), "")</f>
        <v/>
      </c>
      <c r="S120" s="123" t="str">
        <f>IFERROR(VLOOKUP(A120, Current_Stats!A:Z, 3, FALSE),"")</f>
        <v/>
      </c>
    </row>
    <row r="121" hidden="1">
      <c r="A121" s="110" t="str">
        <f t="array" ref="A121">IFERROR(
  INDEX(Refined_Data!O:O, MATCH(B121, Refined_Data!A:A, FALSE)),
"")</f>
        <v/>
      </c>
      <c r="B121" s="124" t="str">
        <f>Refined_Data!A121</f>
        <v/>
      </c>
      <c r="C121" s="131" t="str">
        <f>IFERROR(VLOOKUP(B121, Refined_Data!A:Z, 4, FALSE), "")</f>
        <v/>
      </c>
      <c r="D121" s="113" t="str">
        <f>IF(B121="","", IFERROR(VLOOKUP(B121, Refined_Data!A:Z, 5, FALSE), ""))</f>
        <v/>
      </c>
      <c r="E121" s="114" t="str">
        <f>IFERROR(VLOOKUP(B121, Refined_Data!A:Z, 3, FALSE),"")</f>
        <v/>
      </c>
      <c r="F121" s="132" t="str">
        <f t="array" ref="F121">IF(B121="","",
  IFERROR(
    TEXTJOIN(", ", TRUE,
      IF(INDEX(Refined_Data!K:K, MATCH(B121, Refined_Data!A:A, 0))="Yes","SAFE",""),
      IF(INDEX(Refined_Data!L:L, MATCH(B121, Refined_Data!A:A, 0))="Yes","TRBLSHOOT",""),
      IF(INDEX(Refined_Data!M:M, MATCH(B121, Refined_Data!A:A, 0))="Yes","BMRC","")
    ),
  "")
)</f>
        <v/>
      </c>
      <c r="G121" s="126" t="str">
        <f>IFERROR(VLOOKUP(B121, Refined_Data!A:Z, 8, FALSE), "")</f>
        <v/>
      </c>
      <c r="H121" s="126" t="str">
        <f>IFERROR(VLOOKUP(B121, Refined_Data!A:Z, 9, FALSE), "")</f>
        <v/>
      </c>
      <c r="I121" s="133"/>
      <c r="J121" s="127" t="str">
        <f>IFERROR(VLOOKUP(B121, Refined_Data!A:Z, 14, FALSE), "")</f>
        <v/>
      </c>
      <c r="K121" s="118" t="str">
        <f t="shared" si="1"/>
        <v/>
      </c>
      <c r="L121" s="119" t="str">
        <f>IFERROR(VLOOKUP(A121, Current_Stats!A:Z, 7, FALSE), "")</f>
        <v/>
      </c>
      <c r="M121" s="119" t="str">
        <f>IFERROR(VLOOKUP(A121, Previous_Stats!A:Z, 7, FALSE), "")</f>
        <v/>
      </c>
      <c r="N121" s="120" t="str">
        <f t="shared" si="2"/>
        <v/>
      </c>
      <c r="O121" s="119" t="str">
        <f>IFERROR(VLOOKUP(A121, Current_Stats!A:Z, 8, FALSE), "")</f>
        <v/>
      </c>
      <c r="P121" s="92"/>
      <c r="Q121" s="112" t="str">
        <f>IFERROR(VLOOKUP(B121, Shift_Analysis!A:Z, 6, FALSE), "")</f>
        <v/>
      </c>
      <c r="R121" s="114" t="str">
        <f>IFERROR(VLOOKUP(B121, Shift_Analysis!A:Z, 7, FALSE), "")</f>
        <v/>
      </c>
      <c r="S121" s="123" t="str">
        <f>IFERROR(VLOOKUP(A121, Current_Stats!A:Z, 3, FALSE),"")</f>
        <v/>
      </c>
    </row>
    <row r="122" hidden="1">
      <c r="A122" s="110" t="str">
        <f t="array" ref="A122">IFERROR(
  INDEX(Refined_Data!O:O, MATCH(B122, Refined_Data!A:A, FALSE)),
"")</f>
        <v/>
      </c>
      <c r="B122" s="124" t="str">
        <f>Refined_Data!A122</f>
        <v/>
      </c>
      <c r="C122" s="131" t="str">
        <f>IFERROR(VLOOKUP(B122, Refined_Data!A:Z, 4, FALSE), "")</f>
        <v/>
      </c>
      <c r="D122" s="113" t="str">
        <f>IF(B122="","", IFERROR(VLOOKUP(B122, Refined_Data!A:Z, 5, FALSE), ""))</f>
        <v/>
      </c>
      <c r="E122" s="114" t="str">
        <f>IFERROR(VLOOKUP(B122, Refined_Data!A:Z, 3, FALSE),"")</f>
        <v/>
      </c>
      <c r="F122" s="132" t="str">
        <f t="array" ref="F122">IF(B122="","",
  IFERROR(
    TEXTJOIN(", ", TRUE,
      IF(INDEX(Refined_Data!K:K, MATCH(B122, Refined_Data!A:A, 0))="Yes","SAFE",""),
      IF(INDEX(Refined_Data!L:L, MATCH(B122, Refined_Data!A:A, 0))="Yes","TRBLSHOOT",""),
      IF(INDEX(Refined_Data!M:M, MATCH(B122, Refined_Data!A:A, 0))="Yes","BMRC","")
    ),
  "")
)</f>
        <v/>
      </c>
      <c r="G122" s="126" t="str">
        <f>IFERROR(VLOOKUP(B122, Refined_Data!A:Z, 8, FALSE), "")</f>
        <v/>
      </c>
      <c r="H122" s="126" t="str">
        <f>IFERROR(VLOOKUP(B122, Refined_Data!A:Z, 9, FALSE), "")</f>
        <v/>
      </c>
      <c r="I122" s="133"/>
      <c r="J122" s="127" t="str">
        <f>IFERROR(VLOOKUP(B122, Refined_Data!A:Z, 14, FALSE), "")</f>
        <v/>
      </c>
      <c r="K122" s="118" t="str">
        <f t="shared" si="1"/>
        <v/>
      </c>
      <c r="L122" s="119" t="str">
        <f>IFERROR(VLOOKUP(A122, Current_Stats!A:Z, 7, FALSE), "")</f>
        <v/>
      </c>
      <c r="M122" s="119" t="str">
        <f>IFERROR(VLOOKUP(A122, Previous_Stats!A:Z, 7, FALSE), "")</f>
        <v/>
      </c>
      <c r="N122" s="120" t="str">
        <f t="shared" si="2"/>
        <v/>
      </c>
      <c r="O122" s="119" t="str">
        <f>IFERROR(VLOOKUP(A122, Current_Stats!A:Z, 8, FALSE), "")</f>
        <v/>
      </c>
      <c r="P122" s="92"/>
      <c r="Q122" s="112" t="str">
        <f>IFERROR(VLOOKUP(B122, Shift_Analysis!A:Z, 6, FALSE), "")</f>
        <v/>
      </c>
      <c r="R122" s="114" t="str">
        <f>IFERROR(VLOOKUP(B122, Shift_Analysis!A:Z, 7, FALSE), "")</f>
        <v/>
      </c>
      <c r="S122" s="123" t="str">
        <f>IFERROR(VLOOKUP(A122, Current_Stats!A:Z, 3, FALSE),"")</f>
        <v/>
      </c>
    </row>
    <row r="123" hidden="1">
      <c r="A123" s="110" t="str">
        <f t="array" ref="A123">IFERROR(
  INDEX(Refined_Data!O:O, MATCH(B123, Refined_Data!A:A, FALSE)),
"")</f>
        <v/>
      </c>
      <c r="B123" s="124" t="str">
        <f>Refined_Data!A123</f>
        <v/>
      </c>
      <c r="C123" s="131" t="str">
        <f>IFERROR(VLOOKUP(B123, Refined_Data!A:Z, 4, FALSE), "")</f>
        <v/>
      </c>
      <c r="D123" s="113" t="str">
        <f>IF(B123="","", IFERROR(VLOOKUP(B123, Refined_Data!A:Z, 5, FALSE), ""))</f>
        <v/>
      </c>
      <c r="E123" s="114" t="str">
        <f>IFERROR(VLOOKUP(B123, Refined_Data!A:Z, 3, FALSE),"")</f>
        <v/>
      </c>
      <c r="F123" s="132" t="str">
        <f t="array" ref="F123">IF(B123="","",
  IFERROR(
    TEXTJOIN(", ", TRUE,
      IF(INDEX(Refined_Data!K:K, MATCH(B123, Refined_Data!A:A, 0))="Yes","SAFE",""),
      IF(INDEX(Refined_Data!L:L, MATCH(B123, Refined_Data!A:A, 0))="Yes","TRBLSHOOT",""),
      IF(INDEX(Refined_Data!M:M, MATCH(B123, Refined_Data!A:A, 0))="Yes","BMRC","")
    ),
  "")
)</f>
        <v/>
      </c>
      <c r="G123" s="126" t="str">
        <f>IFERROR(VLOOKUP(B123, Refined_Data!A:Z, 8, FALSE), "")</f>
        <v/>
      </c>
      <c r="H123" s="126" t="str">
        <f>IFERROR(VLOOKUP(B123, Refined_Data!A:Z, 9, FALSE), "")</f>
        <v/>
      </c>
      <c r="I123" s="133"/>
      <c r="J123" s="127" t="str">
        <f>IFERROR(VLOOKUP(B123, Refined_Data!A:Z, 14, FALSE), "")</f>
        <v/>
      </c>
      <c r="K123" s="118" t="str">
        <f t="shared" si="1"/>
        <v/>
      </c>
      <c r="L123" s="119" t="str">
        <f>IFERROR(VLOOKUP(A123, Current_Stats!A:Z, 7, FALSE), "")</f>
        <v/>
      </c>
      <c r="M123" s="119" t="str">
        <f>IFERROR(VLOOKUP(A123, Previous_Stats!A:Z, 7, FALSE), "")</f>
        <v/>
      </c>
      <c r="N123" s="120" t="str">
        <f t="shared" si="2"/>
        <v/>
      </c>
      <c r="O123" s="119" t="str">
        <f>IFERROR(VLOOKUP(A123, Current_Stats!A:Z, 8, FALSE), "")</f>
        <v/>
      </c>
      <c r="P123" s="92"/>
      <c r="Q123" s="112" t="str">
        <f>IFERROR(VLOOKUP(B123, Shift_Analysis!A:Z, 6, FALSE), "")</f>
        <v/>
      </c>
      <c r="R123" s="114" t="str">
        <f>IFERROR(VLOOKUP(B123, Shift_Analysis!A:Z, 7, FALSE), "")</f>
        <v/>
      </c>
      <c r="S123" s="123" t="str">
        <f>IFERROR(VLOOKUP(A123, Current_Stats!A:Z, 3, FALSE),"")</f>
        <v/>
      </c>
    </row>
    <row r="124" hidden="1">
      <c r="A124" s="110" t="str">
        <f t="array" ref="A124">IFERROR(
  INDEX(Refined_Data!O:O, MATCH(B124, Refined_Data!A:A, FALSE)),
"")</f>
        <v/>
      </c>
      <c r="B124" s="124" t="str">
        <f>Refined_Data!A124</f>
        <v/>
      </c>
      <c r="C124" s="131" t="str">
        <f>IFERROR(VLOOKUP(B124, Refined_Data!A:Z, 4, FALSE), "")</f>
        <v/>
      </c>
      <c r="D124" s="113" t="str">
        <f>IF(B124="","", IFERROR(VLOOKUP(B124, Refined_Data!A:Z, 5, FALSE), ""))</f>
        <v/>
      </c>
      <c r="E124" s="114" t="str">
        <f>IFERROR(VLOOKUP(B124, Refined_Data!A:Z, 3, FALSE),"")</f>
        <v/>
      </c>
      <c r="F124" s="132" t="str">
        <f t="array" ref="F124">IF(B124="","",
  IFERROR(
    TEXTJOIN(", ", TRUE,
      IF(INDEX(Refined_Data!K:K, MATCH(B124, Refined_Data!A:A, 0))="Yes","SAFE",""),
      IF(INDEX(Refined_Data!L:L, MATCH(B124, Refined_Data!A:A, 0))="Yes","TRBLSHOOT",""),
      IF(INDEX(Refined_Data!M:M, MATCH(B124, Refined_Data!A:A, 0))="Yes","BMRC","")
    ),
  "")
)</f>
        <v/>
      </c>
      <c r="G124" s="126" t="str">
        <f>IFERROR(VLOOKUP(B124, Refined_Data!A:Z, 8, FALSE), "")</f>
        <v/>
      </c>
      <c r="H124" s="126" t="str">
        <f>IFERROR(VLOOKUP(B124, Refined_Data!A:Z, 9, FALSE), "")</f>
        <v/>
      </c>
      <c r="I124" s="133"/>
      <c r="J124" s="127" t="str">
        <f>IFERROR(VLOOKUP(B124, Refined_Data!A:Z, 14, FALSE), "")</f>
        <v/>
      </c>
      <c r="K124" s="118" t="str">
        <f t="shared" si="1"/>
        <v/>
      </c>
      <c r="L124" s="119" t="str">
        <f>IFERROR(VLOOKUP(A124, Current_Stats!A:Z, 7, FALSE), "")</f>
        <v/>
      </c>
      <c r="M124" s="119" t="str">
        <f>IFERROR(VLOOKUP(A124, Previous_Stats!A:Z, 7, FALSE), "")</f>
        <v/>
      </c>
      <c r="N124" s="120" t="str">
        <f t="shared" si="2"/>
        <v/>
      </c>
      <c r="O124" s="119" t="str">
        <f>IFERROR(VLOOKUP(A124, Current_Stats!A:Z, 8, FALSE), "")</f>
        <v/>
      </c>
      <c r="P124" s="92"/>
      <c r="Q124" s="112" t="str">
        <f>IFERROR(VLOOKUP(B124, Shift_Analysis!A:Z, 6, FALSE), "")</f>
        <v/>
      </c>
      <c r="R124" s="114" t="str">
        <f>IFERROR(VLOOKUP(B124, Shift_Analysis!A:Z, 7, FALSE), "")</f>
        <v/>
      </c>
      <c r="S124" s="123" t="str">
        <f>IFERROR(VLOOKUP(A124, Current_Stats!A:Z, 3, FALSE),"")</f>
        <v/>
      </c>
    </row>
    <row r="125" hidden="1">
      <c r="A125" s="110" t="str">
        <f t="array" ref="A125">IFERROR(
  INDEX(Refined_Data!O:O, MATCH(B125, Refined_Data!A:A, FALSE)),
"")</f>
        <v/>
      </c>
      <c r="B125" s="124" t="str">
        <f>Refined_Data!A125</f>
        <v/>
      </c>
      <c r="C125" s="131" t="str">
        <f>IFERROR(VLOOKUP(B125, Refined_Data!A:Z, 4, FALSE), "")</f>
        <v/>
      </c>
      <c r="D125" s="113" t="str">
        <f>IF(B125="","", IFERROR(VLOOKUP(B125, Refined_Data!A:Z, 5, FALSE), ""))</f>
        <v/>
      </c>
      <c r="E125" s="114" t="str">
        <f>IFERROR(VLOOKUP(B125, Refined_Data!A:Z, 3, FALSE),"")</f>
        <v/>
      </c>
      <c r="F125" s="132" t="str">
        <f t="array" ref="F125">IF(B125="","",
  IFERROR(
    TEXTJOIN(", ", TRUE,
      IF(INDEX(Refined_Data!K:K, MATCH(B125, Refined_Data!A:A, 0))="Yes","SAFE",""),
      IF(INDEX(Refined_Data!L:L, MATCH(B125, Refined_Data!A:A, 0))="Yes","TRBLSHOOT",""),
      IF(INDEX(Refined_Data!M:M, MATCH(B125, Refined_Data!A:A, 0))="Yes","BMRC","")
    ),
  "")
)</f>
        <v/>
      </c>
      <c r="G125" s="126" t="str">
        <f>IFERROR(VLOOKUP(B125, Refined_Data!A:Z, 8, FALSE), "")</f>
        <v/>
      </c>
      <c r="H125" s="126" t="str">
        <f>IFERROR(VLOOKUP(B125, Refined_Data!A:Z, 9, FALSE), "")</f>
        <v/>
      </c>
      <c r="I125" s="133"/>
      <c r="J125" s="127" t="str">
        <f>IFERROR(VLOOKUP(B125, Refined_Data!A:Z, 14, FALSE), "")</f>
        <v/>
      </c>
      <c r="K125" s="118" t="str">
        <f t="shared" si="1"/>
        <v/>
      </c>
      <c r="L125" s="119" t="str">
        <f>IFERROR(VLOOKUP(A125, Current_Stats!A:Z, 7, FALSE), "")</f>
        <v/>
      </c>
      <c r="M125" s="119" t="str">
        <f>IFERROR(VLOOKUP(A125, Previous_Stats!A:Z, 7, FALSE), "")</f>
        <v/>
      </c>
      <c r="N125" s="120" t="str">
        <f t="shared" si="2"/>
        <v/>
      </c>
      <c r="O125" s="119" t="str">
        <f>IFERROR(VLOOKUP(A125, Current_Stats!A:Z, 8, FALSE), "")</f>
        <v/>
      </c>
      <c r="P125" s="92"/>
      <c r="Q125" s="112" t="str">
        <f>IFERROR(VLOOKUP(B125, Shift_Analysis!A:Z, 6, FALSE), "")</f>
        <v/>
      </c>
      <c r="R125" s="114" t="str">
        <f>IFERROR(VLOOKUP(B125, Shift_Analysis!A:Z, 7, FALSE), "")</f>
        <v/>
      </c>
      <c r="S125" s="123" t="str">
        <f>IFERROR(VLOOKUP(A125, Current_Stats!A:Z, 3, FALSE),"")</f>
        <v/>
      </c>
    </row>
    <row r="126" hidden="1">
      <c r="A126" s="110" t="str">
        <f t="array" ref="A126">IFERROR(
  INDEX(Refined_Data!O:O, MATCH(B126, Refined_Data!A:A, FALSE)),
"")</f>
        <v/>
      </c>
      <c r="B126" s="124" t="str">
        <f>Refined_Data!A126</f>
        <v/>
      </c>
      <c r="C126" s="131" t="str">
        <f>IFERROR(VLOOKUP(B126, Refined_Data!A:Z, 4, FALSE), "")</f>
        <v/>
      </c>
      <c r="D126" s="113" t="str">
        <f>IF(B126="","", IFERROR(VLOOKUP(B126, Refined_Data!A:Z, 5, FALSE), ""))</f>
        <v/>
      </c>
      <c r="E126" s="114" t="str">
        <f>IFERROR(VLOOKUP(B126, Refined_Data!A:Z, 3, FALSE),"")</f>
        <v/>
      </c>
      <c r="F126" s="132" t="str">
        <f t="array" ref="F126">IF(B126="","",
  IFERROR(
    TEXTJOIN(", ", TRUE,
      IF(INDEX(Refined_Data!K:K, MATCH(B126, Refined_Data!A:A, 0))="Yes","SAFE",""),
      IF(INDEX(Refined_Data!L:L, MATCH(B126, Refined_Data!A:A, 0))="Yes","TRBLSHOOT",""),
      IF(INDEX(Refined_Data!M:M, MATCH(B126, Refined_Data!A:A, 0))="Yes","BMRC","")
    ),
  "")
)</f>
        <v/>
      </c>
      <c r="G126" s="126" t="str">
        <f>IFERROR(VLOOKUP(B126, Refined_Data!A:Z, 8, FALSE), "")</f>
        <v/>
      </c>
      <c r="H126" s="126" t="str">
        <f>IFERROR(VLOOKUP(B126, Refined_Data!A:Z, 9, FALSE), "")</f>
        <v/>
      </c>
      <c r="I126" s="133"/>
      <c r="J126" s="127" t="str">
        <f>IFERROR(VLOOKUP(B126, Refined_Data!A:Z, 14, FALSE), "")</f>
        <v/>
      </c>
      <c r="K126" s="118" t="str">
        <f t="shared" si="1"/>
        <v/>
      </c>
      <c r="L126" s="119" t="str">
        <f>IFERROR(VLOOKUP(A126, Current_Stats!A:Z, 7, FALSE), "")</f>
        <v/>
      </c>
      <c r="M126" s="119" t="str">
        <f>IFERROR(VLOOKUP(A126, Previous_Stats!A:Z, 7, FALSE), "")</f>
        <v/>
      </c>
      <c r="N126" s="120" t="str">
        <f t="shared" si="2"/>
        <v/>
      </c>
      <c r="O126" s="119" t="str">
        <f>IFERROR(VLOOKUP(A126, Current_Stats!A:Z, 8, FALSE), "")</f>
        <v/>
      </c>
      <c r="P126" s="92"/>
      <c r="Q126" s="112" t="str">
        <f>IFERROR(VLOOKUP(B126, Shift_Analysis!A:Z, 6, FALSE), "")</f>
        <v/>
      </c>
      <c r="R126" s="114" t="str">
        <f>IFERROR(VLOOKUP(B126, Shift_Analysis!A:Z, 7, FALSE), "")</f>
        <v/>
      </c>
      <c r="S126" s="123" t="str">
        <f>IFERROR(VLOOKUP(A126, Current_Stats!A:Z, 3, FALSE),"")</f>
        <v/>
      </c>
    </row>
    <row r="127" hidden="1">
      <c r="A127" s="110" t="str">
        <f t="array" ref="A127">IFERROR(
  INDEX(Refined_Data!O:O, MATCH(B127, Refined_Data!A:A, FALSE)),
"")</f>
        <v/>
      </c>
      <c r="B127" s="124" t="str">
        <f>Refined_Data!A127</f>
        <v/>
      </c>
      <c r="C127" s="131" t="str">
        <f>IFERROR(VLOOKUP(B127, Refined_Data!A:Z, 4, FALSE), "")</f>
        <v/>
      </c>
      <c r="D127" s="113" t="str">
        <f>IF(B127="","", IFERROR(VLOOKUP(B127, Refined_Data!A:Z, 5, FALSE), ""))</f>
        <v/>
      </c>
      <c r="E127" s="114" t="str">
        <f>IFERROR(VLOOKUP(B127, Refined_Data!A:Z, 3, FALSE),"")</f>
        <v/>
      </c>
      <c r="F127" s="132" t="str">
        <f t="array" ref="F127">IF(B127="","",
  IFERROR(
    TEXTJOIN(", ", TRUE,
      IF(INDEX(Refined_Data!K:K, MATCH(B127, Refined_Data!A:A, 0))="Yes","SAFE",""),
      IF(INDEX(Refined_Data!L:L, MATCH(B127, Refined_Data!A:A, 0))="Yes","TRBLSHOOT",""),
      IF(INDEX(Refined_Data!M:M, MATCH(B127, Refined_Data!A:A, 0))="Yes","BMRC","")
    ),
  "")
)</f>
        <v/>
      </c>
      <c r="G127" s="126" t="str">
        <f>IFERROR(VLOOKUP(B127, Refined_Data!A:Z, 8, FALSE), "")</f>
        <v/>
      </c>
      <c r="H127" s="126" t="str">
        <f>IFERROR(VLOOKUP(B127, Refined_Data!A:Z, 9, FALSE), "")</f>
        <v/>
      </c>
      <c r="I127" s="133"/>
      <c r="J127" s="127" t="str">
        <f>IFERROR(VLOOKUP(B127, Refined_Data!A:Z, 14, FALSE), "")</f>
        <v/>
      </c>
      <c r="K127" s="118" t="str">
        <f t="shared" si="1"/>
        <v/>
      </c>
      <c r="L127" s="119" t="str">
        <f>IFERROR(VLOOKUP(A127, Current_Stats!A:Z, 7, FALSE), "")</f>
        <v/>
      </c>
      <c r="M127" s="119" t="str">
        <f>IFERROR(VLOOKUP(A127, Previous_Stats!A:Z, 7, FALSE), "")</f>
        <v/>
      </c>
      <c r="N127" s="120" t="str">
        <f t="shared" si="2"/>
        <v/>
      </c>
      <c r="O127" s="119" t="str">
        <f>IFERROR(VLOOKUP(A127, Current_Stats!A:Z, 8, FALSE), "")</f>
        <v/>
      </c>
      <c r="P127" s="92"/>
      <c r="Q127" s="112" t="str">
        <f>IFERROR(VLOOKUP(B127, Shift_Analysis!A:Z, 6, FALSE), "")</f>
        <v/>
      </c>
      <c r="R127" s="114" t="str">
        <f>IFERROR(VLOOKUP(B127, Shift_Analysis!A:Z, 7, FALSE), "")</f>
        <v/>
      </c>
      <c r="S127" s="123" t="str">
        <f>IFERROR(VLOOKUP(A127, Current_Stats!A:Z, 3, FALSE),"")</f>
        <v/>
      </c>
    </row>
    <row r="128" hidden="1">
      <c r="A128" s="110" t="str">
        <f t="array" ref="A128">IFERROR(
  INDEX(Refined_Data!O:O, MATCH(B128, Refined_Data!A:A, FALSE)),
"")</f>
        <v/>
      </c>
      <c r="B128" s="124" t="str">
        <f>Refined_Data!A128</f>
        <v/>
      </c>
      <c r="C128" s="131" t="str">
        <f>IFERROR(VLOOKUP(B128, Refined_Data!A:Z, 4, FALSE), "")</f>
        <v/>
      </c>
      <c r="D128" s="113" t="str">
        <f>IF(B128="","", IFERROR(VLOOKUP(B128, Refined_Data!A:Z, 5, FALSE), ""))</f>
        <v/>
      </c>
      <c r="E128" s="114" t="str">
        <f>IFERROR(VLOOKUP(B128, Refined_Data!A:Z, 3, FALSE),"")</f>
        <v/>
      </c>
      <c r="F128" s="132" t="str">
        <f t="array" ref="F128">IF(B128="","",
  IFERROR(
    TEXTJOIN(", ", TRUE,
      IF(INDEX(Refined_Data!K:K, MATCH(B128, Refined_Data!A:A, 0))="Yes","SAFE",""),
      IF(INDEX(Refined_Data!L:L, MATCH(B128, Refined_Data!A:A, 0))="Yes","TRBLSHOOT",""),
      IF(INDEX(Refined_Data!M:M, MATCH(B128, Refined_Data!A:A, 0))="Yes","BMRC","")
    ),
  "")
)</f>
        <v/>
      </c>
      <c r="G128" s="126" t="str">
        <f>IFERROR(VLOOKUP(B128, Refined_Data!A:Z, 8, FALSE), "")</f>
        <v/>
      </c>
      <c r="H128" s="126" t="str">
        <f>IFERROR(VLOOKUP(B128, Refined_Data!A:Z, 9, FALSE), "")</f>
        <v/>
      </c>
      <c r="I128" s="133"/>
      <c r="J128" s="127" t="str">
        <f>IFERROR(VLOOKUP(B128, Refined_Data!A:Z, 14, FALSE), "")</f>
        <v/>
      </c>
      <c r="K128" s="118" t="str">
        <f t="shared" si="1"/>
        <v/>
      </c>
      <c r="L128" s="119" t="str">
        <f>IFERROR(VLOOKUP(A128, Current_Stats!A:Z, 7, FALSE), "")</f>
        <v/>
      </c>
      <c r="M128" s="119" t="str">
        <f>IFERROR(VLOOKUP(A128, Previous_Stats!A:Z, 7, FALSE), "")</f>
        <v/>
      </c>
      <c r="N128" s="120" t="str">
        <f t="shared" si="2"/>
        <v/>
      </c>
      <c r="O128" s="119" t="str">
        <f>IFERROR(VLOOKUP(A128, Current_Stats!A:Z, 8, FALSE), "")</f>
        <v/>
      </c>
      <c r="P128" s="92"/>
      <c r="Q128" s="112" t="str">
        <f>IFERROR(VLOOKUP(B128, Shift_Analysis!A:Z, 6, FALSE), "")</f>
        <v/>
      </c>
      <c r="R128" s="114" t="str">
        <f>IFERROR(VLOOKUP(B128, Shift_Analysis!A:Z, 7, FALSE), "")</f>
        <v/>
      </c>
      <c r="S128" s="123" t="str">
        <f>IFERROR(VLOOKUP(A128, Current_Stats!A:Z, 3, FALSE),"")</f>
        <v/>
      </c>
    </row>
    <row r="129" hidden="1">
      <c r="A129" s="110" t="str">
        <f t="array" ref="A129">IFERROR(
  INDEX(Refined_Data!O:O, MATCH(B129, Refined_Data!A:A, FALSE)),
"")</f>
        <v/>
      </c>
      <c r="B129" s="136" t="str">
        <f>Refined_Data!A129</f>
        <v/>
      </c>
      <c r="C129" s="137" t="str">
        <f>IFERROR(VLOOKUP(B129, Refined_Data!A:Z, 4, FALSE), "")</f>
        <v/>
      </c>
      <c r="D129" s="138" t="str">
        <f>IF(B129="","", IFERROR(VLOOKUP(B129, Refined_Data!A:Z, 5, FALSE), ""))</f>
        <v/>
      </c>
      <c r="E129" s="130" t="str">
        <f>IFERROR(VLOOKUP(B129, Refined_Data!A:Z, 3, FALSE),"")</f>
        <v/>
      </c>
      <c r="F129" s="139" t="str">
        <f t="array" ref="F129">IF(B129="","",
  IFERROR(
    TEXTJOIN(", ", TRUE,
      IF(INDEX(Refined_Data!K:K, MATCH(B129, Refined_Data!A:A, 0))="Yes","SAFE",""),
      IF(INDEX(Refined_Data!L:L, MATCH(B129, Refined_Data!A:A, 0))="Yes","TRBLSHOOT",""),
      IF(INDEX(Refined_Data!M:M, MATCH(B129, Refined_Data!A:A, 0))="Yes","BMRC","")
    ),
  "")
)</f>
        <v/>
      </c>
      <c r="G129" s="140" t="str">
        <f>IFERROR(VLOOKUP(B129, Refined_Data!A:Z, 8, FALSE), "")</f>
        <v/>
      </c>
      <c r="H129" s="140" t="str">
        <f>IFERROR(VLOOKUP(B129, Refined_Data!A:Z, 9, FALSE), "")</f>
        <v/>
      </c>
      <c r="I129" s="141"/>
      <c r="J129" s="142" t="str">
        <f>IFERROR(VLOOKUP(B129, Refined_Data!A:Z, 14, FALSE), "")</f>
        <v/>
      </c>
      <c r="K129" s="118" t="str">
        <f t="shared" si="1"/>
        <v/>
      </c>
      <c r="L129" s="119" t="str">
        <f>IFERROR(VLOOKUP(A129, Current_Stats!A:Z, 7, FALSE), "")</f>
        <v/>
      </c>
      <c r="M129" s="119" t="str">
        <f>IFERROR(VLOOKUP(A129, Previous_Stats!A:Z, 7, FALSE), "")</f>
        <v/>
      </c>
      <c r="N129" s="120" t="str">
        <f t="shared" si="2"/>
        <v/>
      </c>
      <c r="O129" s="119" t="str">
        <f>IFERROR(VLOOKUP(A129, Current_Stats!A:Z, 8, FALSE), "")</f>
        <v/>
      </c>
      <c r="P129" s="92"/>
      <c r="Q129" s="129" t="str">
        <f>IFERROR(VLOOKUP(B129, Shift_Analysis!A:Z, 6, FALSE), "")</f>
        <v/>
      </c>
      <c r="R129" s="130" t="str">
        <f>IFERROR(VLOOKUP(B129, Shift_Analysis!A:Z, 7, FALSE), "")</f>
        <v/>
      </c>
      <c r="S129" s="123" t="str">
        <f>IFERROR(VLOOKUP(A129, Current_Stats!A:Z, 3, FALSE),"")</f>
        <v/>
      </c>
    </row>
    <row r="130" hidden="1">
      <c r="A130" s="110"/>
      <c r="C130" s="143"/>
      <c r="D130" s="143"/>
      <c r="E130" s="90"/>
      <c r="F130" s="90"/>
      <c r="G130" s="90"/>
      <c r="H130" s="90"/>
      <c r="I130" s="90"/>
      <c r="J130" s="143"/>
      <c r="K130" s="144"/>
      <c r="L130" s="145"/>
      <c r="M130" s="143"/>
      <c r="N130" s="144"/>
      <c r="O130" s="146"/>
      <c r="P130" s="146"/>
      <c r="Q130" s="143"/>
      <c r="R130" s="143"/>
      <c r="S130" s="147">
        <v>5.0</v>
      </c>
    </row>
    <row r="131">
      <c r="A131" s="110"/>
      <c r="C131" s="46"/>
      <c r="D131" s="46"/>
      <c r="J131" s="46"/>
      <c r="K131" s="118"/>
      <c r="L131" s="119"/>
      <c r="M131" s="46"/>
      <c r="N131" s="118"/>
      <c r="O131" s="92"/>
      <c r="P131" s="92"/>
      <c r="Q131" s="46"/>
      <c r="R131" s="46"/>
      <c r="S131" s="147">
        <v>5.0</v>
      </c>
    </row>
    <row r="132">
      <c r="A132" s="110"/>
      <c r="C132" s="46"/>
      <c r="D132" s="46"/>
      <c r="J132" s="46"/>
      <c r="K132" s="118"/>
      <c r="L132" s="119"/>
      <c r="M132" s="46"/>
      <c r="N132" s="118"/>
      <c r="O132" s="92"/>
      <c r="P132" s="92"/>
      <c r="Q132" s="46"/>
      <c r="R132" s="46"/>
      <c r="S132" s="147">
        <v>5.0</v>
      </c>
    </row>
    <row r="133">
      <c r="A133" s="110"/>
      <c r="C133" s="46"/>
      <c r="D133" s="46"/>
      <c r="J133" s="46"/>
      <c r="K133" s="118"/>
      <c r="L133" s="119"/>
      <c r="M133" s="46"/>
      <c r="N133" s="118"/>
      <c r="O133" s="92"/>
      <c r="P133" s="92"/>
      <c r="Q133" s="46"/>
      <c r="R133" s="46"/>
      <c r="S133" s="147">
        <v>5.0</v>
      </c>
    </row>
    <row r="134">
      <c r="A134" s="110"/>
      <c r="C134" s="46"/>
      <c r="D134" s="46"/>
      <c r="J134" s="46"/>
      <c r="K134" s="118"/>
      <c r="L134" s="119"/>
      <c r="M134" s="46"/>
      <c r="N134" s="118"/>
      <c r="O134" s="92"/>
      <c r="P134" s="92"/>
      <c r="Q134" s="46"/>
      <c r="R134" s="46"/>
      <c r="S134" s="147">
        <v>5.0</v>
      </c>
    </row>
    <row r="135">
      <c r="A135" s="110"/>
      <c r="C135" s="46"/>
      <c r="D135" s="46"/>
      <c r="J135" s="46"/>
      <c r="K135" s="118"/>
      <c r="L135" s="119"/>
      <c r="M135" s="46"/>
      <c r="N135" s="118"/>
      <c r="O135" s="92"/>
      <c r="P135" s="92"/>
      <c r="Q135" s="46"/>
      <c r="R135" s="46"/>
      <c r="S135" s="147">
        <v>5.0</v>
      </c>
    </row>
    <row r="136">
      <c r="A136" s="110"/>
      <c r="C136" s="46"/>
      <c r="D136" s="46"/>
      <c r="J136" s="46"/>
      <c r="K136" s="118"/>
      <c r="L136" s="119"/>
      <c r="M136" s="46"/>
      <c r="N136" s="118"/>
      <c r="O136" s="92"/>
      <c r="P136" s="92"/>
      <c r="Q136" s="46"/>
      <c r="R136" s="46"/>
      <c r="S136" s="147">
        <v>5.0</v>
      </c>
    </row>
    <row r="137">
      <c r="A137" s="110"/>
      <c r="C137" s="46"/>
      <c r="D137" s="46"/>
      <c r="J137" s="46"/>
      <c r="K137" s="118"/>
      <c r="L137" s="119"/>
      <c r="M137" s="46"/>
      <c r="N137" s="118"/>
      <c r="O137" s="92"/>
      <c r="P137" s="92"/>
      <c r="Q137" s="46"/>
      <c r="R137" s="46"/>
      <c r="S137" s="147">
        <v>5.0</v>
      </c>
    </row>
    <row r="138">
      <c r="A138" s="110"/>
      <c r="C138" s="46"/>
      <c r="D138" s="46"/>
      <c r="J138" s="46"/>
      <c r="K138" s="118"/>
      <c r="L138" s="119"/>
      <c r="M138" s="46"/>
      <c r="N138" s="118"/>
      <c r="O138" s="92"/>
      <c r="P138" s="92"/>
      <c r="Q138" s="46"/>
      <c r="R138" s="46"/>
      <c r="S138" s="147">
        <v>5.0</v>
      </c>
    </row>
    <row r="139">
      <c r="A139" s="110"/>
      <c r="C139" s="46"/>
      <c r="D139" s="46"/>
      <c r="J139" s="46"/>
      <c r="K139" s="118"/>
      <c r="L139" s="119"/>
      <c r="M139" s="46"/>
      <c r="N139" s="118"/>
      <c r="O139" s="92"/>
      <c r="P139" s="92"/>
      <c r="Q139" s="46"/>
      <c r="R139" s="46"/>
      <c r="S139" s="147">
        <v>5.0</v>
      </c>
    </row>
    <row r="140">
      <c r="A140" s="110"/>
      <c r="C140" s="46"/>
      <c r="D140" s="46"/>
      <c r="J140" s="46"/>
      <c r="K140" s="118"/>
      <c r="L140" s="119"/>
      <c r="M140" s="46"/>
      <c r="N140" s="118"/>
      <c r="O140" s="92"/>
      <c r="P140" s="92"/>
      <c r="Q140" s="46"/>
      <c r="R140" s="46"/>
      <c r="S140" s="147">
        <v>5.0</v>
      </c>
    </row>
    <row r="141">
      <c r="A141" s="110"/>
      <c r="C141" s="46"/>
      <c r="D141" s="46"/>
      <c r="J141" s="46"/>
      <c r="K141" s="118"/>
      <c r="L141" s="119"/>
      <c r="M141" s="46"/>
      <c r="N141" s="118"/>
      <c r="O141" s="92"/>
      <c r="P141" s="92"/>
      <c r="Q141" s="46"/>
      <c r="R141" s="46"/>
      <c r="S141" s="148"/>
    </row>
    <row r="142">
      <c r="A142" s="110"/>
      <c r="C142" s="46"/>
      <c r="D142" s="46"/>
      <c r="J142" s="46"/>
      <c r="K142" s="118"/>
      <c r="L142" s="119"/>
      <c r="M142" s="46"/>
      <c r="N142" s="118"/>
      <c r="O142" s="92"/>
      <c r="P142" s="92"/>
      <c r="Q142" s="46"/>
      <c r="R142" s="46"/>
      <c r="S142" s="148"/>
    </row>
    <row r="143">
      <c r="A143" s="110"/>
      <c r="C143" s="46"/>
      <c r="D143" s="46"/>
      <c r="J143" s="46"/>
      <c r="K143" s="118"/>
      <c r="L143" s="119"/>
      <c r="M143" s="46"/>
      <c r="N143" s="118"/>
      <c r="O143" s="92"/>
      <c r="P143" s="92"/>
      <c r="Q143" s="46"/>
      <c r="R143" s="46"/>
      <c r="S143" s="148"/>
    </row>
    <row r="144">
      <c r="A144" s="110"/>
      <c r="C144" s="46"/>
      <c r="D144" s="46"/>
      <c r="J144" s="46"/>
      <c r="K144" s="118"/>
      <c r="L144" s="119"/>
      <c r="M144" s="46"/>
      <c r="N144" s="118"/>
      <c r="O144" s="92"/>
      <c r="P144" s="92"/>
      <c r="Q144" s="46"/>
      <c r="R144" s="46"/>
      <c r="S144" s="148"/>
    </row>
    <row r="145">
      <c r="A145" s="110"/>
      <c r="C145" s="46"/>
      <c r="D145" s="46"/>
      <c r="J145" s="46"/>
      <c r="K145" s="118"/>
      <c r="L145" s="119"/>
      <c r="M145" s="46"/>
      <c r="N145" s="118"/>
      <c r="O145" s="92"/>
      <c r="P145" s="92"/>
      <c r="Q145" s="46"/>
      <c r="R145" s="46"/>
      <c r="S145" s="148"/>
    </row>
    <row r="146">
      <c r="A146" s="110"/>
      <c r="C146" s="46"/>
      <c r="D146" s="46"/>
      <c r="J146" s="46"/>
      <c r="K146" s="118"/>
      <c r="L146" s="119"/>
      <c r="M146" s="46"/>
      <c r="N146" s="118"/>
      <c r="O146" s="92"/>
      <c r="P146" s="92"/>
      <c r="Q146" s="46"/>
      <c r="R146" s="46"/>
      <c r="S146" s="148"/>
    </row>
    <row r="147">
      <c r="A147" s="110"/>
      <c r="C147" s="46"/>
      <c r="D147" s="46"/>
      <c r="J147" s="46"/>
      <c r="K147" s="118"/>
      <c r="L147" s="119"/>
      <c r="M147" s="46"/>
      <c r="N147" s="118"/>
      <c r="O147" s="92"/>
      <c r="P147" s="92"/>
      <c r="Q147" s="46"/>
      <c r="R147" s="46"/>
      <c r="S147" s="148"/>
    </row>
    <row r="148">
      <c r="A148" s="110"/>
      <c r="C148" s="46"/>
      <c r="D148" s="46"/>
      <c r="J148" s="46"/>
      <c r="K148" s="118"/>
      <c r="L148" s="119"/>
      <c r="M148" s="46"/>
      <c r="N148" s="118"/>
      <c r="O148" s="92"/>
      <c r="P148" s="92"/>
      <c r="Q148" s="46"/>
      <c r="R148" s="46"/>
      <c r="S148" s="148"/>
    </row>
    <row r="149">
      <c r="A149" s="110"/>
      <c r="C149" s="46"/>
      <c r="D149" s="46"/>
      <c r="J149" s="46"/>
      <c r="K149" s="118"/>
      <c r="L149" s="119"/>
      <c r="M149" s="46"/>
      <c r="N149" s="118"/>
      <c r="O149" s="92"/>
      <c r="P149" s="92"/>
      <c r="Q149" s="46"/>
      <c r="R149" s="46"/>
      <c r="S149" s="148"/>
    </row>
    <row r="150">
      <c r="A150" s="110"/>
      <c r="C150" s="46"/>
      <c r="D150" s="46"/>
      <c r="J150" s="46"/>
      <c r="K150" s="118"/>
      <c r="L150" s="119"/>
      <c r="M150" s="46"/>
      <c r="N150" s="118"/>
      <c r="O150" s="92"/>
      <c r="P150" s="92"/>
      <c r="Q150" s="46"/>
      <c r="R150" s="46"/>
      <c r="S150" s="148"/>
    </row>
    <row r="151">
      <c r="A151" s="110"/>
      <c r="C151" s="46"/>
      <c r="D151" s="46"/>
      <c r="J151" s="46"/>
      <c r="K151" s="118"/>
      <c r="L151" s="119"/>
      <c r="M151" s="46"/>
      <c r="N151" s="118"/>
      <c r="O151" s="92"/>
      <c r="P151" s="92"/>
      <c r="Q151" s="46"/>
      <c r="R151" s="46"/>
      <c r="S151" s="148"/>
    </row>
    <row r="152">
      <c r="A152" s="110"/>
      <c r="C152" s="46"/>
      <c r="D152" s="46"/>
      <c r="J152" s="46"/>
      <c r="K152" s="118"/>
      <c r="L152" s="119"/>
      <c r="M152" s="46"/>
      <c r="N152" s="118"/>
      <c r="O152" s="92"/>
      <c r="P152" s="92"/>
      <c r="Q152" s="46"/>
      <c r="R152" s="46"/>
      <c r="S152" s="148"/>
    </row>
    <row r="153">
      <c r="A153" s="110"/>
      <c r="C153" s="46"/>
      <c r="D153" s="46"/>
      <c r="J153" s="46"/>
      <c r="K153" s="118"/>
      <c r="L153" s="119"/>
      <c r="M153" s="46"/>
      <c r="N153" s="118"/>
      <c r="O153" s="92"/>
      <c r="P153" s="92"/>
      <c r="Q153" s="46"/>
      <c r="R153" s="46"/>
      <c r="S153" s="148"/>
    </row>
    <row r="154">
      <c r="A154" s="110"/>
      <c r="C154" s="46"/>
      <c r="D154" s="46"/>
      <c r="J154" s="46"/>
      <c r="K154" s="118"/>
      <c r="L154" s="119"/>
      <c r="M154" s="46"/>
      <c r="N154" s="118"/>
      <c r="O154" s="92"/>
      <c r="P154" s="92"/>
      <c r="Q154" s="46"/>
      <c r="R154" s="46"/>
      <c r="S154" s="148"/>
    </row>
    <row r="155">
      <c r="A155" s="110"/>
      <c r="C155" s="46"/>
      <c r="D155" s="46"/>
      <c r="J155" s="46"/>
      <c r="K155" s="118"/>
      <c r="L155" s="119"/>
      <c r="M155" s="46"/>
      <c r="N155" s="118"/>
      <c r="O155" s="92"/>
      <c r="P155" s="92"/>
      <c r="Q155" s="46"/>
      <c r="R155" s="46"/>
      <c r="S155" s="148"/>
    </row>
    <row r="156">
      <c r="A156" s="110"/>
      <c r="C156" s="46"/>
      <c r="D156" s="46"/>
      <c r="J156" s="46"/>
      <c r="K156" s="118"/>
      <c r="L156" s="119"/>
      <c r="M156" s="46"/>
      <c r="N156" s="118"/>
      <c r="O156" s="92"/>
      <c r="P156" s="92"/>
      <c r="Q156" s="46"/>
      <c r="R156" s="46"/>
      <c r="S156" s="123"/>
    </row>
    <row r="157">
      <c r="A157" s="110"/>
      <c r="C157" s="46"/>
      <c r="D157" s="46"/>
      <c r="J157" s="46"/>
      <c r="K157" s="118"/>
      <c r="L157" s="119"/>
      <c r="M157" s="46"/>
      <c r="N157" s="118"/>
      <c r="O157" s="92"/>
      <c r="P157" s="92"/>
      <c r="Q157" s="46"/>
      <c r="R157" s="46"/>
      <c r="S157" s="123"/>
    </row>
    <row r="158">
      <c r="A158" s="110"/>
      <c r="C158" s="46"/>
      <c r="D158" s="46"/>
      <c r="J158" s="46"/>
      <c r="K158" s="118"/>
      <c r="L158" s="119"/>
      <c r="M158" s="46"/>
      <c r="N158" s="118"/>
      <c r="O158" s="92"/>
      <c r="P158" s="92"/>
      <c r="Q158" s="46"/>
      <c r="R158" s="46"/>
      <c r="S158" s="123"/>
    </row>
    <row r="159">
      <c r="A159" s="110"/>
      <c r="C159" s="46"/>
      <c r="D159" s="46"/>
      <c r="J159" s="46"/>
      <c r="K159" s="118"/>
      <c r="L159" s="119"/>
      <c r="M159" s="46"/>
      <c r="N159" s="118"/>
      <c r="O159" s="92"/>
      <c r="P159" s="92"/>
      <c r="Q159" s="46"/>
      <c r="R159" s="46"/>
      <c r="S159" s="123"/>
    </row>
    <row r="160">
      <c r="A160" s="110"/>
      <c r="C160" s="46"/>
      <c r="D160" s="46"/>
      <c r="J160" s="46"/>
      <c r="K160" s="118"/>
      <c r="L160" s="119"/>
      <c r="M160" s="46"/>
      <c r="N160" s="118"/>
      <c r="O160" s="92"/>
      <c r="P160" s="92"/>
      <c r="Q160" s="46"/>
      <c r="R160" s="46"/>
      <c r="S160" s="123"/>
    </row>
    <row r="161">
      <c r="A161" s="110"/>
      <c r="C161" s="46"/>
      <c r="D161" s="46"/>
      <c r="J161" s="46"/>
      <c r="K161" s="118"/>
      <c r="L161" s="119"/>
      <c r="M161" s="46"/>
      <c r="N161" s="118"/>
      <c r="O161" s="92"/>
      <c r="P161" s="92"/>
      <c r="Q161" s="46"/>
      <c r="R161" s="46"/>
      <c r="S161" s="123"/>
    </row>
    <row r="162">
      <c r="A162" s="110"/>
      <c r="C162" s="46"/>
      <c r="D162" s="46"/>
      <c r="J162" s="46"/>
      <c r="K162" s="118"/>
      <c r="L162" s="119"/>
      <c r="M162" s="46"/>
      <c r="N162" s="118"/>
      <c r="O162" s="92"/>
      <c r="P162" s="92"/>
      <c r="Q162" s="46"/>
      <c r="R162" s="46"/>
      <c r="S162" s="123"/>
    </row>
    <row r="163">
      <c r="A163" s="110"/>
      <c r="C163" s="46"/>
      <c r="D163" s="46"/>
      <c r="J163" s="46"/>
      <c r="K163" s="118"/>
      <c r="L163" s="119"/>
      <c r="M163" s="46"/>
      <c r="N163" s="118"/>
      <c r="O163" s="92"/>
      <c r="P163" s="92"/>
      <c r="Q163" s="46"/>
      <c r="R163" s="46"/>
      <c r="S163" s="123"/>
    </row>
    <row r="164">
      <c r="A164" s="110"/>
      <c r="C164" s="46"/>
      <c r="D164" s="46"/>
      <c r="J164" s="46"/>
      <c r="K164" s="118"/>
      <c r="L164" s="119"/>
      <c r="M164" s="46"/>
      <c r="N164" s="118"/>
      <c r="O164" s="92"/>
      <c r="P164" s="92"/>
      <c r="Q164" s="46"/>
      <c r="R164" s="46"/>
      <c r="S164" s="123"/>
    </row>
    <row r="165">
      <c r="A165" s="110"/>
      <c r="C165" s="46"/>
      <c r="D165" s="46"/>
      <c r="J165" s="46"/>
      <c r="K165" s="118"/>
      <c r="L165" s="119"/>
      <c r="M165" s="46"/>
      <c r="N165" s="118"/>
      <c r="O165" s="92"/>
      <c r="P165" s="92"/>
      <c r="Q165" s="46"/>
      <c r="R165" s="46"/>
      <c r="S165" s="123"/>
    </row>
    <row r="166">
      <c r="A166" s="110"/>
      <c r="C166" s="46"/>
      <c r="D166" s="46"/>
      <c r="J166" s="46"/>
      <c r="K166" s="118"/>
      <c r="L166" s="119"/>
      <c r="M166" s="46"/>
      <c r="N166" s="118"/>
      <c r="O166" s="92"/>
      <c r="P166" s="92"/>
      <c r="Q166" s="46"/>
      <c r="R166" s="46"/>
      <c r="S166" s="123"/>
    </row>
    <row r="167">
      <c r="A167" s="110"/>
      <c r="C167" s="46"/>
      <c r="D167" s="46"/>
      <c r="J167" s="46"/>
      <c r="K167" s="118"/>
      <c r="L167" s="119"/>
      <c r="M167" s="46"/>
      <c r="N167" s="118"/>
      <c r="O167" s="92"/>
      <c r="P167" s="92"/>
      <c r="Q167" s="46"/>
      <c r="R167" s="46"/>
      <c r="S167" s="123"/>
    </row>
    <row r="168">
      <c r="A168" s="110"/>
      <c r="C168" s="46"/>
      <c r="D168" s="46"/>
      <c r="J168" s="46"/>
      <c r="K168" s="118"/>
      <c r="L168" s="119"/>
      <c r="M168" s="46"/>
      <c r="N168" s="118"/>
      <c r="O168" s="92"/>
      <c r="P168" s="92"/>
      <c r="Q168" s="46"/>
      <c r="R168" s="46"/>
      <c r="S168" s="123"/>
    </row>
    <row r="169">
      <c r="A169" s="110"/>
      <c r="C169" s="46"/>
      <c r="D169" s="46"/>
      <c r="J169" s="46"/>
      <c r="K169" s="118"/>
      <c r="L169" s="119"/>
      <c r="M169" s="46"/>
      <c r="N169" s="118"/>
      <c r="O169" s="92"/>
      <c r="P169" s="92"/>
      <c r="Q169" s="46"/>
      <c r="R169" s="46"/>
      <c r="S169" s="123"/>
    </row>
    <row r="170">
      <c r="A170" s="110"/>
      <c r="C170" s="46"/>
      <c r="D170" s="46"/>
      <c r="J170" s="46"/>
      <c r="K170" s="118"/>
      <c r="L170" s="119"/>
      <c r="M170" s="46"/>
      <c r="N170" s="118"/>
      <c r="O170" s="92"/>
      <c r="P170" s="92"/>
      <c r="Q170" s="46"/>
      <c r="R170" s="46"/>
      <c r="S170" s="123"/>
    </row>
    <row r="171">
      <c r="A171" s="110"/>
      <c r="C171" s="46"/>
      <c r="D171" s="46"/>
      <c r="J171" s="46"/>
      <c r="K171" s="118"/>
      <c r="L171" s="119"/>
      <c r="M171" s="46"/>
      <c r="N171" s="118"/>
      <c r="O171" s="92"/>
      <c r="P171" s="92"/>
      <c r="Q171" s="46"/>
      <c r="R171" s="46"/>
      <c r="S171" s="123"/>
    </row>
    <row r="172">
      <c r="A172" s="110"/>
      <c r="C172" s="46"/>
      <c r="D172" s="46"/>
      <c r="J172" s="46"/>
      <c r="K172" s="118"/>
      <c r="L172" s="119"/>
      <c r="M172" s="46"/>
      <c r="N172" s="118"/>
      <c r="O172" s="92"/>
      <c r="P172" s="92"/>
      <c r="Q172" s="46"/>
      <c r="R172" s="46"/>
      <c r="S172" s="123"/>
    </row>
    <row r="173">
      <c r="A173" s="110"/>
      <c r="C173" s="46"/>
      <c r="D173" s="46"/>
      <c r="J173" s="46"/>
      <c r="K173" s="118"/>
      <c r="L173" s="119"/>
      <c r="M173" s="46"/>
      <c r="N173" s="118"/>
      <c r="O173" s="92"/>
      <c r="P173" s="92"/>
      <c r="Q173" s="46"/>
      <c r="R173" s="46"/>
      <c r="S173" s="123"/>
    </row>
    <row r="174">
      <c r="A174" s="110"/>
      <c r="C174" s="46"/>
      <c r="D174" s="46"/>
      <c r="J174" s="46"/>
      <c r="K174" s="118"/>
      <c r="L174" s="119"/>
      <c r="M174" s="46"/>
      <c r="N174" s="118"/>
      <c r="O174" s="92"/>
      <c r="P174" s="92"/>
      <c r="Q174" s="46"/>
      <c r="R174" s="46"/>
      <c r="S174" s="123"/>
    </row>
    <row r="175">
      <c r="A175" s="110"/>
      <c r="C175" s="46"/>
      <c r="D175" s="46"/>
      <c r="J175" s="46"/>
      <c r="K175" s="118"/>
      <c r="L175" s="119"/>
      <c r="M175" s="46"/>
      <c r="N175" s="118"/>
      <c r="O175" s="92"/>
      <c r="P175" s="92"/>
      <c r="Q175" s="46"/>
      <c r="R175" s="46"/>
      <c r="S175" s="123"/>
    </row>
    <row r="176">
      <c r="A176" s="110"/>
      <c r="C176" s="46"/>
      <c r="D176" s="46"/>
      <c r="J176" s="46"/>
      <c r="K176" s="118"/>
      <c r="L176" s="119"/>
      <c r="M176" s="46"/>
      <c r="N176" s="118"/>
      <c r="O176" s="92"/>
      <c r="P176" s="92"/>
      <c r="Q176" s="46"/>
      <c r="R176" s="46"/>
      <c r="S176" s="123"/>
    </row>
    <row r="177">
      <c r="A177" s="110"/>
      <c r="C177" s="46"/>
      <c r="D177" s="46"/>
      <c r="J177" s="46"/>
      <c r="K177" s="118"/>
      <c r="L177" s="119"/>
      <c r="M177" s="46"/>
      <c r="N177" s="118"/>
      <c r="O177" s="92"/>
      <c r="P177" s="92"/>
      <c r="Q177" s="46"/>
      <c r="R177" s="46"/>
      <c r="S177" s="123"/>
    </row>
    <row r="178">
      <c r="A178" s="110"/>
      <c r="C178" s="46"/>
      <c r="D178" s="46"/>
      <c r="J178" s="46"/>
      <c r="K178" s="118"/>
      <c r="L178" s="119"/>
      <c r="M178" s="46"/>
      <c r="N178" s="118"/>
      <c r="O178" s="92"/>
      <c r="P178" s="92"/>
      <c r="Q178" s="46"/>
      <c r="R178" s="46"/>
      <c r="S178" s="123"/>
    </row>
    <row r="179">
      <c r="A179" s="110"/>
      <c r="C179" s="46"/>
      <c r="D179" s="46"/>
      <c r="J179" s="46"/>
      <c r="K179" s="118"/>
      <c r="L179" s="119"/>
      <c r="M179" s="46"/>
      <c r="N179" s="118"/>
      <c r="O179" s="92"/>
      <c r="P179" s="92"/>
      <c r="Q179" s="46"/>
      <c r="R179" s="46"/>
      <c r="S179" s="123"/>
    </row>
    <row r="180">
      <c r="A180" s="110"/>
      <c r="C180" s="46"/>
      <c r="D180" s="46"/>
      <c r="J180" s="46"/>
      <c r="K180" s="118"/>
      <c r="L180" s="119"/>
      <c r="M180" s="46"/>
      <c r="N180" s="118"/>
      <c r="O180" s="92"/>
      <c r="P180" s="92"/>
      <c r="Q180" s="46"/>
      <c r="R180" s="46"/>
      <c r="S180" s="123"/>
    </row>
    <row r="181">
      <c r="A181" s="110"/>
      <c r="C181" s="46"/>
      <c r="D181" s="46"/>
      <c r="J181" s="46"/>
      <c r="K181" s="118"/>
      <c r="L181" s="119"/>
      <c r="M181" s="46"/>
      <c r="N181" s="118"/>
      <c r="O181" s="92"/>
      <c r="P181" s="92"/>
      <c r="Q181" s="46"/>
      <c r="R181" s="46"/>
      <c r="S181" s="123"/>
    </row>
    <row r="182">
      <c r="A182" s="110"/>
      <c r="C182" s="46"/>
      <c r="D182" s="46"/>
      <c r="J182" s="46"/>
      <c r="K182" s="118"/>
      <c r="L182" s="119"/>
      <c r="M182" s="46"/>
      <c r="N182" s="118"/>
      <c r="O182" s="92"/>
      <c r="P182" s="92"/>
      <c r="Q182" s="46"/>
      <c r="R182" s="46"/>
      <c r="S182" s="123"/>
    </row>
    <row r="183">
      <c r="A183" s="110"/>
      <c r="C183" s="46"/>
      <c r="D183" s="46"/>
      <c r="J183" s="46"/>
      <c r="K183" s="118"/>
      <c r="L183" s="119"/>
      <c r="M183" s="46"/>
      <c r="N183" s="118"/>
      <c r="O183" s="92"/>
      <c r="P183" s="92"/>
      <c r="Q183" s="46"/>
      <c r="R183" s="46"/>
      <c r="S183" s="123"/>
    </row>
    <row r="184">
      <c r="A184" s="110"/>
      <c r="C184" s="46"/>
      <c r="D184" s="46"/>
      <c r="J184" s="46"/>
      <c r="K184" s="118"/>
      <c r="L184" s="119"/>
      <c r="M184" s="46"/>
      <c r="N184" s="118"/>
      <c r="O184" s="92"/>
      <c r="P184" s="92"/>
      <c r="Q184" s="46"/>
      <c r="R184" s="46"/>
      <c r="S184" s="123"/>
    </row>
    <row r="185">
      <c r="A185" s="110"/>
      <c r="C185" s="46"/>
      <c r="D185" s="46"/>
      <c r="J185" s="46"/>
      <c r="K185" s="118"/>
      <c r="L185" s="119"/>
      <c r="M185" s="46"/>
      <c r="N185" s="118"/>
      <c r="O185" s="92"/>
      <c r="P185" s="92"/>
      <c r="Q185" s="46"/>
      <c r="R185" s="46"/>
      <c r="S185" s="123"/>
    </row>
    <row r="186">
      <c r="A186" s="110"/>
      <c r="C186" s="46"/>
      <c r="D186" s="46"/>
      <c r="J186" s="46"/>
      <c r="K186" s="118"/>
      <c r="L186" s="119"/>
      <c r="M186" s="46"/>
      <c r="N186" s="118"/>
      <c r="O186" s="92"/>
      <c r="P186" s="92"/>
      <c r="Q186" s="46"/>
      <c r="R186" s="46"/>
      <c r="S186" s="123"/>
    </row>
    <row r="187">
      <c r="A187" s="110"/>
      <c r="C187" s="46"/>
      <c r="D187" s="46"/>
      <c r="J187" s="46"/>
      <c r="K187" s="118"/>
      <c r="L187" s="119"/>
      <c r="M187" s="46"/>
      <c r="N187" s="118"/>
      <c r="O187" s="92"/>
      <c r="P187" s="92"/>
      <c r="Q187" s="46"/>
      <c r="R187" s="46"/>
      <c r="S187" s="123"/>
    </row>
    <row r="188">
      <c r="A188" s="110"/>
      <c r="C188" s="46"/>
      <c r="D188" s="46"/>
      <c r="J188" s="46"/>
      <c r="K188" s="118"/>
      <c r="L188" s="119"/>
      <c r="M188" s="46"/>
      <c r="N188" s="118"/>
      <c r="O188" s="92"/>
      <c r="P188" s="92"/>
      <c r="Q188" s="46"/>
      <c r="R188" s="46"/>
      <c r="S188" s="123"/>
    </row>
    <row r="189">
      <c r="A189" s="110"/>
      <c r="C189" s="46"/>
      <c r="D189" s="46"/>
      <c r="J189" s="46"/>
      <c r="K189" s="118"/>
      <c r="L189" s="119"/>
      <c r="M189" s="46"/>
      <c r="N189" s="118"/>
      <c r="O189" s="92"/>
      <c r="P189" s="92"/>
      <c r="Q189" s="46"/>
      <c r="R189" s="46"/>
      <c r="S189" s="123"/>
    </row>
    <row r="190">
      <c r="A190" s="110"/>
      <c r="C190" s="46"/>
      <c r="D190" s="46"/>
      <c r="J190" s="46"/>
      <c r="K190" s="118"/>
      <c r="L190" s="119"/>
      <c r="M190" s="46"/>
      <c r="N190" s="118"/>
      <c r="O190" s="92"/>
      <c r="P190" s="92"/>
      <c r="Q190" s="46"/>
      <c r="R190" s="46"/>
      <c r="S190" s="123"/>
    </row>
    <row r="191">
      <c r="A191" s="110"/>
      <c r="C191" s="46"/>
      <c r="D191" s="46"/>
      <c r="J191" s="46"/>
      <c r="K191" s="118"/>
      <c r="L191" s="119"/>
      <c r="M191" s="46"/>
      <c r="N191" s="118"/>
      <c r="O191" s="92"/>
      <c r="P191" s="92"/>
      <c r="Q191" s="46"/>
      <c r="R191" s="46"/>
      <c r="S191" s="123"/>
    </row>
    <row r="192">
      <c r="A192" s="110"/>
      <c r="C192" s="46"/>
      <c r="D192" s="46"/>
      <c r="J192" s="46"/>
      <c r="K192" s="118"/>
      <c r="L192" s="119"/>
      <c r="M192" s="46"/>
      <c r="N192" s="118"/>
      <c r="O192" s="92"/>
      <c r="P192" s="92"/>
      <c r="Q192" s="46"/>
      <c r="R192" s="46"/>
      <c r="S192" s="123"/>
    </row>
    <row r="193">
      <c r="A193" s="110"/>
      <c r="C193" s="46"/>
      <c r="D193" s="46"/>
      <c r="J193" s="46"/>
      <c r="K193" s="118"/>
      <c r="L193" s="119"/>
      <c r="M193" s="46"/>
      <c r="N193" s="118"/>
      <c r="O193" s="92"/>
      <c r="P193" s="92"/>
      <c r="Q193" s="46"/>
      <c r="R193" s="46"/>
      <c r="S193" s="123"/>
    </row>
    <row r="194">
      <c r="A194" s="110"/>
      <c r="C194" s="46"/>
      <c r="D194" s="46"/>
      <c r="J194" s="46"/>
      <c r="K194" s="118"/>
      <c r="L194" s="119"/>
      <c r="M194" s="46"/>
      <c r="N194" s="118"/>
      <c r="O194" s="92"/>
      <c r="P194" s="92"/>
      <c r="Q194" s="46"/>
      <c r="R194" s="46"/>
      <c r="S194" s="123"/>
    </row>
    <row r="195">
      <c r="A195" s="110"/>
      <c r="C195" s="46"/>
      <c r="D195" s="46"/>
      <c r="J195" s="46"/>
      <c r="K195" s="118"/>
      <c r="L195" s="119"/>
      <c r="M195" s="46"/>
      <c r="N195" s="118"/>
      <c r="O195" s="92"/>
      <c r="P195" s="92"/>
      <c r="Q195" s="46"/>
      <c r="R195" s="46"/>
      <c r="S195" s="123"/>
    </row>
    <row r="196">
      <c r="A196" s="110"/>
      <c r="C196" s="46"/>
      <c r="D196" s="46"/>
      <c r="J196" s="46"/>
      <c r="K196" s="118"/>
      <c r="L196" s="119"/>
      <c r="M196" s="46"/>
      <c r="N196" s="118"/>
      <c r="O196" s="92"/>
      <c r="P196" s="92"/>
      <c r="Q196" s="46"/>
      <c r="R196" s="46"/>
      <c r="S196" s="123"/>
    </row>
    <row r="197">
      <c r="A197" s="110"/>
      <c r="C197" s="46"/>
      <c r="D197" s="46"/>
      <c r="J197" s="46"/>
      <c r="K197" s="118"/>
      <c r="L197" s="119"/>
      <c r="M197" s="46"/>
      <c r="N197" s="118"/>
      <c r="O197" s="92"/>
      <c r="P197" s="92"/>
      <c r="Q197" s="46"/>
      <c r="R197" s="46"/>
      <c r="S197" s="123"/>
    </row>
    <row r="198">
      <c r="A198" s="110"/>
      <c r="C198" s="46"/>
      <c r="D198" s="46"/>
      <c r="J198" s="46"/>
      <c r="K198" s="118"/>
      <c r="L198" s="119"/>
      <c r="M198" s="46"/>
      <c r="N198" s="118"/>
      <c r="O198" s="92"/>
      <c r="P198" s="92"/>
      <c r="Q198" s="46"/>
      <c r="R198" s="46"/>
      <c r="S198" s="123"/>
    </row>
    <row r="199">
      <c r="A199" s="110"/>
      <c r="C199" s="46"/>
      <c r="D199" s="46"/>
      <c r="J199" s="46"/>
      <c r="K199" s="118"/>
      <c r="L199" s="119"/>
      <c r="M199" s="46"/>
      <c r="N199" s="118"/>
      <c r="O199" s="92"/>
      <c r="P199" s="92"/>
      <c r="Q199" s="46"/>
      <c r="R199" s="46"/>
      <c r="S199" s="123"/>
    </row>
    <row r="200">
      <c r="A200" s="110"/>
      <c r="C200" s="46"/>
      <c r="D200" s="46"/>
      <c r="J200" s="46"/>
      <c r="K200" s="118"/>
      <c r="L200" s="119"/>
      <c r="M200" s="46"/>
      <c r="N200" s="118"/>
      <c r="O200" s="92"/>
      <c r="P200" s="92"/>
      <c r="Q200" s="46"/>
      <c r="R200" s="46"/>
      <c r="S200" s="123"/>
    </row>
    <row r="201">
      <c r="A201" s="110"/>
      <c r="C201" s="46"/>
      <c r="D201" s="46"/>
      <c r="J201" s="46"/>
      <c r="K201" s="118"/>
      <c r="L201" s="119"/>
      <c r="M201" s="46"/>
      <c r="N201" s="118"/>
      <c r="O201" s="92"/>
      <c r="P201" s="92"/>
      <c r="Q201" s="46"/>
      <c r="R201" s="46"/>
      <c r="S201" s="123"/>
    </row>
    <row r="202">
      <c r="A202" s="110"/>
      <c r="C202" s="46"/>
      <c r="D202" s="46"/>
      <c r="J202" s="46"/>
      <c r="K202" s="118"/>
      <c r="L202" s="119"/>
      <c r="M202" s="46"/>
      <c r="N202" s="118"/>
      <c r="O202" s="92"/>
      <c r="P202" s="92"/>
      <c r="Q202" s="46"/>
      <c r="R202" s="46"/>
      <c r="S202" s="123"/>
    </row>
    <row r="203">
      <c r="A203" s="110"/>
      <c r="C203" s="46"/>
      <c r="D203" s="46"/>
      <c r="J203" s="46"/>
      <c r="K203" s="118"/>
      <c r="L203" s="119"/>
      <c r="M203" s="46"/>
      <c r="N203" s="118"/>
      <c r="O203" s="92"/>
      <c r="P203" s="92"/>
      <c r="Q203" s="46"/>
      <c r="R203" s="46"/>
      <c r="S203" s="123"/>
    </row>
    <row r="204">
      <c r="A204" s="110"/>
      <c r="C204" s="46"/>
      <c r="D204" s="46"/>
      <c r="J204" s="46"/>
      <c r="K204" s="118"/>
      <c r="L204" s="119"/>
      <c r="M204" s="46"/>
      <c r="N204" s="118"/>
      <c r="O204" s="92"/>
      <c r="P204" s="92"/>
      <c r="Q204" s="46"/>
      <c r="R204" s="46"/>
      <c r="S204" s="123"/>
    </row>
    <row r="205">
      <c r="A205" s="110"/>
      <c r="C205" s="46"/>
      <c r="D205" s="46"/>
      <c r="J205" s="46"/>
      <c r="K205" s="118"/>
      <c r="L205" s="119"/>
      <c r="M205" s="46"/>
      <c r="N205" s="118"/>
      <c r="O205" s="92"/>
      <c r="P205" s="92"/>
      <c r="Q205" s="46"/>
      <c r="R205" s="46"/>
      <c r="S205" s="123"/>
    </row>
    <row r="206">
      <c r="A206" s="110"/>
      <c r="C206" s="46"/>
      <c r="D206" s="46"/>
      <c r="J206" s="46"/>
      <c r="K206" s="118"/>
      <c r="L206" s="119"/>
      <c r="M206" s="46"/>
      <c r="N206" s="118"/>
      <c r="O206" s="92"/>
      <c r="P206" s="92"/>
      <c r="Q206" s="46"/>
      <c r="R206" s="46"/>
      <c r="S206" s="123"/>
    </row>
    <row r="207">
      <c r="A207" s="110"/>
      <c r="C207" s="46"/>
      <c r="D207" s="46"/>
      <c r="J207" s="46"/>
      <c r="K207" s="118"/>
      <c r="L207" s="119"/>
      <c r="M207" s="46"/>
      <c r="N207" s="118"/>
      <c r="O207" s="92"/>
      <c r="P207" s="92"/>
      <c r="Q207" s="46"/>
      <c r="R207" s="46"/>
      <c r="S207" s="123"/>
    </row>
    <row r="208">
      <c r="A208" s="110"/>
      <c r="C208" s="46"/>
      <c r="D208" s="46"/>
      <c r="J208" s="46"/>
      <c r="K208" s="118"/>
      <c r="L208" s="119"/>
      <c r="M208" s="46"/>
      <c r="N208" s="118"/>
      <c r="O208" s="92"/>
      <c r="P208" s="92"/>
      <c r="Q208" s="46"/>
      <c r="R208" s="46"/>
      <c r="S208" s="123"/>
    </row>
    <row r="209">
      <c r="A209" s="110"/>
      <c r="C209" s="46"/>
      <c r="D209" s="46"/>
      <c r="J209" s="46"/>
      <c r="K209" s="118"/>
      <c r="L209" s="119"/>
      <c r="M209" s="46"/>
      <c r="N209" s="118"/>
      <c r="O209" s="92"/>
      <c r="P209" s="92"/>
      <c r="Q209" s="46"/>
      <c r="R209" s="46"/>
      <c r="S209" s="123"/>
    </row>
    <row r="210">
      <c r="A210" s="110"/>
      <c r="C210" s="46"/>
      <c r="D210" s="46"/>
      <c r="J210" s="46"/>
      <c r="K210" s="118"/>
      <c r="L210" s="119"/>
      <c r="M210" s="46"/>
      <c r="N210" s="118"/>
      <c r="O210" s="92"/>
      <c r="P210" s="92"/>
      <c r="Q210" s="46"/>
      <c r="R210" s="46"/>
      <c r="S210" s="123"/>
    </row>
    <row r="211">
      <c r="A211" s="110"/>
      <c r="C211" s="46"/>
      <c r="D211" s="46"/>
      <c r="J211" s="46"/>
      <c r="K211" s="118"/>
      <c r="L211" s="119"/>
      <c r="M211" s="46"/>
      <c r="N211" s="118"/>
      <c r="O211" s="92"/>
      <c r="P211" s="92"/>
      <c r="Q211" s="46"/>
      <c r="R211" s="46"/>
      <c r="S211" s="123"/>
    </row>
    <row r="212">
      <c r="A212" s="110"/>
      <c r="C212" s="46"/>
      <c r="D212" s="46"/>
      <c r="J212" s="46"/>
      <c r="K212" s="118"/>
      <c r="L212" s="119"/>
      <c r="M212" s="46"/>
      <c r="N212" s="118"/>
      <c r="O212" s="92"/>
      <c r="P212" s="92"/>
      <c r="Q212" s="46"/>
      <c r="R212" s="46"/>
      <c r="S212" s="123"/>
    </row>
    <row r="213">
      <c r="A213" s="110"/>
      <c r="C213" s="46"/>
      <c r="D213" s="46"/>
      <c r="J213" s="46"/>
      <c r="K213" s="118"/>
      <c r="L213" s="119"/>
      <c r="M213" s="46"/>
      <c r="N213" s="118"/>
      <c r="O213" s="92"/>
      <c r="P213" s="92"/>
      <c r="Q213" s="46"/>
      <c r="R213" s="46"/>
      <c r="S213" s="123"/>
    </row>
    <row r="214">
      <c r="A214" s="110"/>
      <c r="C214" s="46"/>
      <c r="D214" s="46"/>
      <c r="J214" s="46"/>
      <c r="K214" s="118"/>
      <c r="L214" s="119"/>
      <c r="M214" s="46"/>
      <c r="N214" s="118"/>
      <c r="O214" s="92"/>
      <c r="P214" s="92"/>
      <c r="Q214" s="46"/>
      <c r="R214" s="46"/>
      <c r="S214" s="123"/>
    </row>
    <row r="215">
      <c r="A215" s="110"/>
      <c r="C215" s="46"/>
      <c r="D215" s="46"/>
      <c r="J215" s="46"/>
      <c r="K215" s="118"/>
      <c r="L215" s="119"/>
      <c r="M215" s="46"/>
      <c r="N215" s="118"/>
      <c r="O215" s="92"/>
      <c r="P215" s="92"/>
      <c r="Q215" s="46"/>
      <c r="R215" s="46"/>
      <c r="S215" s="123"/>
    </row>
    <row r="216">
      <c r="A216" s="110"/>
      <c r="C216" s="46"/>
      <c r="D216" s="46"/>
      <c r="J216" s="46"/>
      <c r="K216" s="118"/>
      <c r="L216" s="119"/>
      <c r="M216" s="46"/>
      <c r="N216" s="118"/>
      <c r="O216" s="92"/>
      <c r="P216" s="92"/>
      <c r="Q216" s="46"/>
      <c r="R216" s="46"/>
      <c r="S216" s="123"/>
    </row>
    <row r="217">
      <c r="A217" s="110"/>
      <c r="C217" s="46"/>
      <c r="D217" s="46"/>
      <c r="J217" s="46"/>
      <c r="K217" s="118"/>
      <c r="L217" s="119"/>
      <c r="M217" s="46"/>
      <c r="N217" s="118"/>
      <c r="O217" s="92"/>
      <c r="P217" s="92"/>
      <c r="Q217" s="46"/>
      <c r="R217" s="46"/>
      <c r="S217" s="123"/>
    </row>
    <row r="218">
      <c r="A218" s="110"/>
      <c r="C218" s="46"/>
      <c r="D218" s="46"/>
      <c r="J218" s="46"/>
      <c r="K218" s="118"/>
      <c r="L218" s="119"/>
      <c r="M218" s="46"/>
      <c r="N218" s="118"/>
      <c r="O218" s="92"/>
      <c r="P218" s="92"/>
      <c r="Q218" s="46"/>
      <c r="R218" s="46"/>
      <c r="S218" s="123"/>
    </row>
    <row r="219">
      <c r="A219" s="110"/>
      <c r="C219" s="46"/>
      <c r="D219" s="46"/>
      <c r="J219" s="46"/>
      <c r="K219" s="118"/>
      <c r="L219" s="119"/>
      <c r="M219" s="46"/>
      <c r="N219" s="118"/>
      <c r="O219" s="92"/>
      <c r="P219" s="92"/>
      <c r="Q219" s="46"/>
      <c r="R219" s="46"/>
      <c r="S219" s="123"/>
    </row>
    <row r="220">
      <c r="A220" s="110"/>
      <c r="C220" s="46"/>
      <c r="D220" s="46"/>
      <c r="J220" s="46"/>
      <c r="K220" s="118"/>
      <c r="L220" s="119"/>
      <c r="M220" s="46"/>
      <c r="N220" s="118"/>
      <c r="O220" s="92"/>
      <c r="P220" s="92"/>
      <c r="Q220" s="46"/>
      <c r="R220" s="46"/>
      <c r="S220" s="123"/>
    </row>
    <row r="221">
      <c r="A221" s="110"/>
      <c r="C221" s="46"/>
      <c r="D221" s="46"/>
      <c r="J221" s="46"/>
      <c r="K221" s="118"/>
      <c r="L221" s="119"/>
      <c r="M221" s="46"/>
      <c r="N221" s="118"/>
      <c r="O221" s="92"/>
      <c r="P221" s="92"/>
      <c r="Q221" s="46"/>
      <c r="R221" s="46"/>
      <c r="S221" s="123"/>
    </row>
    <row r="222">
      <c r="A222" s="110"/>
      <c r="C222" s="46"/>
      <c r="D222" s="46"/>
      <c r="J222" s="46"/>
      <c r="K222" s="118"/>
      <c r="L222" s="119"/>
      <c r="M222" s="46"/>
      <c r="N222" s="118"/>
      <c r="O222" s="92"/>
      <c r="P222" s="92"/>
      <c r="Q222" s="46"/>
      <c r="R222" s="46"/>
      <c r="S222" s="123"/>
    </row>
    <row r="223">
      <c r="A223" s="110"/>
      <c r="C223" s="46"/>
      <c r="D223" s="46"/>
      <c r="J223" s="46"/>
      <c r="K223" s="118"/>
      <c r="L223" s="119"/>
      <c r="M223" s="46"/>
      <c r="N223" s="118"/>
      <c r="O223" s="92"/>
      <c r="P223" s="92"/>
      <c r="Q223" s="46"/>
      <c r="R223" s="46"/>
      <c r="S223" s="123"/>
    </row>
    <row r="224">
      <c r="A224" s="110"/>
      <c r="C224" s="46"/>
      <c r="D224" s="46"/>
      <c r="J224" s="46"/>
      <c r="K224" s="118"/>
      <c r="L224" s="119"/>
      <c r="M224" s="46"/>
      <c r="N224" s="118"/>
      <c r="O224" s="92"/>
      <c r="P224" s="92"/>
      <c r="Q224" s="46"/>
      <c r="R224" s="46"/>
      <c r="S224" s="123"/>
    </row>
    <row r="225">
      <c r="A225" s="110"/>
      <c r="C225" s="46"/>
      <c r="D225" s="46"/>
      <c r="J225" s="46"/>
      <c r="K225" s="118"/>
      <c r="L225" s="119"/>
      <c r="M225" s="46"/>
      <c r="N225" s="118"/>
      <c r="O225" s="92"/>
      <c r="P225" s="92"/>
      <c r="Q225" s="46"/>
      <c r="R225" s="46"/>
      <c r="S225" s="123"/>
    </row>
    <row r="226">
      <c r="A226" s="110"/>
      <c r="C226" s="46"/>
      <c r="D226" s="46"/>
      <c r="J226" s="46"/>
      <c r="K226" s="118"/>
      <c r="L226" s="119"/>
      <c r="M226" s="46"/>
      <c r="N226" s="118"/>
      <c r="O226" s="92"/>
      <c r="P226" s="92"/>
      <c r="Q226" s="46"/>
      <c r="R226" s="46"/>
      <c r="S226" s="123"/>
    </row>
    <row r="227">
      <c r="A227" s="110"/>
      <c r="C227" s="46"/>
      <c r="D227" s="46"/>
      <c r="J227" s="46"/>
      <c r="K227" s="118"/>
      <c r="L227" s="119"/>
      <c r="M227" s="46"/>
      <c r="N227" s="118"/>
      <c r="O227" s="92"/>
      <c r="P227" s="92"/>
      <c r="Q227" s="46"/>
      <c r="R227" s="46"/>
      <c r="S227" s="123"/>
    </row>
    <row r="228">
      <c r="A228" s="110"/>
      <c r="C228" s="46"/>
      <c r="D228" s="46"/>
      <c r="J228" s="46"/>
      <c r="K228" s="118"/>
      <c r="L228" s="119"/>
      <c r="M228" s="46"/>
      <c r="N228" s="118"/>
      <c r="O228" s="92"/>
      <c r="P228" s="92"/>
      <c r="Q228" s="46"/>
      <c r="R228" s="46"/>
      <c r="S228" s="123"/>
    </row>
    <row r="229">
      <c r="A229" s="110"/>
      <c r="C229" s="46"/>
      <c r="D229" s="46"/>
      <c r="J229" s="46"/>
      <c r="K229" s="118"/>
      <c r="L229" s="119"/>
      <c r="M229" s="46"/>
      <c r="N229" s="118"/>
      <c r="O229" s="92"/>
      <c r="P229" s="92"/>
      <c r="Q229" s="46"/>
      <c r="R229" s="46"/>
      <c r="S229" s="123"/>
    </row>
    <row r="230">
      <c r="A230" s="110"/>
      <c r="C230" s="46"/>
      <c r="D230" s="46"/>
      <c r="J230" s="46"/>
      <c r="K230" s="118"/>
      <c r="L230" s="119"/>
      <c r="M230" s="46"/>
      <c r="N230" s="118"/>
      <c r="O230" s="92"/>
      <c r="P230" s="92"/>
      <c r="Q230" s="46"/>
      <c r="R230" s="46"/>
      <c r="S230" s="123"/>
    </row>
    <row r="231">
      <c r="A231" s="110"/>
      <c r="C231" s="46"/>
      <c r="D231" s="46"/>
      <c r="J231" s="46"/>
      <c r="K231" s="118"/>
      <c r="L231" s="119"/>
      <c r="M231" s="46"/>
      <c r="N231" s="118"/>
      <c r="O231" s="92"/>
      <c r="P231" s="92"/>
      <c r="Q231" s="46"/>
      <c r="R231" s="46"/>
      <c r="S231" s="123"/>
    </row>
    <row r="232">
      <c r="A232" s="110"/>
      <c r="C232" s="46"/>
      <c r="D232" s="46"/>
      <c r="J232" s="46"/>
      <c r="K232" s="118"/>
      <c r="L232" s="119"/>
      <c r="M232" s="46"/>
      <c r="N232" s="118"/>
      <c r="O232" s="92"/>
      <c r="P232" s="92"/>
      <c r="Q232" s="46"/>
      <c r="R232" s="46"/>
      <c r="S232" s="123"/>
    </row>
    <row r="233">
      <c r="A233" s="110"/>
      <c r="C233" s="46"/>
      <c r="D233" s="46"/>
      <c r="J233" s="46"/>
      <c r="K233" s="118"/>
      <c r="L233" s="119"/>
      <c r="M233" s="46"/>
      <c r="N233" s="118"/>
      <c r="O233" s="92"/>
      <c r="P233" s="92"/>
      <c r="Q233" s="46"/>
      <c r="R233" s="46"/>
      <c r="S233" s="123"/>
    </row>
    <row r="234">
      <c r="A234" s="110"/>
      <c r="C234" s="46"/>
      <c r="D234" s="46"/>
      <c r="J234" s="46"/>
      <c r="K234" s="118"/>
      <c r="L234" s="119"/>
      <c r="M234" s="46"/>
      <c r="N234" s="118"/>
      <c r="O234" s="92"/>
      <c r="P234" s="92"/>
      <c r="Q234" s="46"/>
      <c r="R234" s="46"/>
      <c r="S234" s="123"/>
    </row>
    <row r="235">
      <c r="A235" s="110"/>
      <c r="C235" s="46"/>
      <c r="D235" s="46"/>
      <c r="J235" s="46"/>
      <c r="K235" s="118"/>
      <c r="L235" s="119"/>
      <c r="M235" s="46"/>
      <c r="N235" s="118"/>
      <c r="O235" s="92"/>
      <c r="P235" s="92"/>
      <c r="Q235" s="46"/>
      <c r="R235" s="46"/>
      <c r="S235" s="123"/>
    </row>
    <row r="236">
      <c r="A236" s="110"/>
      <c r="C236" s="46"/>
      <c r="D236" s="46"/>
      <c r="J236" s="46"/>
      <c r="K236" s="118"/>
      <c r="L236" s="119"/>
      <c r="M236" s="46"/>
      <c r="N236" s="118"/>
      <c r="O236" s="92"/>
      <c r="P236" s="92"/>
      <c r="Q236" s="46"/>
      <c r="R236" s="46"/>
      <c r="S236" s="123"/>
    </row>
    <row r="237">
      <c r="A237" s="110"/>
      <c r="C237" s="46"/>
      <c r="D237" s="46"/>
      <c r="J237" s="46"/>
      <c r="K237" s="118"/>
      <c r="L237" s="119"/>
      <c r="M237" s="46"/>
      <c r="N237" s="118"/>
      <c r="O237" s="92"/>
      <c r="P237" s="92"/>
      <c r="Q237" s="46"/>
      <c r="R237" s="46"/>
      <c r="S237" s="123"/>
    </row>
    <row r="238">
      <c r="A238" s="110"/>
      <c r="C238" s="46"/>
      <c r="D238" s="46"/>
      <c r="J238" s="46"/>
      <c r="K238" s="118"/>
      <c r="L238" s="119"/>
      <c r="M238" s="46"/>
      <c r="N238" s="118"/>
      <c r="O238" s="92"/>
      <c r="P238" s="92"/>
      <c r="Q238" s="46"/>
      <c r="R238" s="46"/>
      <c r="S238" s="123"/>
    </row>
    <row r="239">
      <c r="A239" s="110"/>
      <c r="C239" s="46"/>
      <c r="D239" s="46"/>
      <c r="J239" s="46"/>
      <c r="K239" s="118"/>
      <c r="L239" s="119"/>
      <c r="M239" s="46"/>
      <c r="N239" s="118"/>
      <c r="O239" s="92"/>
      <c r="P239" s="92"/>
      <c r="Q239" s="46"/>
      <c r="R239" s="46"/>
      <c r="S239" s="123"/>
    </row>
    <row r="240">
      <c r="A240" s="110"/>
      <c r="C240" s="46"/>
      <c r="D240" s="46"/>
      <c r="J240" s="46"/>
      <c r="K240" s="118"/>
      <c r="L240" s="119"/>
      <c r="M240" s="46"/>
      <c r="N240" s="118"/>
      <c r="O240" s="92"/>
      <c r="P240" s="92"/>
      <c r="Q240" s="46"/>
      <c r="R240" s="46"/>
      <c r="S240" s="123"/>
    </row>
    <row r="241">
      <c r="A241" s="110"/>
      <c r="C241" s="46"/>
      <c r="D241" s="46"/>
      <c r="J241" s="46"/>
      <c r="K241" s="118"/>
      <c r="L241" s="119"/>
      <c r="M241" s="46"/>
      <c r="N241" s="118"/>
      <c r="O241" s="92"/>
      <c r="P241" s="92"/>
      <c r="Q241" s="46"/>
      <c r="R241" s="46"/>
      <c r="S241" s="123"/>
    </row>
    <row r="242">
      <c r="A242" s="110"/>
      <c r="C242" s="46"/>
      <c r="D242" s="46"/>
      <c r="J242" s="46"/>
      <c r="K242" s="118"/>
      <c r="L242" s="119"/>
      <c r="M242" s="46"/>
      <c r="N242" s="118"/>
      <c r="O242" s="92"/>
      <c r="P242" s="92"/>
      <c r="Q242" s="46"/>
      <c r="R242" s="46"/>
      <c r="S242" s="123"/>
    </row>
    <row r="243">
      <c r="A243" s="110"/>
      <c r="C243" s="46"/>
      <c r="D243" s="46"/>
      <c r="J243" s="46"/>
      <c r="K243" s="118"/>
      <c r="L243" s="119"/>
      <c r="M243" s="46"/>
      <c r="N243" s="118"/>
      <c r="O243" s="92"/>
      <c r="P243" s="92"/>
      <c r="Q243" s="46"/>
      <c r="R243" s="46"/>
      <c r="S243" s="123"/>
    </row>
    <row r="244">
      <c r="A244" s="110"/>
      <c r="C244" s="46"/>
      <c r="D244" s="46"/>
      <c r="J244" s="46"/>
      <c r="K244" s="118"/>
      <c r="L244" s="119"/>
      <c r="M244" s="46"/>
      <c r="N244" s="118"/>
      <c r="O244" s="92"/>
      <c r="P244" s="92"/>
      <c r="Q244" s="46"/>
      <c r="R244" s="46"/>
      <c r="S244" s="123"/>
    </row>
    <row r="245">
      <c r="A245" s="110"/>
      <c r="C245" s="46"/>
      <c r="D245" s="46"/>
      <c r="J245" s="46"/>
      <c r="K245" s="118"/>
      <c r="L245" s="119"/>
      <c r="M245" s="46"/>
      <c r="N245" s="118"/>
      <c r="O245" s="92"/>
      <c r="P245" s="92"/>
      <c r="Q245" s="46"/>
      <c r="R245" s="46"/>
      <c r="S245" s="123"/>
    </row>
    <row r="246">
      <c r="A246" s="110"/>
      <c r="C246" s="46"/>
      <c r="D246" s="46"/>
      <c r="J246" s="46"/>
      <c r="K246" s="118"/>
      <c r="L246" s="119"/>
      <c r="M246" s="46"/>
      <c r="N246" s="118"/>
      <c r="O246" s="92"/>
      <c r="P246" s="92"/>
      <c r="Q246" s="46"/>
      <c r="R246" s="46"/>
      <c r="S246" s="123"/>
    </row>
    <row r="247">
      <c r="A247" s="110"/>
      <c r="C247" s="46"/>
      <c r="D247" s="46"/>
      <c r="J247" s="46"/>
      <c r="K247" s="118"/>
      <c r="L247" s="119"/>
      <c r="M247" s="46"/>
      <c r="N247" s="118"/>
      <c r="O247" s="92"/>
      <c r="P247" s="92"/>
      <c r="Q247" s="46"/>
      <c r="R247" s="46"/>
      <c r="S247" s="123"/>
    </row>
    <row r="248">
      <c r="A248" s="110"/>
      <c r="C248" s="46"/>
      <c r="D248" s="46"/>
      <c r="J248" s="46"/>
      <c r="K248" s="118"/>
      <c r="L248" s="119"/>
      <c r="M248" s="46"/>
      <c r="N248" s="118"/>
      <c r="O248" s="92"/>
      <c r="P248" s="92"/>
      <c r="Q248" s="46"/>
      <c r="R248" s="46"/>
      <c r="S248" s="123"/>
    </row>
    <row r="249">
      <c r="A249" s="110"/>
      <c r="C249" s="46"/>
      <c r="D249" s="46"/>
      <c r="J249" s="46"/>
      <c r="K249" s="118"/>
      <c r="L249" s="119"/>
      <c r="M249" s="46"/>
      <c r="N249" s="118"/>
      <c r="O249" s="92"/>
      <c r="P249" s="92"/>
      <c r="Q249" s="46"/>
      <c r="R249" s="46"/>
      <c r="S249" s="123"/>
    </row>
    <row r="250">
      <c r="A250" s="110"/>
      <c r="C250" s="46"/>
      <c r="D250" s="46"/>
      <c r="J250" s="46"/>
      <c r="K250" s="118"/>
      <c r="L250" s="119"/>
      <c r="M250" s="46"/>
      <c r="N250" s="118"/>
      <c r="O250" s="92"/>
      <c r="P250" s="92"/>
      <c r="Q250" s="46"/>
      <c r="R250" s="46"/>
      <c r="S250" s="123"/>
    </row>
    <row r="251">
      <c r="A251" s="110"/>
      <c r="C251" s="46"/>
      <c r="D251" s="46"/>
      <c r="J251" s="46"/>
      <c r="K251" s="118"/>
      <c r="L251" s="119"/>
      <c r="M251" s="46"/>
      <c r="N251" s="118"/>
      <c r="O251" s="92"/>
      <c r="P251" s="92"/>
      <c r="Q251" s="46"/>
      <c r="R251" s="46"/>
      <c r="S251" s="123"/>
    </row>
    <row r="252">
      <c r="A252" s="110"/>
      <c r="C252" s="46"/>
      <c r="D252" s="46"/>
      <c r="J252" s="46"/>
      <c r="K252" s="118"/>
      <c r="L252" s="119"/>
      <c r="M252" s="46"/>
      <c r="N252" s="118"/>
      <c r="O252" s="92"/>
      <c r="P252" s="92"/>
      <c r="Q252" s="46"/>
      <c r="R252" s="46"/>
      <c r="S252" s="123"/>
    </row>
    <row r="253">
      <c r="A253" s="110"/>
      <c r="C253" s="46"/>
      <c r="D253" s="46"/>
      <c r="J253" s="46"/>
      <c r="K253" s="118"/>
      <c r="L253" s="119"/>
      <c r="M253" s="46"/>
      <c r="N253" s="118"/>
      <c r="O253" s="92"/>
      <c r="P253" s="92"/>
      <c r="Q253" s="46"/>
      <c r="R253" s="46"/>
      <c r="S253" s="123"/>
    </row>
    <row r="254">
      <c r="A254" s="110"/>
      <c r="C254" s="46"/>
      <c r="D254" s="46"/>
      <c r="J254" s="46"/>
      <c r="K254" s="118"/>
      <c r="L254" s="119"/>
      <c r="M254" s="46"/>
      <c r="N254" s="118"/>
      <c r="O254" s="92"/>
      <c r="P254" s="92"/>
      <c r="Q254" s="46"/>
      <c r="R254" s="46"/>
      <c r="S254" s="123"/>
    </row>
    <row r="255">
      <c r="A255" s="110"/>
      <c r="C255" s="46"/>
      <c r="D255" s="46"/>
      <c r="J255" s="46"/>
      <c r="K255" s="118"/>
      <c r="L255" s="119"/>
      <c r="M255" s="46"/>
      <c r="N255" s="118"/>
      <c r="O255" s="92"/>
      <c r="P255" s="92"/>
      <c r="Q255" s="46"/>
      <c r="R255" s="46"/>
      <c r="S255" s="123"/>
    </row>
    <row r="256">
      <c r="A256" s="110"/>
      <c r="C256" s="46"/>
      <c r="D256" s="46"/>
      <c r="J256" s="46"/>
      <c r="K256" s="118"/>
      <c r="L256" s="119"/>
      <c r="M256" s="46"/>
      <c r="N256" s="118"/>
      <c r="O256" s="92"/>
      <c r="P256" s="92"/>
      <c r="Q256" s="46"/>
      <c r="R256" s="46"/>
      <c r="S256" s="123"/>
    </row>
    <row r="257">
      <c r="A257" s="110"/>
      <c r="C257" s="46"/>
      <c r="D257" s="46"/>
      <c r="J257" s="46"/>
      <c r="K257" s="118"/>
      <c r="L257" s="119"/>
      <c r="M257" s="46"/>
      <c r="N257" s="118"/>
      <c r="O257" s="92"/>
      <c r="P257" s="92"/>
      <c r="Q257" s="46"/>
      <c r="R257" s="46"/>
      <c r="S257" s="123"/>
    </row>
    <row r="258">
      <c r="A258" s="110"/>
      <c r="C258" s="46"/>
      <c r="D258" s="46"/>
      <c r="J258" s="46"/>
      <c r="K258" s="118"/>
      <c r="L258" s="119"/>
      <c r="M258" s="46"/>
      <c r="N258" s="118"/>
      <c r="O258" s="92"/>
      <c r="P258" s="92"/>
      <c r="Q258" s="46"/>
      <c r="R258" s="46"/>
      <c r="S258" s="123"/>
    </row>
    <row r="259">
      <c r="A259" s="110"/>
      <c r="C259" s="46"/>
      <c r="D259" s="46"/>
      <c r="J259" s="46"/>
      <c r="K259" s="118"/>
      <c r="L259" s="119"/>
      <c r="M259" s="46"/>
      <c r="N259" s="118"/>
      <c r="O259" s="92"/>
      <c r="P259" s="92"/>
      <c r="Q259" s="46"/>
      <c r="R259" s="46"/>
      <c r="S259" s="123"/>
    </row>
    <row r="260">
      <c r="A260" s="110"/>
      <c r="C260" s="46"/>
      <c r="D260" s="46"/>
      <c r="J260" s="46"/>
      <c r="K260" s="118"/>
      <c r="L260" s="119"/>
      <c r="M260" s="46"/>
      <c r="N260" s="118"/>
      <c r="O260" s="92"/>
      <c r="P260" s="92"/>
      <c r="Q260" s="46"/>
      <c r="R260" s="46"/>
      <c r="S260" s="123"/>
    </row>
    <row r="261">
      <c r="A261" s="110"/>
      <c r="C261" s="46"/>
      <c r="D261" s="46"/>
      <c r="J261" s="46"/>
      <c r="K261" s="118"/>
      <c r="L261" s="119"/>
      <c r="M261" s="46"/>
      <c r="N261" s="118"/>
      <c r="O261" s="92"/>
      <c r="P261" s="92"/>
      <c r="Q261" s="46"/>
      <c r="R261" s="46"/>
      <c r="S261" s="123"/>
    </row>
    <row r="262">
      <c r="A262" s="110"/>
      <c r="C262" s="46"/>
      <c r="D262" s="46"/>
      <c r="J262" s="46"/>
      <c r="K262" s="118"/>
      <c r="L262" s="119"/>
      <c r="M262" s="46"/>
      <c r="N262" s="118"/>
      <c r="O262" s="92"/>
      <c r="P262" s="92"/>
      <c r="Q262" s="46"/>
      <c r="R262" s="46"/>
      <c r="S262" s="123"/>
    </row>
    <row r="263">
      <c r="A263" s="110"/>
      <c r="C263" s="46"/>
      <c r="D263" s="46"/>
      <c r="J263" s="46"/>
      <c r="K263" s="118"/>
      <c r="L263" s="119"/>
      <c r="M263" s="46"/>
      <c r="N263" s="118"/>
      <c r="O263" s="92"/>
      <c r="P263" s="92"/>
      <c r="Q263" s="46"/>
      <c r="R263" s="46"/>
      <c r="S263" s="123"/>
    </row>
    <row r="264">
      <c r="A264" s="110"/>
      <c r="C264" s="46"/>
      <c r="D264" s="46"/>
      <c r="J264" s="46"/>
      <c r="K264" s="118"/>
      <c r="L264" s="119"/>
      <c r="M264" s="46"/>
      <c r="N264" s="118"/>
      <c r="O264" s="92"/>
      <c r="P264" s="92"/>
      <c r="Q264" s="46"/>
      <c r="R264" s="46"/>
      <c r="S264" s="123"/>
    </row>
    <row r="265">
      <c r="A265" s="110"/>
      <c r="C265" s="46"/>
      <c r="D265" s="46"/>
      <c r="J265" s="46"/>
      <c r="K265" s="118"/>
      <c r="L265" s="119"/>
      <c r="M265" s="46"/>
      <c r="N265" s="118"/>
      <c r="O265" s="92"/>
      <c r="P265" s="92"/>
      <c r="Q265" s="46"/>
      <c r="R265" s="46"/>
      <c r="S265" s="123"/>
    </row>
    <row r="266">
      <c r="A266" s="110"/>
      <c r="C266" s="46"/>
      <c r="D266" s="46"/>
      <c r="J266" s="46"/>
      <c r="K266" s="118"/>
      <c r="L266" s="119"/>
      <c r="M266" s="46"/>
      <c r="N266" s="118"/>
      <c r="O266" s="92"/>
      <c r="P266" s="92"/>
      <c r="Q266" s="46"/>
      <c r="R266" s="46"/>
      <c r="S266" s="123"/>
    </row>
    <row r="267">
      <c r="A267" s="110"/>
      <c r="C267" s="46"/>
      <c r="D267" s="46"/>
      <c r="J267" s="46"/>
      <c r="K267" s="118"/>
      <c r="L267" s="119"/>
      <c r="M267" s="46"/>
      <c r="N267" s="118"/>
      <c r="O267" s="92"/>
      <c r="P267" s="92"/>
      <c r="Q267" s="46"/>
      <c r="R267" s="46"/>
      <c r="S267" s="123"/>
    </row>
    <row r="268">
      <c r="A268" s="110"/>
      <c r="C268" s="46"/>
      <c r="D268" s="46"/>
      <c r="J268" s="46"/>
      <c r="K268" s="118"/>
      <c r="L268" s="119"/>
      <c r="M268" s="46"/>
      <c r="N268" s="118"/>
      <c r="O268" s="92"/>
      <c r="P268" s="92"/>
      <c r="Q268" s="46"/>
      <c r="R268" s="46"/>
      <c r="S268" s="123"/>
    </row>
    <row r="269">
      <c r="A269" s="110"/>
      <c r="C269" s="46"/>
      <c r="D269" s="46"/>
      <c r="J269" s="46"/>
      <c r="K269" s="118"/>
      <c r="L269" s="119"/>
      <c r="M269" s="46"/>
      <c r="N269" s="118"/>
      <c r="O269" s="92"/>
      <c r="P269" s="92"/>
      <c r="Q269" s="46"/>
      <c r="R269" s="46"/>
      <c r="S269" s="123"/>
    </row>
    <row r="270">
      <c r="A270" s="110"/>
      <c r="C270" s="46"/>
      <c r="D270" s="46"/>
      <c r="J270" s="46"/>
      <c r="K270" s="118"/>
      <c r="L270" s="119"/>
      <c r="M270" s="46"/>
      <c r="N270" s="118"/>
      <c r="O270" s="92"/>
      <c r="P270" s="92"/>
      <c r="Q270" s="46"/>
      <c r="R270" s="46"/>
      <c r="S270" s="123"/>
    </row>
    <row r="271">
      <c r="A271" s="110"/>
      <c r="C271" s="46"/>
      <c r="D271" s="46"/>
      <c r="J271" s="46"/>
      <c r="K271" s="118"/>
      <c r="L271" s="119"/>
      <c r="M271" s="46"/>
      <c r="N271" s="118"/>
      <c r="O271" s="92"/>
      <c r="P271" s="92"/>
      <c r="Q271" s="46"/>
      <c r="R271" s="46"/>
      <c r="S271" s="123"/>
    </row>
    <row r="272">
      <c r="A272" s="110"/>
      <c r="C272" s="46"/>
      <c r="D272" s="46"/>
      <c r="J272" s="46"/>
      <c r="K272" s="118"/>
      <c r="L272" s="119"/>
      <c r="M272" s="46"/>
      <c r="N272" s="118"/>
      <c r="O272" s="92"/>
      <c r="P272" s="92"/>
      <c r="Q272" s="46"/>
      <c r="R272" s="46"/>
      <c r="S272" s="123"/>
    </row>
    <row r="273">
      <c r="A273" s="110"/>
      <c r="C273" s="46"/>
      <c r="D273" s="46"/>
      <c r="J273" s="46"/>
      <c r="K273" s="118"/>
      <c r="L273" s="119"/>
      <c r="M273" s="46"/>
      <c r="N273" s="118"/>
      <c r="O273" s="92"/>
      <c r="P273" s="92"/>
      <c r="Q273" s="46"/>
      <c r="R273" s="46"/>
      <c r="S273" s="123"/>
    </row>
    <row r="274">
      <c r="A274" s="110"/>
      <c r="C274" s="46"/>
      <c r="D274" s="46"/>
      <c r="J274" s="46"/>
      <c r="K274" s="118"/>
      <c r="L274" s="119"/>
      <c r="M274" s="46"/>
      <c r="N274" s="118"/>
      <c r="O274" s="92"/>
      <c r="P274" s="92"/>
      <c r="Q274" s="46"/>
      <c r="R274" s="46"/>
      <c r="S274" s="123"/>
    </row>
    <row r="275">
      <c r="A275" s="110"/>
      <c r="C275" s="46"/>
      <c r="D275" s="46"/>
      <c r="J275" s="46"/>
      <c r="K275" s="118"/>
      <c r="L275" s="119"/>
      <c r="M275" s="46"/>
      <c r="N275" s="118"/>
      <c r="O275" s="92"/>
      <c r="P275" s="92"/>
      <c r="Q275" s="46"/>
      <c r="R275" s="46"/>
      <c r="S275" s="123"/>
    </row>
    <row r="276">
      <c r="A276" s="110"/>
      <c r="C276" s="46"/>
      <c r="D276" s="46"/>
      <c r="J276" s="46"/>
      <c r="K276" s="118"/>
      <c r="L276" s="119"/>
      <c r="M276" s="46"/>
      <c r="N276" s="118"/>
      <c r="O276" s="92"/>
      <c r="P276" s="92"/>
      <c r="Q276" s="46"/>
      <c r="R276" s="46"/>
      <c r="S276" s="123"/>
    </row>
    <row r="277">
      <c r="A277" s="110"/>
      <c r="C277" s="46"/>
      <c r="D277" s="46"/>
      <c r="J277" s="46"/>
      <c r="K277" s="118"/>
      <c r="L277" s="119"/>
      <c r="M277" s="46"/>
      <c r="N277" s="118"/>
      <c r="O277" s="92"/>
      <c r="P277" s="92"/>
      <c r="Q277" s="46"/>
      <c r="R277" s="46"/>
      <c r="S277" s="123"/>
    </row>
    <row r="278">
      <c r="A278" s="110"/>
      <c r="C278" s="46"/>
      <c r="D278" s="46"/>
      <c r="J278" s="46"/>
      <c r="K278" s="118"/>
      <c r="L278" s="119"/>
      <c r="M278" s="46"/>
      <c r="N278" s="118"/>
      <c r="O278" s="92"/>
      <c r="P278" s="92"/>
      <c r="Q278" s="46"/>
      <c r="R278" s="46"/>
      <c r="S278" s="123"/>
    </row>
    <row r="279">
      <c r="A279" s="110"/>
      <c r="C279" s="46"/>
      <c r="D279" s="46"/>
      <c r="J279" s="46"/>
      <c r="K279" s="118"/>
      <c r="L279" s="119"/>
      <c r="M279" s="46"/>
      <c r="N279" s="118"/>
      <c r="O279" s="92"/>
      <c r="P279" s="92"/>
      <c r="Q279" s="46"/>
      <c r="R279" s="46"/>
      <c r="S279" s="123"/>
    </row>
    <row r="280">
      <c r="A280" s="110"/>
      <c r="C280" s="46"/>
      <c r="D280" s="46"/>
      <c r="J280" s="46"/>
      <c r="K280" s="118"/>
      <c r="L280" s="119"/>
      <c r="M280" s="46"/>
      <c r="N280" s="118"/>
      <c r="O280" s="92"/>
      <c r="P280" s="92"/>
      <c r="Q280" s="46"/>
      <c r="R280" s="46"/>
      <c r="S280" s="123"/>
    </row>
    <row r="281">
      <c r="A281" s="110"/>
      <c r="C281" s="46"/>
      <c r="D281" s="46"/>
      <c r="J281" s="46"/>
      <c r="K281" s="118"/>
      <c r="L281" s="119"/>
      <c r="M281" s="46"/>
      <c r="N281" s="118"/>
      <c r="O281" s="92"/>
      <c r="P281" s="92"/>
      <c r="Q281" s="46"/>
      <c r="R281" s="46"/>
      <c r="S281" s="123"/>
    </row>
    <row r="282">
      <c r="A282" s="110"/>
      <c r="C282" s="46"/>
      <c r="D282" s="46"/>
      <c r="J282" s="46"/>
      <c r="K282" s="118"/>
      <c r="L282" s="119"/>
      <c r="M282" s="46"/>
      <c r="N282" s="118"/>
      <c r="O282" s="92"/>
      <c r="P282" s="92"/>
      <c r="Q282" s="46"/>
      <c r="R282" s="46"/>
      <c r="S282" s="123"/>
    </row>
    <row r="283">
      <c r="A283" s="110"/>
      <c r="C283" s="46"/>
      <c r="D283" s="46"/>
      <c r="J283" s="46"/>
      <c r="K283" s="118"/>
      <c r="L283" s="119"/>
      <c r="M283" s="46"/>
      <c r="N283" s="118"/>
      <c r="O283" s="92"/>
      <c r="P283" s="92"/>
      <c r="Q283" s="46"/>
      <c r="R283" s="46"/>
      <c r="S283" s="123"/>
    </row>
    <row r="284">
      <c r="A284" s="110"/>
      <c r="C284" s="46"/>
      <c r="D284" s="46"/>
      <c r="J284" s="46"/>
      <c r="K284" s="118"/>
      <c r="L284" s="119"/>
      <c r="M284" s="46"/>
      <c r="N284" s="118"/>
      <c r="O284" s="92"/>
      <c r="P284" s="92"/>
      <c r="Q284" s="46"/>
      <c r="R284" s="46"/>
      <c r="S284" s="123"/>
    </row>
    <row r="285">
      <c r="A285" s="110"/>
      <c r="C285" s="46"/>
      <c r="D285" s="46"/>
      <c r="J285" s="46"/>
      <c r="K285" s="118"/>
      <c r="L285" s="119"/>
      <c r="M285" s="46"/>
      <c r="N285" s="118"/>
      <c r="O285" s="92"/>
      <c r="P285" s="92"/>
      <c r="Q285" s="46"/>
      <c r="R285" s="46"/>
      <c r="S285" s="123"/>
    </row>
    <row r="286">
      <c r="A286" s="110"/>
      <c r="C286" s="46"/>
      <c r="D286" s="46"/>
      <c r="J286" s="46"/>
      <c r="K286" s="118"/>
      <c r="L286" s="119"/>
      <c r="M286" s="46"/>
      <c r="N286" s="118"/>
      <c r="O286" s="92"/>
      <c r="P286" s="92"/>
      <c r="Q286" s="46"/>
      <c r="R286" s="46"/>
      <c r="S286" s="123"/>
    </row>
    <row r="287">
      <c r="A287" s="110"/>
      <c r="C287" s="46"/>
      <c r="D287" s="46"/>
      <c r="J287" s="46"/>
      <c r="K287" s="118"/>
      <c r="L287" s="119"/>
      <c r="M287" s="46"/>
      <c r="N287" s="118"/>
      <c r="O287" s="92"/>
      <c r="P287" s="92"/>
      <c r="Q287" s="46"/>
      <c r="R287" s="46"/>
      <c r="S287" s="123"/>
    </row>
    <row r="288">
      <c r="A288" s="110"/>
      <c r="C288" s="46"/>
      <c r="D288" s="46"/>
      <c r="J288" s="46"/>
      <c r="K288" s="118"/>
      <c r="L288" s="119"/>
      <c r="M288" s="46"/>
      <c r="N288" s="118"/>
      <c r="O288" s="92"/>
      <c r="P288" s="92"/>
      <c r="Q288" s="46"/>
      <c r="R288" s="46"/>
      <c r="S288" s="123"/>
    </row>
    <row r="289">
      <c r="A289" s="110"/>
      <c r="C289" s="46"/>
      <c r="D289" s="46"/>
      <c r="J289" s="46"/>
      <c r="K289" s="118"/>
      <c r="L289" s="119"/>
      <c r="M289" s="46"/>
      <c r="N289" s="118"/>
      <c r="O289" s="92"/>
      <c r="P289" s="92"/>
      <c r="Q289" s="46"/>
      <c r="R289" s="46"/>
      <c r="S289" s="123"/>
    </row>
    <row r="290">
      <c r="A290" s="110"/>
      <c r="C290" s="46"/>
      <c r="D290" s="46"/>
      <c r="J290" s="46"/>
      <c r="K290" s="118"/>
      <c r="L290" s="119"/>
      <c r="M290" s="46"/>
      <c r="N290" s="118"/>
      <c r="O290" s="92"/>
      <c r="P290" s="92"/>
      <c r="Q290" s="46"/>
      <c r="R290" s="46"/>
      <c r="S290" s="123"/>
    </row>
    <row r="291">
      <c r="A291" s="110"/>
      <c r="C291" s="46"/>
      <c r="D291" s="46"/>
      <c r="J291" s="46"/>
      <c r="K291" s="118"/>
      <c r="L291" s="119"/>
      <c r="M291" s="46"/>
      <c r="N291" s="118"/>
      <c r="O291" s="92"/>
      <c r="P291" s="92"/>
      <c r="Q291" s="46"/>
      <c r="R291" s="46"/>
      <c r="S291" s="123"/>
    </row>
    <row r="292">
      <c r="A292" s="110"/>
      <c r="C292" s="46"/>
      <c r="D292" s="46"/>
      <c r="J292" s="46"/>
      <c r="K292" s="118"/>
      <c r="L292" s="119"/>
      <c r="M292" s="46"/>
      <c r="N292" s="118"/>
      <c r="O292" s="92"/>
      <c r="P292" s="92"/>
      <c r="Q292" s="46"/>
      <c r="R292" s="46"/>
      <c r="S292" s="123"/>
    </row>
    <row r="293">
      <c r="A293" s="110"/>
      <c r="C293" s="46"/>
      <c r="D293" s="46"/>
      <c r="J293" s="46"/>
      <c r="K293" s="118"/>
      <c r="L293" s="119"/>
      <c r="M293" s="46"/>
      <c r="N293" s="118"/>
      <c r="O293" s="92"/>
      <c r="P293" s="92"/>
      <c r="Q293" s="46"/>
      <c r="R293" s="46"/>
      <c r="S293" s="123"/>
    </row>
    <row r="294">
      <c r="A294" s="110"/>
      <c r="C294" s="46"/>
      <c r="D294" s="46"/>
      <c r="J294" s="46"/>
      <c r="K294" s="118"/>
      <c r="L294" s="119"/>
      <c r="M294" s="46"/>
      <c r="N294" s="118"/>
      <c r="O294" s="92"/>
      <c r="P294" s="92"/>
      <c r="Q294" s="46"/>
      <c r="R294" s="46"/>
      <c r="S294" s="123"/>
    </row>
    <row r="295">
      <c r="A295" s="110"/>
      <c r="C295" s="46"/>
      <c r="D295" s="46"/>
      <c r="J295" s="46"/>
      <c r="K295" s="118"/>
      <c r="L295" s="119"/>
      <c r="M295" s="46"/>
      <c r="N295" s="118"/>
      <c r="O295" s="92"/>
      <c r="P295" s="92"/>
      <c r="Q295" s="46"/>
      <c r="R295" s="46"/>
      <c r="S295" s="123"/>
    </row>
    <row r="296">
      <c r="A296" s="110"/>
      <c r="C296" s="46"/>
      <c r="D296" s="46"/>
      <c r="J296" s="46"/>
      <c r="K296" s="118"/>
      <c r="L296" s="119"/>
      <c r="M296" s="46"/>
      <c r="N296" s="118"/>
      <c r="O296" s="92"/>
      <c r="P296" s="92"/>
      <c r="Q296" s="46"/>
      <c r="R296" s="46"/>
      <c r="S296" s="123"/>
    </row>
    <row r="297">
      <c r="A297" s="110"/>
      <c r="C297" s="46"/>
      <c r="D297" s="46"/>
      <c r="J297" s="46"/>
      <c r="K297" s="118"/>
      <c r="L297" s="119"/>
      <c r="M297" s="46"/>
      <c r="N297" s="118"/>
      <c r="O297" s="92"/>
      <c r="P297" s="92"/>
      <c r="Q297" s="46"/>
      <c r="R297" s="46"/>
      <c r="S297" s="123"/>
    </row>
    <row r="298">
      <c r="A298" s="110"/>
      <c r="C298" s="46"/>
      <c r="D298" s="46"/>
      <c r="J298" s="46"/>
      <c r="K298" s="118"/>
      <c r="L298" s="119"/>
      <c r="M298" s="46"/>
      <c r="N298" s="118"/>
      <c r="O298" s="92"/>
      <c r="P298" s="92"/>
      <c r="Q298" s="46"/>
      <c r="R298" s="46"/>
      <c r="S298" s="123"/>
    </row>
    <row r="299">
      <c r="A299" s="110"/>
      <c r="C299" s="46"/>
      <c r="D299" s="46"/>
      <c r="J299" s="46"/>
      <c r="K299" s="118"/>
      <c r="L299" s="119"/>
      <c r="M299" s="46"/>
      <c r="N299" s="118"/>
      <c r="O299" s="92"/>
      <c r="P299" s="92"/>
      <c r="Q299" s="46"/>
      <c r="R299" s="46"/>
      <c r="S299" s="123"/>
    </row>
    <row r="300">
      <c r="A300" s="110"/>
      <c r="C300" s="46"/>
      <c r="D300" s="46"/>
      <c r="J300" s="46"/>
      <c r="K300" s="118"/>
      <c r="L300" s="119"/>
      <c r="M300" s="46"/>
      <c r="N300" s="118"/>
      <c r="O300" s="92"/>
      <c r="P300" s="92"/>
      <c r="Q300" s="46"/>
      <c r="R300" s="46"/>
      <c r="S300" s="123"/>
    </row>
    <row r="301">
      <c r="A301" s="110"/>
      <c r="C301" s="46"/>
      <c r="D301" s="46"/>
      <c r="J301" s="46"/>
      <c r="K301" s="118"/>
      <c r="L301" s="119"/>
      <c r="M301" s="46"/>
      <c r="N301" s="118"/>
      <c r="O301" s="92"/>
      <c r="P301" s="92"/>
      <c r="Q301" s="46"/>
      <c r="R301" s="46"/>
      <c r="S301" s="123"/>
    </row>
    <row r="302">
      <c r="A302" s="110"/>
      <c r="C302" s="46"/>
      <c r="D302" s="46"/>
      <c r="J302" s="46"/>
      <c r="K302" s="118"/>
      <c r="L302" s="119"/>
      <c r="M302" s="46"/>
      <c r="N302" s="118"/>
      <c r="O302" s="92"/>
      <c r="P302" s="92"/>
      <c r="Q302" s="46"/>
      <c r="R302" s="46"/>
      <c r="S302" s="123"/>
    </row>
    <row r="303">
      <c r="A303" s="110"/>
      <c r="C303" s="46"/>
      <c r="D303" s="46"/>
      <c r="J303" s="46"/>
      <c r="K303" s="118"/>
      <c r="L303" s="119"/>
      <c r="M303" s="46"/>
      <c r="N303" s="118"/>
      <c r="O303" s="92"/>
      <c r="P303" s="92"/>
      <c r="Q303" s="46"/>
      <c r="R303" s="46"/>
      <c r="S303" s="123"/>
    </row>
    <row r="304">
      <c r="A304" s="110"/>
      <c r="C304" s="46"/>
      <c r="D304" s="46"/>
      <c r="J304" s="46"/>
      <c r="K304" s="118"/>
      <c r="L304" s="119"/>
      <c r="M304" s="46"/>
      <c r="N304" s="118"/>
      <c r="O304" s="92"/>
      <c r="P304" s="92"/>
      <c r="Q304" s="46"/>
      <c r="R304" s="46"/>
      <c r="S304" s="123"/>
    </row>
    <row r="305">
      <c r="A305" s="110"/>
      <c r="C305" s="46"/>
      <c r="D305" s="46"/>
      <c r="J305" s="46"/>
      <c r="K305" s="118"/>
      <c r="L305" s="119"/>
      <c r="M305" s="46"/>
      <c r="N305" s="118"/>
      <c r="O305" s="92"/>
      <c r="P305" s="92"/>
      <c r="Q305" s="46"/>
      <c r="R305" s="46"/>
      <c r="S305" s="123"/>
    </row>
    <row r="306">
      <c r="A306" s="110"/>
      <c r="C306" s="46"/>
      <c r="D306" s="46"/>
      <c r="J306" s="46"/>
      <c r="K306" s="118"/>
      <c r="L306" s="119"/>
      <c r="M306" s="46"/>
      <c r="N306" s="118"/>
      <c r="O306" s="92"/>
      <c r="P306" s="92"/>
      <c r="Q306" s="46"/>
      <c r="R306" s="46"/>
      <c r="S306" s="123"/>
    </row>
    <row r="307">
      <c r="A307" s="110"/>
      <c r="C307" s="46"/>
      <c r="D307" s="46"/>
      <c r="J307" s="46"/>
      <c r="K307" s="118"/>
      <c r="L307" s="119"/>
      <c r="M307" s="46"/>
      <c r="N307" s="118"/>
      <c r="O307" s="92"/>
      <c r="P307" s="92"/>
      <c r="Q307" s="46"/>
      <c r="R307" s="46"/>
      <c r="S307" s="123"/>
    </row>
    <row r="308">
      <c r="A308" s="110"/>
      <c r="C308" s="46"/>
      <c r="D308" s="46"/>
      <c r="J308" s="46"/>
      <c r="K308" s="118"/>
      <c r="L308" s="119"/>
      <c r="M308" s="46"/>
      <c r="N308" s="118"/>
      <c r="O308" s="92"/>
      <c r="P308" s="92"/>
      <c r="Q308" s="46"/>
      <c r="R308" s="46"/>
      <c r="S308" s="123"/>
    </row>
    <row r="309">
      <c r="A309" s="110"/>
      <c r="C309" s="46"/>
      <c r="D309" s="46"/>
      <c r="J309" s="46"/>
      <c r="K309" s="118"/>
      <c r="L309" s="119"/>
      <c r="M309" s="46"/>
      <c r="N309" s="118"/>
      <c r="O309" s="92"/>
      <c r="P309" s="92"/>
      <c r="Q309" s="46"/>
      <c r="R309" s="46"/>
      <c r="S309" s="123"/>
    </row>
    <row r="310">
      <c r="A310" s="110"/>
      <c r="C310" s="46"/>
      <c r="D310" s="46"/>
      <c r="J310" s="46"/>
      <c r="K310" s="118"/>
      <c r="L310" s="119"/>
      <c r="M310" s="46"/>
      <c r="N310" s="118"/>
      <c r="O310" s="92"/>
      <c r="P310" s="92"/>
      <c r="Q310" s="46"/>
      <c r="R310" s="46"/>
      <c r="S310" s="123"/>
    </row>
    <row r="311">
      <c r="A311" s="110"/>
      <c r="C311" s="46"/>
      <c r="D311" s="46"/>
      <c r="J311" s="46"/>
      <c r="K311" s="118"/>
      <c r="L311" s="119"/>
      <c r="M311" s="46"/>
      <c r="N311" s="118"/>
      <c r="O311" s="92"/>
      <c r="P311" s="92"/>
      <c r="Q311" s="46"/>
      <c r="R311" s="46"/>
      <c r="S311" s="123"/>
    </row>
    <row r="312">
      <c r="A312" s="110"/>
      <c r="C312" s="46"/>
      <c r="D312" s="46"/>
      <c r="J312" s="46"/>
      <c r="K312" s="118"/>
      <c r="L312" s="119"/>
      <c r="M312" s="46"/>
      <c r="N312" s="118"/>
      <c r="O312" s="92"/>
      <c r="P312" s="92"/>
      <c r="Q312" s="46"/>
      <c r="R312" s="46"/>
      <c r="S312" s="123"/>
    </row>
    <row r="313">
      <c r="A313" s="110"/>
      <c r="C313" s="46"/>
      <c r="D313" s="46"/>
      <c r="J313" s="46"/>
      <c r="K313" s="118"/>
      <c r="L313" s="119"/>
      <c r="M313" s="46"/>
      <c r="N313" s="118"/>
      <c r="O313" s="92"/>
      <c r="P313" s="92"/>
      <c r="Q313" s="46"/>
      <c r="R313" s="46"/>
      <c r="S313" s="123"/>
    </row>
    <row r="314">
      <c r="A314" s="110"/>
      <c r="C314" s="46"/>
      <c r="D314" s="46"/>
      <c r="J314" s="46"/>
      <c r="K314" s="118"/>
      <c r="L314" s="119"/>
      <c r="M314" s="46"/>
      <c r="N314" s="118"/>
      <c r="O314" s="92"/>
      <c r="P314" s="92"/>
      <c r="Q314" s="46"/>
      <c r="R314" s="46"/>
      <c r="S314" s="123"/>
    </row>
    <row r="315">
      <c r="A315" s="110"/>
      <c r="C315" s="46"/>
      <c r="D315" s="46"/>
      <c r="J315" s="46"/>
      <c r="K315" s="118"/>
      <c r="L315" s="119"/>
      <c r="M315" s="46"/>
      <c r="N315" s="118"/>
      <c r="O315" s="92"/>
      <c r="P315" s="92"/>
      <c r="Q315" s="46"/>
      <c r="R315" s="46"/>
      <c r="S315" s="123"/>
    </row>
    <row r="316">
      <c r="A316" s="110"/>
      <c r="C316" s="46"/>
      <c r="D316" s="46"/>
      <c r="J316" s="46"/>
      <c r="K316" s="118"/>
      <c r="L316" s="119"/>
      <c r="M316" s="46"/>
      <c r="N316" s="118"/>
      <c r="O316" s="92"/>
      <c r="P316" s="92"/>
      <c r="Q316" s="46"/>
      <c r="R316" s="46"/>
      <c r="S316" s="123"/>
    </row>
    <row r="317">
      <c r="A317" s="110"/>
      <c r="C317" s="46"/>
      <c r="D317" s="46"/>
      <c r="J317" s="46"/>
      <c r="K317" s="118"/>
      <c r="L317" s="119"/>
      <c r="M317" s="46"/>
      <c r="N317" s="118"/>
      <c r="O317" s="92"/>
      <c r="P317" s="92"/>
      <c r="Q317" s="46"/>
      <c r="R317" s="46"/>
      <c r="S317" s="123"/>
    </row>
    <row r="318">
      <c r="A318" s="110"/>
      <c r="C318" s="46"/>
      <c r="D318" s="46"/>
      <c r="J318" s="46"/>
      <c r="K318" s="118"/>
      <c r="L318" s="119"/>
      <c r="M318" s="46"/>
      <c r="N318" s="118"/>
      <c r="O318" s="92"/>
      <c r="P318" s="92"/>
      <c r="Q318" s="46"/>
      <c r="R318" s="46"/>
      <c r="S318" s="123"/>
    </row>
    <row r="319">
      <c r="A319" s="110"/>
      <c r="C319" s="46"/>
      <c r="D319" s="46"/>
      <c r="J319" s="46"/>
      <c r="K319" s="118"/>
      <c r="L319" s="119"/>
      <c r="M319" s="46"/>
      <c r="N319" s="118"/>
      <c r="O319" s="92"/>
      <c r="P319" s="92"/>
      <c r="Q319" s="46"/>
      <c r="R319" s="46"/>
      <c r="S319" s="123"/>
    </row>
    <row r="320">
      <c r="A320" s="110"/>
      <c r="C320" s="46"/>
      <c r="D320" s="46"/>
      <c r="J320" s="46"/>
      <c r="K320" s="118"/>
      <c r="L320" s="119"/>
      <c r="M320" s="46"/>
      <c r="N320" s="118"/>
      <c r="O320" s="92"/>
      <c r="P320" s="92"/>
      <c r="Q320" s="46"/>
      <c r="R320" s="46"/>
      <c r="S320" s="123"/>
    </row>
    <row r="321">
      <c r="A321" s="110"/>
      <c r="C321" s="46"/>
      <c r="D321" s="46"/>
      <c r="J321" s="46"/>
      <c r="K321" s="118"/>
      <c r="L321" s="119"/>
      <c r="M321" s="46"/>
      <c r="N321" s="118"/>
      <c r="O321" s="92"/>
      <c r="P321" s="92"/>
      <c r="Q321" s="46"/>
      <c r="R321" s="46"/>
      <c r="S321" s="123"/>
    </row>
    <row r="322">
      <c r="A322" s="110"/>
      <c r="C322" s="46"/>
      <c r="D322" s="46"/>
      <c r="J322" s="46"/>
      <c r="K322" s="118"/>
      <c r="L322" s="119"/>
      <c r="M322" s="46"/>
      <c r="N322" s="118"/>
      <c r="O322" s="92"/>
      <c r="P322" s="92"/>
      <c r="Q322" s="46"/>
      <c r="R322" s="46"/>
      <c r="S322" s="123"/>
    </row>
    <row r="323">
      <c r="A323" s="110"/>
      <c r="C323" s="46"/>
      <c r="D323" s="46"/>
      <c r="J323" s="46"/>
      <c r="K323" s="118"/>
      <c r="L323" s="119"/>
      <c r="M323" s="46"/>
      <c r="N323" s="118"/>
      <c r="O323" s="92"/>
      <c r="P323" s="92"/>
      <c r="Q323" s="46"/>
      <c r="R323" s="46"/>
      <c r="S323" s="123"/>
    </row>
    <row r="324">
      <c r="A324" s="110"/>
      <c r="C324" s="46"/>
      <c r="D324" s="46"/>
      <c r="J324" s="46"/>
      <c r="K324" s="118"/>
      <c r="L324" s="119"/>
      <c r="M324" s="46"/>
      <c r="N324" s="118"/>
      <c r="O324" s="92"/>
      <c r="P324" s="92"/>
      <c r="Q324" s="46"/>
      <c r="R324" s="46"/>
      <c r="S324" s="123"/>
    </row>
    <row r="325">
      <c r="A325" s="110"/>
      <c r="C325" s="46"/>
      <c r="D325" s="46"/>
      <c r="J325" s="46"/>
      <c r="K325" s="118"/>
      <c r="L325" s="119"/>
      <c r="M325" s="46"/>
      <c r="N325" s="118"/>
      <c r="O325" s="92"/>
      <c r="P325" s="92"/>
      <c r="Q325" s="46"/>
      <c r="R325" s="46"/>
      <c r="S325" s="123"/>
    </row>
    <row r="326">
      <c r="A326" s="110"/>
      <c r="C326" s="46"/>
      <c r="D326" s="46"/>
      <c r="J326" s="46"/>
      <c r="K326" s="118"/>
      <c r="L326" s="119"/>
      <c r="M326" s="46"/>
      <c r="N326" s="118"/>
      <c r="O326" s="92"/>
      <c r="P326" s="92"/>
      <c r="Q326" s="46"/>
      <c r="R326" s="46"/>
      <c r="S326" s="123"/>
    </row>
    <row r="327">
      <c r="A327" s="110"/>
      <c r="C327" s="46"/>
      <c r="D327" s="46"/>
      <c r="J327" s="46"/>
      <c r="K327" s="118"/>
      <c r="L327" s="119"/>
      <c r="M327" s="46"/>
      <c r="N327" s="118"/>
      <c r="O327" s="92"/>
      <c r="P327" s="92"/>
      <c r="Q327" s="46"/>
      <c r="R327" s="46"/>
      <c r="S327" s="123"/>
    </row>
    <row r="328">
      <c r="A328" s="110"/>
      <c r="C328" s="46"/>
      <c r="D328" s="46"/>
      <c r="J328" s="46"/>
      <c r="K328" s="118"/>
      <c r="L328" s="119"/>
      <c r="M328" s="46"/>
      <c r="N328" s="118"/>
      <c r="O328" s="92"/>
      <c r="P328" s="92"/>
      <c r="Q328" s="46"/>
      <c r="R328" s="46"/>
      <c r="S328" s="123"/>
    </row>
    <row r="329">
      <c r="A329" s="110"/>
      <c r="C329" s="46"/>
      <c r="D329" s="46"/>
      <c r="J329" s="46"/>
      <c r="K329" s="118"/>
      <c r="L329" s="119"/>
      <c r="M329" s="46"/>
      <c r="N329" s="118"/>
      <c r="O329" s="92"/>
      <c r="P329" s="92"/>
      <c r="Q329" s="46"/>
      <c r="R329" s="46"/>
      <c r="S329" s="123"/>
    </row>
    <row r="330">
      <c r="A330" s="110"/>
      <c r="C330" s="46"/>
      <c r="D330" s="46"/>
      <c r="J330" s="46"/>
      <c r="K330" s="118"/>
      <c r="L330" s="119"/>
      <c r="M330" s="46"/>
      <c r="N330" s="118"/>
      <c r="O330" s="92"/>
      <c r="P330" s="92"/>
      <c r="Q330" s="46"/>
      <c r="R330" s="46"/>
      <c r="S330" s="123"/>
    </row>
    <row r="331">
      <c r="A331" s="110"/>
      <c r="C331" s="46"/>
      <c r="D331" s="46"/>
      <c r="J331" s="46"/>
      <c r="K331" s="118"/>
      <c r="L331" s="119"/>
      <c r="M331" s="46"/>
      <c r="N331" s="118"/>
      <c r="O331" s="92"/>
      <c r="P331" s="92"/>
      <c r="Q331" s="46"/>
      <c r="R331" s="46"/>
      <c r="S331" s="123"/>
    </row>
    <row r="332">
      <c r="A332" s="110"/>
      <c r="C332" s="46"/>
      <c r="D332" s="46"/>
      <c r="J332" s="46"/>
      <c r="K332" s="118"/>
      <c r="L332" s="119"/>
      <c r="M332" s="46"/>
      <c r="N332" s="118"/>
      <c r="O332" s="92"/>
      <c r="P332" s="92"/>
      <c r="Q332" s="46"/>
      <c r="R332" s="46"/>
      <c r="S332" s="123"/>
    </row>
    <row r="333">
      <c r="A333" s="110"/>
      <c r="C333" s="46"/>
      <c r="D333" s="46"/>
      <c r="J333" s="46"/>
      <c r="K333" s="118"/>
      <c r="L333" s="119"/>
      <c r="M333" s="46"/>
      <c r="N333" s="118"/>
      <c r="O333" s="92"/>
      <c r="P333" s="92"/>
      <c r="Q333" s="46"/>
      <c r="R333" s="46"/>
      <c r="S333" s="123"/>
    </row>
    <row r="334">
      <c r="A334" s="110"/>
      <c r="C334" s="46"/>
      <c r="D334" s="46"/>
      <c r="J334" s="46"/>
      <c r="K334" s="118"/>
      <c r="L334" s="119"/>
      <c r="M334" s="46"/>
      <c r="N334" s="118"/>
      <c r="O334" s="92"/>
      <c r="P334" s="92"/>
      <c r="Q334" s="46"/>
      <c r="R334" s="46"/>
      <c r="S334" s="123"/>
    </row>
    <row r="335">
      <c r="A335" s="110"/>
      <c r="C335" s="46"/>
      <c r="D335" s="46"/>
      <c r="J335" s="46"/>
      <c r="K335" s="118"/>
      <c r="L335" s="119"/>
      <c r="M335" s="46"/>
      <c r="N335" s="118"/>
      <c r="O335" s="92"/>
      <c r="P335" s="92"/>
      <c r="Q335" s="46"/>
      <c r="R335" s="46"/>
      <c r="S335" s="123"/>
    </row>
    <row r="336">
      <c r="A336" s="110"/>
      <c r="C336" s="46"/>
      <c r="D336" s="46"/>
      <c r="J336" s="46"/>
      <c r="K336" s="118"/>
      <c r="L336" s="119"/>
      <c r="M336" s="46"/>
      <c r="N336" s="118"/>
      <c r="O336" s="92"/>
      <c r="P336" s="92"/>
      <c r="Q336" s="46"/>
      <c r="R336" s="46"/>
      <c r="S336" s="123"/>
    </row>
    <row r="337">
      <c r="A337" s="110"/>
      <c r="C337" s="46"/>
      <c r="D337" s="46"/>
      <c r="J337" s="46"/>
      <c r="K337" s="118"/>
      <c r="L337" s="119"/>
      <c r="M337" s="46"/>
      <c r="N337" s="118"/>
      <c r="O337" s="92"/>
      <c r="P337" s="92"/>
      <c r="Q337" s="46"/>
      <c r="R337" s="46"/>
      <c r="S337" s="123"/>
    </row>
    <row r="338">
      <c r="A338" s="110"/>
      <c r="C338" s="46"/>
      <c r="D338" s="46"/>
      <c r="J338" s="46"/>
      <c r="K338" s="118"/>
      <c r="L338" s="119"/>
      <c r="M338" s="46"/>
      <c r="N338" s="118"/>
      <c r="O338" s="92"/>
      <c r="P338" s="92"/>
      <c r="Q338" s="46"/>
      <c r="R338" s="46"/>
      <c r="S338" s="123"/>
    </row>
    <row r="339">
      <c r="A339" s="110"/>
      <c r="C339" s="46"/>
      <c r="D339" s="46"/>
      <c r="J339" s="46"/>
      <c r="K339" s="118"/>
      <c r="L339" s="119"/>
      <c r="M339" s="46"/>
      <c r="N339" s="118"/>
      <c r="O339" s="92"/>
      <c r="P339" s="92"/>
      <c r="Q339" s="46"/>
      <c r="R339" s="46"/>
      <c r="S339" s="123"/>
    </row>
    <row r="340">
      <c r="A340" s="110"/>
      <c r="C340" s="46"/>
      <c r="D340" s="46"/>
      <c r="J340" s="46"/>
      <c r="K340" s="118"/>
      <c r="L340" s="119"/>
      <c r="M340" s="46"/>
      <c r="N340" s="118"/>
      <c r="O340" s="92"/>
      <c r="P340" s="92"/>
      <c r="Q340" s="46"/>
      <c r="R340" s="46"/>
      <c r="S340" s="123"/>
    </row>
    <row r="341">
      <c r="A341" s="110"/>
      <c r="C341" s="46"/>
      <c r="D341" s="46"/>
      <c r="J341" s="46"/>
      <c r="K341" s="118"/>
      <c r="L341" s="119"/>
      <c r="M341" s="46"/>
      <c r="N341" s="118"/>
      <c r="O341" s="92"/>
      <c r="P341" s="92"/>
      <c r="Q341" s="46"/>
      <c r="R341" s="46"/>
      <c r="S341" s="123"/>
    </row>
    <row r="342">
      <c r="A342" s="110"/>
      <c r="C342" s="46"/>
      <c r="D342" s="46"/>
      <c r="J342" s="46"/>
      <c r="K342" s="118"/>
      <c r="L342" s="119"/>
      <c r="M342" s="46"/>
      <c r="N342" s="118"/>
      <c r="O342" s="92"/>
      <c r="P342" s="92"/>
      <c r="Q342" s="46"/>
      <c r="R342" s="46"/>
      <c r="S342" s="123"/>
    </row>
    <row r="343">
      <c r="A343" s="110"/>
      <c r="C343" s="46"/>
      <c r="D343" s="46"/>
      <c r="J343" s="46"/>
      <c r="K343" s="118"/>
      <c r="L343" s="119"/>
      <c r="M343" s="46"/>
      <c r="N343" s="118"/>
      <c r="O343" s="92"/>
      <c r="P343" s="92"/>
      <c r="Q343" s="46"/>
      <c r="R343" s="46"/>
      <c r="S343" s="123"/>
    </row>
    <row r="344">
      <c r="A344" s="110"/>
      <c r="C344" s="46"/>
      <c r="D344" s="46"/>
      <c r="J344" s="46"/>
      <c r="K344" s="118"/>
      <c r="L344" s="119"/>
      <c r="M344" s="46"/>
      <c r="N344" s="118"/>
      <c r="O344" s="92"/>
      <c r="P344" s="92"/>
      <c r="Q344" s="46"/>
      <c r="R344" s="46"/>
      <c r="S344" s="123"/>
    </row>
    <row r="345">
      <c r="A345" s="110"/>
      <c r="C345" s="46"/>
      <c r="D345" s="46"/>
      <c r="J345" s="46"/>
      <c r="K345" s="118"/>
      <c r="L345" s="119"/>
      <c r="M345" s="46"/>
      <c r="N345" s="118"/>
      <c r="O345" s="92"/>
      <c r="P345" s="92"/>
      <c r="Q345" s="46"/>
      <c r="R345" s="46"/>
      <c r="S345" s="123"/>
    </row>
    <row r="346">
      <c r="A346" s="110"/>
      <c r="C346" s="46"/>
      <c r="D346" s="46"/>
      <c r="J346" s="46"/>
      <c r="K346" s="118"/>
      <c r="L346" s="119"/>
      <c r="M346" s="46"/>
      <c r="N346" s="118"/>
      <c r="O346" s="92"/>
      <c r="P346" s="92"/>
      <c r="Q346" s="46"/>
      <c r="R346" s="46"/>
      <c r="S346" s="123"/>
    </row>
    <row r="347">
      <c r="A347" s="110"/>
      <c r="C347" s="46"/>
      <c r="D347" s="46"/>
      <c r="J347" s="46"/>
      <c r="K347" s="118"/>
      <c r="L347" s="119"/>
      <c r="M347" s="46"/>
      <c r="N347" s="118"/>
      <c r="O347" s="92"/>
      <c r="P347" s="92"/>
      <c r="Q347" s="46"/>
      <c r="R347" s="46"/>
      <c r="S347" s="123"/>
    </row>
    <row r="348">
      <c r="A348" s="110"/>
      <c r="C348" s="46"/>
      <c r="D348" s="46"/>
      <c r="J348" s="46"/>
      <c r="K348" s="118"/>
      <c r="L348" s="119"/>
      <c r="M348" s="46"/>
      <c r="N348" s="118"/>
      <c r="O348" s="92"/>
      <c r="P348" s="92"/>
      <c r="Q348" s="46"/>
      <c r="R348" s="46"/>
      <c r="S348" s="123"/>
    </row>
    <row r="349">
      <c r="A349" s="110"/>
      <c r="C349" s="46"/>
      <c r="D349" s="46"/>
      <c r="J349" s="46"/>
      <c r="K349" s="118"/>
      <c r="L349" s="119"/>
      <c r="M349" s="46"/>
      <c r="N349" s="118"/>
      <c r="O349" s="92"/>
      <c r="P349" s="92"/>
      <c r="Q349" s="46"/>
      <c r="R349" s="46"/>
      <c r="S349" s="123"/>
    </row>
    <row r="350">
      <c r="A350" s="110"/>
      <c r="C350" s="46"/>
      <c r="D350" s="46"/>
      <c r="J350" s="46"/>
      <c r="K350" s="118"/>
      <c r="L350" s="119"/>
      <c r="M350" s="46"/>
      <c r="N350" s="118"/>
      <c r="O350" s="92"/>
      <c r="P350" s="92"/>
      <c r="Q350" s="46"/>
      <c r="R350" s="46"/>
      <c r="S350" s="123"/>
    </row>
    <row r="351">
      <c r="A351" s="110"/>
      <c r="C351" s="46"/>
      <c r="D351" s="46"/>
      <c r="J351" s="46"/>
      <c r="K351" s="118"/>
      <c r="L351" s="119"/>
      <c r="M351" s="46"/>
      <c r="N351" s="118"/>
      <c r="O351" s="92"/>
      <c r="P351" s="92"/>
      <c r="Q351" s="46"/>
      <c r="R351" s="46"/>
      <c r="S351" s="123"/>
    </row>
    <row r="352">
      <c r="A352" s="110"/>
      <c r="C352" s="46"/>
      <c r="D352" s="46"/>
      <c r="J352" s="46"/>
      <c r="K352" s="118"/>
      <c r="L352" s="119"/>
      <c r="M352" s="46"/>
      <c r="N352" s="118"/>
      <c r="O352" s="92"/>
      <c r="P352" s="92"/>
      <c r="Q352" s="46"/>
      <c r="R352" s="46"/>
      <c r="S352" s="123"/>
    </row>
    <row r="353">
      <c r="A353" s="110"/>
      <c r="C353" s="46"/>
      <c r="D353" s="46"/>
      <c r="J353" s="46"/>
      <c r="K353" s="118"/>
      <c r="L353" s="119"/>
      <c r="M353" s="46"/>
      <c r="N353" s="118"/>
      <c r="O353" s="92"/>
      <c r="P353" s="92"/>
      <c r="Q353" s="46"/>
      <c r="R353" s="46"/>
      <c r="S353" s="123"/>
    </row>
    <row r="354">
      <c r="A354" s="110"/>
      <c r="C354" s="46"/>
      <c r="D354" s="46"/>
      <c r="J354" s="46"/>
      <c r="K354" s="118"/>
      <c r="L354" s="119"/>
      <c r="M354" s="46"/>
      <c r="N354" s="118"/>
      <c r="O354" s="92"/>
      <c r="P354" s="92"/>
      <c r="Q354" s="46"/>
      <c r="R354" s="46"/>
      <c r="S354" s="123"/>
    </row>
    <row r="355">
      <c r="A355" s="110"/>
      <c r="C355" s="46"/>
      <c r="D355" s="46"/>
      <c r="J355" s="46"/>
      <c r="K355" s="118"/>
      <c r="L355" s="119"/>
      <c r="M355" s="46"/>
      <c r="N355" s="118"/>
      <c r="O355" s="92"/>
      <c r="P355" s="92"/>
      <c r="Q355" s="46"/>
      <c r="R355" s="46"/>
      <c r="S355" s="123"/>
    </row>
    <row r="356">
      <c r="A356" s="110"/>
      <c r="C356" s="46"/>
      <c r="D356" s="46"/>
      <c r="J356" s="46"/>
      <c r="K356" s="118"/>
      <c r="L356" s="119"/>
      <c r="M356" s="46"/>
      <c r="N356" s="118"/>
      <c r="O356" s="92"/>
      <c r="P356" s="92"/>
      <c r="Q356" s="46"/>
      <c r="R356" s="46"/>
      <c r="S356" s="123"/>
    </row>
    <row r="357">
      <c r="A357" s="110"/>
      <c r="C357" s="46"/>
      <c r="D357" s="46"/>
      <c r="J357" s="46"/>
      <c r="K357" s="118"/>
      <c r="L357" s="119"/>
      <c r="M357" s="46"/>
      <c r="N357" s="118"/>
      <c r="O357" s="92"/>
      <c r="P357" s="92"/>
      <c r="Q357" s="46"/>
      <c r="R357" s="46"/>
      <c r="S357" s="123"/>
    </row>
    <row r="358">
      <c r="A358" s="110"/>
      <c r="C358" s="46"/>
      <c r="D358" s="46"/>
      <c r="J358" s="46"/>
      <c r="K358" s="118"/>
      <c r="L358" s="119"/>
      <c r="M358" s="46"/>
      <c r="N358" s="118"/>
      <c r="O358" s="92"/>
      <c r="P358" s="92"/>
      <c r="Q358" s="46"/>
      <c r="R358" s="46"/>
      <c r="S358" s="123"/>
    </row>
    <row r="359">
      <c r="A359" s="110"/>
      <c r="C359" s="46"/>
      <c r="D359" s="46"/>
      <c r="J359" s="46"/>
      <c r="K359" s="118"/>
      <c r="L359" s="119"/>
      <c r="M359" s="46"/>
      <c r="N359" s="118"/>
      <c r="O359" s="92"/>
      <c r="P359" s="92"/>
      <c r="Q359" s="46"/>
      <c r="R359" s="46"/>
      <c r="S359" s="123"/>
    </row>
    <row r="360">
      <c r="A360" s="110"/>
      <c r="C360" s="46"/>
      <c r="D360" s="46"/>
      <c r="J360" s="46"/>
      <c r="K360" s="118"/>
      <c r="L360" s="119"/>
      <c r="M360" s="46"/>
      <c r="N360" s="118"/>
      <c r="O360" s="92"/>
      <c r="P360" s="92"/>
      <c r="Q360" s="46"/>
      <c r="R360" s="46"/>
      <c r="S360" s="123"/>
    </row>
    <row r="361">
      <c r="A361" s="110"/>
      <c r="C361" s="46"/>
      <c r="D361" s="46"/>
      <c r="J361" s="46"/>
      <c r="K361" s="118"/>
      <c r="L361" s="119"/>
      <c r="M361" s="46"/>
      <c r="N361" s="118"/>
      <c r="O361" s="92"/>
      <c r="P361" s="92"/>
      <c r="Q361" s="46"/>
      <c r="R361" s="46"/>
      <c r="S361" s="123"/>
    </row>
    <row r="362">
      <c r="A362" s="110"/>
      <c r="C362" s="46"/>
      <c r="D362" s="46"/>
      <c r="J362" s="46"/>
      <c r="K362" s="118"/>
      <c r="L362" s="119"/>
      <c r="M362" s="46"/>
      <c r="N362" s="118"/>
      <c r="O362" s="92"/>
      <c r="P362" s="92"/>
      <c r="Q362" s="46"/>
      <c r="R362" s="46"/>
      <c r="S362" s="123"/>
    </row>
    <row r="363">
      <c r="A363" s="110"/>
      <c r="C363" s="46"/>
      <c r="D363" s="46"/>
      <c r="J363" s="46"/>
      <c r="K363" s="118"/>
      <c r="L363" s="119"/>
      <c r="M363" s="46"/>
      <c r="N363" s="118"/>
      <c r="O363" s="92"/>
      <c r="P363" s="92"/>
      <c r="Q363" s="46"/>
      <c r="R363" s="46"/>
      <c r="S363" s="123"/>
    </row>
    <row r="364">
      <c r="A364" s="110"/>
      <c r="C364" s="46"/>
      <c r="D364" s="46"/>
      <c r="J364" s="46"/>
      <c r="K364" s="118"/>
      <c r="L364" s="119"/>
      <c r="M364" s="46"/>
      <c r="N364" s="118"/>
      <c r="O364" s="92"/>
      <c r="P364" s="92"/>
      <c r="Q364" s="46"/>
      <c r="R364" s="46"/>
      <c r="S364" s="123"/>
    </row>
    <row r="365">
      <c r="A365" s="110"/>
      <c r="C365" s="46"/>
      <c r="D365" s="46"/>
      <c r="J365" s="46"/>
      <c r="K365" s="118"/>
      <c r="L365" s="119"/>
      <c r="M365" s="46"/>
      <c r="N365" s="118"/>
      <c r="O365" s="92"/>
      <c r="P365" s="92"/>
      <c r="Q365" s="46"/>
      <c r="R365" s="46"/>
      <c r="S365" s="123"/>
    </row>
    <row r="366">
      <c r="A366" s="110"/>
      <c r="C366" s="46"/>
      <c r="D366" s="46"/>
      <c r="J366" s="46"/>
      <c r="K366" s="118"/>
      <c r="L366" s="119"/>
      <c r="M366" s="46"/>
      <c r="N366" s="118"/>
      <c r="O366" s="92"/>
      <c r="P366" s="92"/>
      <c r="Q366" s="46"/>
      <c r="R366" s="46"/>
      <c r="S366" s="123"/>
    </row>
    <row r="367">
      <c r="A367" s="110"/>
      <c r="C367" s="46"/>
      <c r="D367" s="46"/>
      <c r="J367" s="46"/>
      <c r="K367" s="118"/>
      <c r="L367" s="119"/>
      <c r="M367" s="46"/>
      <c r="N367" s="118"/>
      <c r="O367" s="92"/>
      <c r="P367" s="92"/>
      <c r="Q367" s="46"/>
      <c r="R367" s="46"/>
      <c r="S367" s="123"/>
    </row>
    <row r="368">
      <c r="A368" s="110"/>
      <c r="C368" s="46"/>
      <c r="D368" s="46"/>
      <c r="J368" s="46"/>
      <c r="K368" s="118"/>
      <c r="L368" s="119"/>
      <c r="M368" s="46"/>
      <c r="N368" s="118"/>
      <c r="O368" s="92"/>
      <c r="P368" s="92"/>
      <c r="Q368" s="46"/>
      <c r="R368" s="46"/>
      <c r="S368" s="123"/>
    </row>
    <row r="369">
      <c r="A369" s="110"/>
      <c r="C369" s="46"/>
      <c r="D369" s="46"/>
      <c r="J369" s="46"/>
      <c r="K369" s="118"/>
      <c r="L369" s="119"/>
      <c r="M369" s="46"/>
      <c r="N369" s="118"/>
      <c r="O369" s="92"/>
      <c r="P369" s="92"/>
      <c r="Q369" s="46"/>
      <c r="R369" s="46"/>
      <c r="S369" s="123"/>
    </row>
    <row r="370">
      <c r="A370" s="110"/>
      <c r="C370" s="46"/>
      <c r="D370" s="46"/>
      <c r="J370" s="46"/>
      <c r="K370" s="118"/>
      <c r="L370" s="119"/>
      <c r="M370" s="46"/>
      <c r="N370" s="118"/>
      <c r="O370" s="92"/>
      <c r="P370" s="92"/>
      <c r="Q370" s="46"/>
      <c r="R370" s="46"/>
      <c r="S370" s="123"/>
    </row>
    <row r="371">
      <c r="A371" s="110"/>
      <c r="C371" s="46"/>
      <c r="D371" s="46"/>
      <c r="J371" s="46"/>
      <c r="K371" s="118"/>
      <c r="L371" s="119"/>
      <c r="M371" s="46"/>
      <c r="N371" s="118"/>
      <c r="O371" s="92"/>
      <c r="P371" s="92"/>
      <c r="Q371" s="46"/>
      <c r="R371" s="46"/>
      <c r="S371" s="123"/>
    </row>
    <row r="372">
      <c r="A372" s="110"/>
      <c r="C372" s="46"/>
      <c r="D372" s="46"/>
      <c r="J372" s="46"/>
      <c r="K372" s="118"/>
      <c r="L372" s="119"/>
      <c r="M372" s="46"/>
      <c r="N372" s="118"/>
      <c r="O372" s="92"/>
      <c r="P372" s="92"/>
      <c r="Q372" s="46"/>
      <c r="R372" s="46"/>
      <c r="S372" s="123"/>
    </row>
    <row r="373">
      <c r="A373" s="110"/>
      <c r="C373" s="46"/>
      <c r="D373" s="46"/>
      <c r="J373" s="46"/>
      <c r="K373" s="118"/>
      <c r="L373" s="119"/>
      <c r="M373" s="46"/>
      <c r="N373" s="118"/>
      <c r="O373" s="92"/>
      <c r="P373" s="92"/>
      <c r="Q373" s="46"/>
      <c r="R373" s="46"/>
      <c r="S373" s="123"/>
    </row>
    <row r="374">
      <c r="A374" s="110"/>
      <c r="C374" s="46"/>
      <c r="D374" s="46"/>
      <c r="J374" s="46"/>
      <c r="K374" s="118"/>
      <c r="L374" s="119"/>
      <c r="M374" s="46"/>
      <c r="N374" s="118"/>
      <c r="O374" s="92"/>
      <c r="P374" s="92"/>
      <c r="Q374" s="46"/>
      <c r="R374" s="46"/>
      <c r="S374" s="123"/>
    </row>
    <row r="375">
      <c r="A375" s="110"/>
      <c r="C375" s="46"/>
      <c r="D375" s="46"/>
      <c r="J375" s="46"/>
      <c r="K375" s="118"/>
      <c r="L375" s="119"/>
      <c r="M375" s="46"/>
      <c r="N375" s="118"/>
      <c r="O375" s="92"/>
      <c r="P375" s="92"/>
      <c r="Q375" s="46"/>
      <c r="R375" s="46"/>
      <c r="S375" s="123"/>
    </row>
    <row r="376">
      <c r="A376" s="110"/>
      <c r="C376" s="46"/>
      <c r="D376" s="46"/>
      <c r="J376" s="46"/>
      <c r="K376" s="118"/>
      <c r="L376" s="119"/>
      <c r="M376" s="46"/>
      <c r="N376" s="118"/>
      <c r="O376" s="92"/>
      <c r="P376" s="92"/>
      <c r="Q376" s="46"/>
      <c r="R376" s="46"/>
      <c r="S376" s="123"/>
    </row>
    <row r="377">
      <c r="A377" s="110"/>
      <c r="C377" s="46"/>
      <c r="D377" s="46"/>
      <c r="J377" s="46"/>
      <c r="K377" s="118"/>
      <c r="L377" s="119"/>
      <c r="M377" s="46"/>
      <c r="N377" s="118"/>
      <c r="O377" s="92"/>
      <c r="P377" s="92"/>
      <c r="Q377" s="46"/>
      <c r="R377" s="46"/>
      <c r="S377" s="123"/>
    </row>
    <row r="378">
      <c r="A378" s="110"/>
      <c r="C378" s="46"/>
      <c r="D378" s="46"/>
      <c r="J378" s="46"/>
      <c r="K378" s="118"/>
      <c r="L378" s="119"/>
      <c r="M378" s="46"/>
      <c r="N378" s="118"/>
      <c r="O378" s="92"/>
      <c r="P378" s="92"/>
      <c r="Q378" s="46"/>
      <c r="R378" s="46"/>
      <c r="S378" s="123"/>
    </row>
    <row r="379">
      <c r="A379" s="110"/>
      <c r="C379" s="46"/>
      <c r="D379" s="46"/>
      <c r="J379" s="46"/>
      <c r="K379" s="118"/>
      <c r="L379" s="119"/>
      <c r="M379" s="46"/>
      <c r="N379" s="118"/>
      <c r="O379" s="92"/>
      <c r="P379" s="92"/>
      <c r="Q379" s="46"/>
      <c r="R379" s="46"/>
      <c r="S379" s="123"/>
    </row>
    <row r="380">
      <c r="A380" s="110"/>
      <c r="C380" s="46"/>
      <c r="D380" s="46"/>
      <c r="J380" s="46"/>
      <c r="K380" s="118"/>
      <c r="L380" s="119"/>
      <c r="M380" s="46"/>
      <c r="N380" s="118"/>
      <c r="O380" s="92"/>
      <c r="P380" s="92"/>
      <c r="Q380" s="46"/>
      <c r="R380" s="46"/>
      <c r="S380" s="123"/>
    </row>
    <row r="381">
      <c r="A381" s="110"/>
      <c r="C381" s="46"/>
      <c r="D381" s="46"/>
      <c r="J381" s="46"/>
      <c r="K381" s="118"/>
      <c r="L381" s="119"/>
      <c r="M381" s="46"/>
      <c r="N381" s="118"/>
      <c r="O381" s="92"/>
      <c r="P381" s="92"/>
      <c r="Q381" s="46"/>
      <c r="R381" s="46"/>
      <c r="S381" s="123"/>
    </row>
    <row r="382">
      <c r="A382" s="110"/>
      <c r="C382" s="46"/>
      <c r="D382" s="46"/>
      <c r="J382" s="46"/>
      <c r="K382" s="118"/>
      <c r="L382" s="119"/>
      <c r="M382" s="46"/>
      <c r="N382" s="118"/>
      <c r="O382" s="92"/>
      <c r="P382" s="92"/>
      <c r="Q382" s="46"/>
      <c r="R382" s="46"/>
      <c r="S382" s="123"/>
    </row>
    <row r="383">
      <c r="A383" s="110"/>
      <c r="C383" s="46"/>
      <c r="D383" s="46"/>
      <c r="J383" s="46"/>
      <c r="K383" s="118"/>
      <c r="L383" s="119"/>
      <c r="M383" s="46"/>
      <c r="N383" s="118"/>
      <c r="O383" s="92"/>
      <c r="P383" s="92"/>
      <c r="Q383" s="46"/>
      <c r="R383" s="46"/>
      <c r="S383" s="123"/>
    </row>
    <row r="384">
      <c r="A384" s="110"/>
      <c r="C384" s="46"/>
      <c r="D384" s="46"/>
      <c r="J384" s="46"/>
      <c r="K384" s="118"/>
      <c r="L384" s="119"/>
      <c r="M384" s="46"/>
      <c r="N384" s="118"/>
      <c r="O384" s="92"/>
      <c r="P384" s="92"/>
      <c r="Q384" s="46"/>
      <c r="R384" s="46"/>
      <c r="S384" s="123"/>
    </row>
    <row r="385">
      <c r="A385" s="110"/>
      <c r="C385" s="46"/>
      <c r="D385" s="46"/>
      <c r="J385" s="46"/>
      <c r="K385" s="118"/>
      <c r="L385" s="119"/>
      <c r="M385" s="46"/>
      <c r="N385" s="118"/>
      <c r="O385" s="92"/>
      <c r="P385" s="92"/>
      <c r="Q385" s="46"/>
      <c r="R385" s="46"/>
      <c r="S385" s="123"/>
    </row>
    <row r="386">
      <c r="A386" s="110"/>
      <c r="C386" s="46"/>
      <c r="D386" s="46"/>
      <c r="J386" s="46"/>
      <c r="K386" s="118"/>
      <c r="L386" s="119"/>
      <c r="M386" s="46"/>
      <c r="N386" s="118"/>
      <c r="O386" s="92"/>
      <c r="P386" s="92"/>
      <c r="Q386" s="46"/>
      <c r="R386" s="46"/>
      <c r="S386" s="123"/>
    </row>
    <row r="387">
      <c r="A387" s="110"/>
      <c r="C387" s="46"/>
      <c r="D387" s="46"/>
      <c r="J387" s="46"/>
      <c r="K387" s="118"/>
      <c r="L387" s="119"/>
      <c r="M387" s="46"/>
      <c r="N387" s="118"/>
      <c r="O387" s="92"/>
      <c r="P387" s="92"/>
      <c r="Q387" s="46"/>
      <c r="R387" s="46"/>
      <c r="S387" s="123"/>
    </row>
    <row r="388">
      <c r="A388" s="110"/>
      <c r="C388" s="46"/>
      <c r="D388" s="46"/>
      <c r="J388" s="46"/>
      <c r="K388" s="118"/>
      <c r="L388" s="119"/>
      <c r="M388" s="46"/>
      <c r="N388" s="118"/>
      <c r="O388" s="92"/>
      <c r="P388" s="92"/>
      <c r="Q388" s="46"/>
      <c r="R388" s="46"/>
      <c r="S388" s="123"/>
    </row>
    <row r="389">
      <c r="A389" s="110"/>
      <c r="C389" s="46"/>
      <c r="D389" s="46"/>
      <c r="J389" s="46"/>
      <c r="K389" s="118"/>
      <c r="L389" s="119"/>
      <c r="M389" s="46"/>
      <c r="N389" s="118"/>
      <c r="O389" s="92"/>
      <c r="P389" s="92"/>
      <c r="Q389" s="46"/>
      <c r="R389" s="46"/>
      <c r="S389" s="123"/>
    </row>
    <row r="390">
      <c r="A390" s="110"/>
      <c r="C390" s="46"/>
      <c r="D390" s="46"/>
      <c r="J390" s="46"/>
      <c r="K390" s="118"/>
      <c r="L390" s="119"/>
      <c r="M390" s="46"/>
      <c r="N390" s="118"/>
      <c r="O390" s="92"/>
      <c r="P390" s="92"/>
      <c r="Q390" s="46"/>
      <c r="R390" s="46"/>
      <c r="S390" s="123"/>
    </row>
    <row r="391">
      <c r="A391" s="110"/>
      <c r="C391" s="46"/>
      <c r="D391" s="46"/>
      <c r="J391" s="46"/>
      <c r="K391" s="118"/>
      <c r="L391" s="119"/>
      <c r="M391" s="46"/>
      <c r="N391" s="118"/>
      <c r="O391" s="92"/>
      <c r="P391" s="92"/>
      <c r="Q391" s="46"/>
      <c r="R391" s="46"/>
      <c r="S391" s="123"/>
    </row>
    <row r="392">
      <c r="A392" s="110"/>
      <c r="C392" s="46"/>
      <c r="D392" s="46"/>
      <c r="J392" s="46"/>
      <c r="K392" s="118"/>
      <c r="L392" s="119"/>
      <c r="M392" s="46"/>
      <c r="N392" s="118"/>
      <c r="O392" s="92"/>
      <c r="P392" s="92"/>
      <c r="Q392" s="46"/>
      <c r="R392" s="46"/>
      <c r="S392" s="123"/>
    </row>
    <row r="393">
      <c r="A393" s="110"/>
      <c r="C393" s="46"/>
      <c r="D393" s="46"/>
      <c r="J393" s="46"/>
      <c r="K393" s="118"/>
      <c r="L393" s="119"/>
      <c r="M393" s="46"/>
      <c r="N393" s="118"/>
      <c r="O393" s="92"/>
      <c r="P393" s="92"/>
      <c r="Q393" s="46"/>
      <c r="R393" s="46"/>
      <c r="S393" s="123"/>
    </row>
    <row r="394">
      <c r="A394" s="110"/>
      <c r="C394" s="46"/>
      <c r="D394" s="46"/>
      <c r="J394" s="46"/>
      <c r="K394" s="118"/>
      <c r="L394" s="119"/>
      <c r="M394" s="46"/>
      <c r="N394" s="118"/>
      <c r="O394" s="92"/>
      <c r="P394" s="92"/>
      <c r="Q394" s="46"/>
      <c r="R394" s="46"/>
      <c r="S394" s="123"/>
    </row>
    <row r="395">
      <c r="A395" s="110"/>
      <c r="C395" s="46"/>
      <c r="D395" s="46"/>
      <c r="J395" s="46"/>
      <c r="K395" s="118"/>
      <c r="L395" s="119"/>
      <c r="M395" s="46"/>
      <c r="N395" s="118"/>
      <c r="O395" s="92"/>
      <c r="P395" s="92"/>
      <c r="Q395" s="46"/>
      <c r="R395" s="46"/>
      <c r="S395" s="123"/>
    </row>
    <row r="396">
      <c r="A396" s="110"/>
      <c r="C396" s="46"/>
      <c r="D396" s="46"/>
      <c r="J396" s="46"/>
      <c r="K396" s="118"/>
      <c r="L396" s="119"/>
      <c r="M396" s="46"/>
      <c r="N396" s="118"/>
      <c r="O396" s="92"/>
      <c r="P396" s="92"/>
      <c r="Q396" s="46"/>
      <c r="R396" s="46"/>
      <c r="S396" s="123"/>
    </row>
    <row r="397">
      <c r="A397" s="110"/>
      <c r="C397" s="46"/>
      <c r="D397" s="46"/>
      <c r="J397" s="46"/>
      <c r="K397" s="118"/>
      <c r="L397" s="119"/>
      <c r="M397" s="46"/>
      <c r="N397" s="118"/>
      <c r="O397" s="92"/>
      <c r="P397" s="92"/>
      <c r="Q397" s="46"/>
      <c r="R397" s="46"/>
      <c r="S397" s="123"/>
    </row>
    <row r="398">
      <c r="A398" s="110"/>
      <c r="C398" s="46"/>
      <c r="D398" s="46"/>
      <c r="J398" s="46"/>
      <c r="K398" s="118"/>
      <c r="L398" s="119"/>
      <c r="M398" s="46"/>
      <c r="N398" s="118"/>
      <c r="O398" s="92"/>
      <c r="P398" s="92"/>
      <c r="Q398" s="46"/>
      <c r="R398" s="46"/>
      <c r="S398" s="123"/>
    </row>
    <row r="399">
      <c r="A399" s="110"/>
      <c r="C399" s="46"/>
      <c r="D399" s="46"/>
      <c r="J399" s="46"/>
      <c r="K399" s="118"/>
      <c r="L399" s="119"/>
      <c r="M399" s="46"/>
      <c r="N399" s="118"/>
      <c r="O399" s="92"/>
      <c r="P399" s="92"/>
      <c r="Q399" s="46"/>
      <c r="R399" s="46"/>
      <c r="S399" s="123"/>
    </row>
    <row r="400">
      <c r="A400" s="110"/>
      <c r="C400" s="46"/>
      <c r="D400" s="46"/>
      <c r="J400" s="46"/>
      <c r="K400" s="118"/>
      <c r="L400" s="119"/>
      <c r="M400" s="46"/>
      <c r="N400" s="118"/>
      <c r="O400" s="92"/>
      <c r="P400" s="92"/>
      <c r="Q400" s="46"/>
      <c r="R400" s="46"/>
      <c r="S400" s="123"/>
    </row>
    <row r="401">
      <c r="A401" s="110"/>
      <c r="C401" s="46"/>
      <c r="D401" s="46"/>
      <c r="J401" s="46"/>
      <c r="K401" s="118"/>
      <c r="L401" s="119"/>
      <c r="M401" s="46"/>
      <c r="N401" s="118"/>
      <c r="O401" s="92"/>
      <c r="P401" s="92"/>
      <c r="Q401" s="46"/>
      <c r="R401" s="46"/>
      <c r="S401" s="123"/>
    </row>
    <row r="402">
      <c r="A402" s="110"/>
      <c r="C402" s="46"/>
      <c r="D402" s="46"/>
      <c r="J402" s="46"/>
      <c r="K402" s="118"/>
      <c r="L402" s="119"/>
      <c r="M402" s="46"/>
      <c r="N402" s="118"/>
      <c r="O402" s="92"/>
      <c r="P402" s="92"/>
      <c r="Q402" s="46"/>
      <c r="R402" s="46"/>
      <c r="S402" s="123"/>
    </row>
    <row r="403">
      <c r="A403" s="110"/>
      <c r="C403" s="46"/>
      <c r="D403" s="46"/>
      <c r="J403" s="46"/>
      <c r="K403" s="118"/>
      <c r="L403" s="119"/>
      <c r="M403" s="46"/>
      <c r="N403" s="118"/>
      <c r="O403" s="92"/>
      <c r="P403" s="92"/>
      <c r="Q403" s="46"/>
      <c r="R403" s="46"/>
      <c r="S403" s="123"/>
    </row>
    <row r="404">
      <c r="A404" s="110"/>
      <c r="C404" s="46"/>
      <c r="D404" s="46"/>
      <c r="J404" s="46"/>
      <c r="K404" s="118"/>
      <c r="L404" s="119"/>
      <c r="M404" s="46"/>
      <c r="N404" s="118"/>
      <c r="O404" s="92"/>
      <c r="P404" s="92"/>
      <c r="Q404" s="46"/>
      <c r="R404" s="46"/>
      <c r="S404" s="123"/>
    </row>
    <row r="405">
      <c r="A405" s="110"/>
      <c r="C405" s="46"/>
      <c r="D405" s="46"/>
      <c r="J405" s="46"/>
      <c r="K405" s="118"/>
      <c r="L405" s="119"/>
      <c r="M405" s="46"/>
      <c r="N405" s="118"/>
      <c r="O405" s="92"/>
      <c r="P405" s="92"/>
      <c r="Q405" s="46"/>
      <c r="R405" s="46"/>
      <c r="S405" s="123"/>
    </row>
    <row r="406">
      <c r="A406" s="110"/>
      <c r="C406" s="46"/>
      <c r="D406" s="46"/>
      <c r="J406" s="46"/>
      <c r="K406" s="118"/>
      <c r="L406" s="119"/>
      <c r="M406" s="46"/>
      <c r="N406" s="118"/>
      <c r="O406" s="92"/>
      <c r="P406" s="92"/>
      <c r="Q406" s="46"/>
      <c r="R406" s="46"/>
      <c r="S406" s="123"/>
    </row>
    <row r="407">
      <c r="A407" s="110"/>
      <c r="C407" s="46"/>
      <c r="D407" s="46"/>
      <c r="J407" s="46"/>
      <c r="K407" s="118"/>
      <c r="L407" s="119"/>
      <c r="M407" s="46"/>
      <c r="N407" s="118"/>
      <c r="O407" s="92"/>
      <c r="P407" s="92"/>
      <c r="Q407" s="46"/>
      <c r="R407" s="46"/>
      <c r="S407" s="123"/>
    </row>
    <row r="408">
      <c r="A408" s="110"/>
      <c r="C408" s="46"/>
      <c r="D408" s="46"/>
      <c r="J408" s="46"/>
      <c r="K408" s="118"/>
      <c r="L408" s="119"/>
      <c r="M408" s="46"/>
      <c r="N408" s="118"/>
      <c r="O408" s="92"/>
      <c r="P408" s="92"/>
      <c r="Q408" s="46"/>
      <c r="R408" s="46"/>
      <c r="S408" s="123"/>
    </row>
    <row r="409">
      <c r="A409" s="110"/>
      <c r="C409" s="46"/>
      <c r="D409" s="46"/>
      <c r="J409" s="46"/>
      <c r="K409" s="118"/>
      <c r="L409" s="119"/>
      <c r="M409" s="46"/>
      <c r="N409" s="118"/>
      <c r="O409" s="92"/>
      <c r="P409" s="92"/>
      <c r="Q409" s="46"/>
      <c r="R409" s="46"/>
      <c r="S409" s="123"/>
    </row>
    <row r="410">
      <c r="A410" s="110"/>
      <c r="C410" s="46"/>
      <c r="D410" s="46"/>
      <c r="J410" s="46"/>
      <c r="K410" s="118"/>
      <c r="L410" s="119"/>
      <c r="M410" s="46"/>
      <c r="N410" s="118"/>
      <c r="O410" s="92"/>
      <c r="P410" s="92"/>
      <c r="Q410" s="46"/>
      <c r="R410" s="46"/>
      <c r="S410" s="123"/>
    </row>
    <row r="411">
      <c r="A411" s="110"/>
      <c r="C411" s="46"/>
      <c r="D411" s="46"/>
      <c r="J411" s="46"/>
      <c r="K411" s="118"/>
      <c r="L411" s="119"/>
      <c r="M411" s="46"/>
      <c r="N411" s="118"/>
      <c r="O411" s="92"/>
      <c r="P411" s="92"/>
      <c r="Q411" s="46"/>
      <c r="R411" s="46"/>
      <c r="S411" s="123"/>
    </row>
    <row r="412">
      <c r="A412" s="110"/>
      <c r="C412" s="46"/>
      <c r="D412" s="46"/>
      <c r="J412" s="46"/>
      <c r="K412" s="118"/>
      <c r="L412" s="119"/>
      <c r="M412" s="46"/>
      <c r="N412" s="118"/>
      <c r="O412" s="92"/>
      <c r="P412" s="92"/>
      <c r="Q412" s="46"/>
      <c r="R412" s="46"/>
      <c r="S412" s="123"/>
    </row>
    <row r="413">
      <c r="A413" s="110"/>
      <c r="C413" s="46"/>
      <c r="D413" s="46"/>
      <c r="J413" s="46"/>
      <c r="K413" s="118"/>
      <c r="L413" s="119"/>
      <c r="M413" s="46"/>
      <c r="N413" s="118"/>
      <c r="O413" s="92"/>
      <c r="P413" s="92"/>
      <c r="Q413" s="46"/>
      <c r="R413" s="46"/>
      <c r="S413" s="123"/>
    </row>
    <row r="414">
      <c r="A414" s="110"/>
      <c r="C414" s="46"/>
      <c r="D414" s="46"/>
      <c r="J414" s="46"/>
      <c r="K414" s="118"/>
      <c r="L414" s="119"/>
      <c r="M414" s="46"/>
      <c r="N414" s="118"/>
      <c r="O414" s="92"/>
      <c r="P414" s="92"/>
      <c r="Q414" s="46"/>
      <c r="R414" s="46"/>
      <c r="S414" s="123"/>
    </row>
    <row r="415">
      <c r="A415" s="110"/>
      <c r="C415" s="46"/>
      <c r="D415" s="46"/>
      <c r="J415" s="46"/>
      <c r="K415" s="118"/>
      <c r="L415" s="119"/>
      <c r="M415" s="46"/>
      <c r="N415" s="118"/>
      <c r="O415" s="92"/>
      <c r="P415" s="92"/>
      <c r="Q415" s="46"/>
      <c r="R415" s="46"/>
      <c r="S415" s="123"/>
    </row>
    <row r="416">
      <c r="A416" s="110"/>
      <c r="C416" s="46"/>
      <c r="D416" s="46"/>
      <c r="J416" s="46"/>
      <c r="K416" s="118"/>
      <c r="L416" s="119"/>
      <c r="M416" s="46"/>
      <c r="N416" s="118"/>
      <c r="O416" s="92"/>
      <c r="P416" s="92"/>
      <c r="Q416" s="46"/>
      <c r="R416" s="46"/>
      <c r="S416" s="123"/>
    </row>
    <row r="417">
      <c r="A417" s="110"/>
      <c r="C417" s="46"/>
      <c r="D417" s="46"/>
      <c r="J417" s="46"/>
      <c r="K417" s="118"/>
      <c r="L417" s="119"/>
      <c r="M417" s="46"/>
      <c r="N417" s="118"/>
      <c r="O417" s="92"/>
      <c r="P417" s="92"/>
      <c r="Q417" s="46"/>
      <c r="R417" s="46"/>
      <c r="S417" s="123"/>
    </row>
    <row r="418">
      <c r="A418" s="110"/>
      <c r="C418" s="46"/>
      <c r="D418" s="46"/>
      <c r="J418" s="46"/>
      <c r="K418" s="118"/>
      <c r="L418" s="119"/>
      <c r="M418" s="46"/>
      <c r="N418" s="118"/>
      <c r="O418" s="92"/>
      <c r="P418" s="92"/>
      <c r="Q418" s="46"/>
      <c r="R418" s="46"/>
      <c r="S418" s="123"/>
    </row>
    <row r="419">
      <c r="A419" s="110"/>
      <c r="C419" s="46"/>
      <c r="D419" s="46"/>
      <c r="J419" s="46"/>
      <c r="K419" s="118"/>
      <c r="L419" s="119"/>
      <c r="M419" s="46"/>
      <c r="N419" s="118"/>
      <c r="O419" s="92"/>
      <c r="P419" s="92"/>
      <c r="Q419" s="46"/>
      <c r="R419" s="46"/>
      <c r="S419" s="123"/>
    </row>
    <row r="420">
      <c r="A420" s="110"/>
      <c r="C420" s="46"/>
      <c r="D420" s="46"/>
      <c r="J420" s="46"/>
      <c r="K420" s="118"/>
      <c r="L420" s="119"/>
      <c r="M420" s="46"/>
      <c r="N420" s="118"/>
      <c r="O420" s="92"/>
      <c r="P420" s="92"/>
      <c r="Q420" s="46"/>
      <c r="R420" s="46"/>
      <c r="S420" s="123"/>
    </row>
    <row r="421">
      <c r="A421" s="110"/>
      <c r="C421" s="46"/>
      <c r="D421" s="46"/>
      <c r="J421" s="46"/>
      <c r="K421" s="118"/>
      <c r="L421" s="119"/>
      <c r="M421" s="46"/>
      <c r="N421" s="118"/>
      <c r="O421" s="92"/>
      <c r="P421" s="92"/>
      <c r="Q421" s="46"/>
      <c r="R421" s="46"/>
      <c r="S421" s="123"/>
    </row>
    <row r="422">
      <c r="A422" s="110"/>
      <c r="C422" s="46"/>
      <c r="D422" s="46"/>
      <c r="J422" s="46"/>
      <c r="K422" s="118"/>
      <c r="L422" s="119"/>
      <c r="M422" s="46"/>
      <c r="N422" s="118"/>
      <c r="O422" s="92"/>
      <c r="P422" s="92"/>
      <c r="Q422" s="46"/>
      <c r="R422" s="46"/>
      <c r="S422" s="123"/>
    </row>
    <row r="423">
      <c r="A423" s="110"/>
      <c r="C423" s="46"/>
      <c r="D423" s="46"/>
      <c r="J423" s="46"/>
      <c r="K423" s="118"/>
      <c r="L423" s="119"/>
      <c r="M423" s="46"/>
      <c r="N423" s="118"/>
      <c r="O423" s="92"/>
      <c r="P423" s="92"/>
      <c r="Q423" s="46"/>
      <c r="R423" s="46"/>
      <c r="S423" s="123"/>
    </row>
    <row r="424">
      <c r="A424" s="110"/>
      <c r="C424" s="46"/>
      <c r="D424" s="46"/>
      <c r="J424" s="46"/>
      <c r="K424" s="118"/>
      <c r="L424" s="119"/>
      <c r="M424" s="46"/>
      <c r="N424" s="118"/>
      <c r="O424" s="92"/>
      <c r="P424" s="92"/>
      <c r="Q424" s="46"/>
      <c r="R424" s="46"/>
      <c r="S424" s="123"/>
    </row>
    <row r="425">
      <c r="A425" s="110"/>
      <c r="C425" s="46"/>
      <c r="D425" s="46"/>
      <c r="J425" s="46"/>
      <c r="K425" s="118"/>
      <c r="L425" s="119"/>
      <c r="M425" s="46"/>
      <c r="N425" s="118"/>
      <c r="O425" s="92"/>
      <c r="P425" s="92"/>
      <c r="Q425" s="46"/>
      <c r="R425" s="46"/>
      <c r="S425" s="123"/>
    </row>
    <row r="426">
      <c r="A426" s="110"/>
      <c r="C426" s="46"/>
      <c r="D426" s="46"/>
      <c r="J426" s="46"/>
      <c r="K426" s="118"/>
      <c r="L426" s="119"/>
      <c r="M426" s="46"/>
      <c r="N426" s="118"/>
      <c r="O426" s="92"/>
      <c r="P426" s="92"/>
      <c r="Q426" s="46"/>
      <c r="R426" s="46"/>
      <c r="S426" s="123"/>
    </row>
    <row r="427">
      <c r="A427" s="110"/>
      <c r="C427" s="46"/>
      <c r="D427" s="46"/>
      <c r="J427" s="46"/>
      <c r="K427" s="118"/>
      <c r="L427" s="119"/>
      <c r="M427" s="46"/>
      <c r="N427" s="118"/>
      <c r="O427" s="92"/>
      <c r="P427" s="92"/>
      <c r="Q427" s="46"/>
      <c r="R427" s="46"/>
      <c r="S427" s="123"/>
    </row>
    <row r="428">
      <c r="A428" s="110"/>
      <c r="C428" s="46"/>
      <c r="D428" s="46"/>
      <c r="J428" s="46"/>
      <c r="K428" s="118"/>
      <c r="L428" s="119"/>
      <c r="M428" s="46"/>
      <c r="N428" s="118"/>
      <c r="O428" s="92"/>
      <c r="P428" s="92"/>
      <c r="Q428" s="46"/>
      <c r="R428" s="46"/>
      <c r="S428" s="123"/>
    </row>
    <row r="429">
      <c r="A429" s="110"/>
      <c r="C429" s="46"/>
      <c r="D429" s="46"/>
      <c r="J429" s="46"/>
      <c r="K429" s="118"/>
      <c r="L429" s="119"/>
      <c r="M429" s="46"/>
      <c r="N429" s="118"/>
      <c r="O429" s="92"/>
      <c r="P429" s="92"/>
      <c r="Q429" s="46"/>
      <c r="R429" s="46"/>
      <c r="S429" s="123"/>
    </row>
    <row r="430">
      <c r="A430" s="110"/>
      <c r="C430" s="46"/>
      <c r="D430" s="46"/>
      <c r="J430" s="46"/>
      <c r="K430" s="118"/>
      <c r="L430" s="119"/>
      <c r="M430" s="46"/>
      <c r="N430" s="118"/>
      <c r="O430" s="92"/>
      <c r="P430" s="92"/>
      <c r="Q430" s="46"/>
      <c r="R430" s="46"/>
      <c r="S430" s="123"/>
    </row>
    <row r="431">
      <c r="A431" s="110"/>
      <c r="C431" s="46"/>
      <c r="D431" s="46"/>
      <c r="J431" s="46"/>
      <c r="K431" s="118"/>
      <c r="L431" s="119"/>
      <c r="M431" s="46"/>
      <c r="N431" s="118"/>
      <c r="O431" s="92"/>
      <c r="P431" s="92"/>
      <c r="Q431" s="46"/>
      <c r="R431" s="46"/>
      <c r="S431" s="123"/>
    </row>
    <row r="432">
      <c r="A432" s="110"/>
      <c r="C432" s="46"/>
      <c r="D432" s="46"/>
      <c r="J432" s="46"/>
      <c r="K432" s="118"/>
      <c r="L432" s="119"/>
      <c r="M432" s="46"/>
      <c r="N432" s="118"/>
      <c r="O432" s="92"/>
      <c r="P432" s="92"/>
      <c r="Q432" s="46"/>
      <c r="R432" s="46"/>
      <c r="S432" s="123"/>
    </row>
    <row r="433">
      <c r="A433" s="110"/>
      <c r="C433" s="46"/>
      <c r="D433" s="46"/>
      <c r="J433" s="46"/>
      <c r="K433" s="118"/>
      <c r="L433" s="119"/>
      <c r="M433" s="46"/>
      <c r="N433" s="118"/>
      <c r="O433" s="92"/>
      <c r="P433" s="92"/>
      <c r="Q433" s="46"/>
      <c r="R433" s="46"/>
      <c r="S433" s="123"/>
    </row>
    <row r="434">
      <c r="A434" s="110"/>
      <c r="C434" s="46"/>
      <c r="D434" s="46"/>
      <c r="J434" s="46"/>
      <c r="K434" s="118"/>
      <c r="L434" s="119"/>
      <c r="M434" s="46"/>
      <c r="N434" s="118"/>
      <c r="O434" s="92"/>
      <c r="P434" s="92"/>
      <c r="Q434" s="46"/>
      <c r="R434" s="46"/>
      <c r="S434" s="123"/>
    </row>
    <row r="435">
      <c r="A435" s="110"/>
      <c r="C435" s="46"/>
      <c r="D435" s="46"/>
      <c r="J435" s="46"/>
      <c r="K435" s="118"/>
      <c r="L435" s="119"/>
      <c r="M435" s="46"/>
      <c r="N435" s="118"/>
      <c r="O435" s="92"/>
      <c r="P435" s="92"/>
      <c r="Q435" s="46"/>
      <c r="R435" s="46"/>
      <c r="S435" s="123"/>
    </row>
    <row r="436">
      <c r="A436" s="110"/>
      <c r="C436" s="46"/>
      <c r="D436" s="46"/>
      <c r="J436" s="46"/>
      <c r="K436" s="118"/>
      <c r="L436" s="119"/>
      <c r="M436" s="46"/>
      <c r="N436" s="118"/>
      <c r="O436" s="92"/>
      <c r="P436" s="92"/>
      <c r="Q436" s="46"/>
      <c r="R436" s="46"/>
      <c r="S436" s="123"/>
    </row>
    <row r="437">
      <c r="A437" s="110"/>
      <c r="C437" s="46"/>
      <c r="D437" s="46"/>
      <c r="J437" s="46"/>
      <c r="K437" s="118"/>
      <c r="L437" s="119"/>
      <c r="M437" s="46"/>
      <c r="N437" s="118"/>
      <c r="O437" s="92"/>
      <c r="P437" s="92"/>
      <c r="Q437" s="46"/>
      <c r="R437" s="46"/>
      <c r="S437" s="123"/>
    </row>
    <row r="438">
      <c r="A438" s="110"/>
      <c r="C438" s="46"/>
      <c r="D438" s="46"/>
      <c r="J438" s="46"/>
      <c r="K438" s="118"/>
      <c r="L438" s="119"/>
      <c r="M438" s="46"/>
      <c r="N438" s="118"/>
      <c r="O438" s="92"/>
      <c r="P438" s="92"/>
      <c r="Q438" s="46"/>
      <c r="R438" s="46"/>
      <c r="S438" s="123"/>
    </row>
    <row r="439">
      <c r="A439" s="110"/>
      <c r="C439" s="46"/>
      <c r="D439" s="46"/>
      <c r="J439" s="46"/>
      <c r="K439" s="118"/>
      <c r="L439" s="119"/>
      <c r="M439" s="46"/>
      <c r="N439" s="118"/>
      <c r="O439" s="92"/>
      <c r="P439" s="92"/>
      <c r="Q439" s="46"/>
      <c r="R439" s="46"/>
      <c r="S439" s="123"/>
    </row>
    <row r="440">
      <c r="A440" s="110"/>
      <c r="C440" s="46"/>
      <c r="D440" s="46"/>
      <c r="J440" s="46"/>
      <c r="K440" s="118"/>
      <c r="L440" s="119"/>
      <c r="M440" s="46"/>
      <c r="N440" s="118"/>
      <c r="O440" s="92"/>
      <c r="P440" s="92"/>
      <c r="Q440" s="46"/>
      <c r="R440" s="46"/>
      <c r="S440" s="123"/>
    </row>
    <row r="441">
      <c r="A441" s="110"/>
      <c r="C441" s="46"/>
      <c r="D441" s="46"/>
      <c r="J441" s="46"/>
      <c r="K441" s="118"/>
      <c r="L441" s="119"/>
      <c r="M441" s="46"/>
      <c r="N441" s="118"/>
      <c r="O441" s="92"/>
      <c r="P441" s="92"/>
      <c r="Q441" s="46"/>
      <c r="R441" s="46"/>
      <c r="S441" s="123"/>
    </row>
    <row r="442">
      <c r="A442" s="110"/>
      <c r="C442" s="46"/>
      <c r="D442" s="46"/>
      <c r="J442" s="46"/>
      <c r="K442" s="118"/>
      <c r="L442" s="119"/>
      <c r="M442" s="46"/>
      <c r="N442" s="118"/>
      <c r="O442" s="92"/>
      <c r="P442" s="92"/>
      <c r="Q442" s="46"/>
      <c r="R442" s="46"/>
      <c r="S442" s="123"/>
    </row>
    <row r="443">
      <c r="A443" s="110"/>
      <c r="C443" s="46"/>
      <c r="D443" s="46"/>
      <c r="J443" s="46"/>
      <c r="K443" s="118"/>
      <c r="L443" s="119"/>
      <c r="M443" s="46"/>
      <c r="N443" s="118"/>
      <c r="O443" s="92"/>
      <c r="P443" s="92"/>
      <c r="Q443" s="46"/>
      <c r="R443" s="46"/>
      <c r="S443" s="123"/>
    </row>
    <row r="444">
      <c r="A444" s="110"/>
      <c r="C444" s="46"/>
      <c r="D444" s="46"/>
      <c r="J444" s="46"/>
      <c r="K444" s="118"/>
      <c r="L444" s="119"/>
      <c r="M444" s="46"/>
      <c r="N444" s="118"/>
      <c r="O444" s="92"/>
      <c r="P444" s="92"/>
      <c r="Q444" s="46"/>
      <c r="R444" s="46"/>
      <c r="S444" s="123"/>
    </row>
    <row r="445">
      <c r="A445" s="110"/>
      <c r="C445" s="46"/>
      <c r="D445" s="46"/>
      <c r="J445" s="46"/>
      <c r="K445" s="118"/>
      <c r="L445" s="119"/>
      <c r="M445" s="46"/>
      <c r="N445" s="118"/>
      <c r="O445" s="92"/>
      <c r="P445" s="92"/>
      <c r="Q445" s="46"/>
      <c r="R445" s="46"/>
      <c r="S445" s="123"/>
    </row>
    <row r="446">
      <c r="A446" s="110"/>
      <c r="C446" s="46"/>
      <c r="D446" s="46"/>
      <c r="J446" s="46"/>
      <c r="K446" s="118"/>
      <c r="L446" s="119"/>
      <c r="M446" s="46"/>
      <c r="N446" s="118"/>
      <c r="O446" s="92"/>
      <c r="P446" s="92"/>
      <c r="Q446" s="46"/>
      <c r="R446" s="46"/>
      <c r="S446" s="123"/>
    </row>
    <row r="447">
      <c r="A447" s="110"/>
      <c r="C447" s="46"/>
      <c r="D447" s="46"/>
      <c r="J447" s="46"/>
      <c r="K447" s="118"/>
      <c r="L447" s="119"/>
      <c r="M447" s="46"/>
      <c r="N447" s="118"/>
      <c r="O447" s="92"/>
      <c r="P447" s="92"/>
      <c r="Q447" s="46"/>
      <c r="R447" s="46"/>
      <c r="S447" s="123"/>
    </row>
    <row r="448">
      <c r="A448" s="110"/>
      <c r="C448" s="46"/>
      <c r="D448" s="46"/>
      <c r="J448" s="46"/>
      <c r="K448" s="118"/>
      <c r="L448" s="119"/>
      <c r="M448" s="46"/>
      <c r="N448" s="118"/>
      <c r="O448" s="92"/>
      <c r="P448" s="92"/>
      <c r="Q448" s="46"/>
      <c r="R448" s="46"/>
      <c r="S448" s="123"/>
    </row>
    <row r="449">
      <c r="A449" s="110"/>
      <c r="C449" s="46"/>
      <c r="D449" s="46"/>
      <c r="J449" s="46"/>
      <c r="K449" s="118"/>
      <c r="L449" s="119"/>
      <c r="M449" s="46"/>
      <c r="N449" s="118"/>
      <c r="O449" s="92"/>
      <c r="P449" s="92"/>
      <c r="Q449" s="46"/>
      <c r="R449" s="46"/>
      <c r="S449" s="123"/>
    </row>
    <row r="450">
      <c r="A450" s="110"/>
      <c r="C450" s="46"/>
      <c r="D450" s="46"/>
      <c r="J450" s="46"/>
      <c r="K450" s="118"/>
      <c r="L450" s="119"/>
      <c r="M450" s="46"/>
      <c r="N450" s="118"/>
      <c r="O450" s="92"/>
      <c r="P450" s="92"/>
      <c r="Q450" s="46"/>
      <c r="R450" s="46"/>
      <c r="S450" s="123"/>
    </row>
    <row r="451">
      <c r="A451" s="110"/>
      <c r="C451" s="46"/>
      <c r="D451" s="46"/>
      <c r="J451" s="46"/>
      <c r="K451" s="118"/>
      <c r="L451" s="119"/>
      <c r="M451" s="46"/>
      <c r="N451" s="118"/>
      <c r="O451" s="92"/>
      <c r="P451" s="92"/>
      <c r="Q451" s="46"/>
      <c r="R451" s="46"/>
      <c r="S451" s="123"/>
    </row>
    <row r="452">
      <c r="A452" s="110"/>
      <c r="C452" s="46"/>
      <c r="D452" s="46"/>
      <c r="J452" s="46"/>
      <c r="K452" s="118"/>
      <c r="L452" s="119"/>
      <c r="M452" s="46"/>
      <c r="N452" s="118"/>
      <c r="O452" s="92"/>
      <c r="P452" s="92"/>
      <c r="Q452" s="46"/>
      <c r="R452" s="46"/>
      <c r="S452" s="123"/>
    </row>
    <row r="453">
      <c r="A453" s="110"/>
      <c r="C453" s="46"/>
      <c r="D453" s="46"/>
      <c r="J453" s="46"/>
      <c r="K453" s="118"/>
      <c r="L453" s="119"/>
      <c r="M453" s="46"/>
      <c r="N453" s="118"/>
      <c r="O453" s="92"/>
      <c r="P453" s="92"/>
      <c r="Q453" s="46"/>
      <c r="R453" s="46"/>
      <c r="S453" s="123"/>
    </row>
    <row r="454">
      <c r="A454" s="110"/>
      <c r="C454" s="46"/>
      <c r="D454" s="46"/>
      <c r="J454" s="46"/>
      <c r="K454" s="118"/>
      <c r="L454" s="119"/>
      <c r="M454" s="46"/>
      <c r="N454" s="118"/>
      <c r="O454" s="92"/>
      <c r="P454" s="92"/>
      <c r="Q454" s="46"/>
      <c r="R454" s="46"/>
      <c r="S454" s="123"/>
    </row>
    <row r="455">
      <c r="A455" s="110"/>
      <c r="C455" s="46"/>
      <c r="D455" s="46"/>
      <c r="J455" s="46"/>
      <c r="K455" s="118"/>
      <c r="L455" s="119"/>
      <c r="M455" s="46"/>
      <c r="N455" s="118"/>
      <c r="O455" s="92"/>
      <c r="P455" s="92"/>
      <c r="Q455" s="46"/>
      <c r="R455" s="46"/>
      <c r="S455" s="123"/>
    </row>
    <row r="456">
      <c r="A456" s="110"/>
      <c r="C456" s="46"/>
      <c r="D456" s="46"/>
      <c r="J456" s="46"/>
      <c r="K456" s="118"/>
      <c r="L456" s="119"/>
      <c r="M456" s="46"/>
      <c r="N456" s="118"/>
      <c r="O456" s="92"/>
      <c r="P456" s="92"/>
      <c r="Q456" s="46"/>
      <c r="R456" s="46"/>
      <c r="S456" s="123"/>
    </row>
    <row r="457">
      <c r="A457" s="110"/>
      <c r="C457" s="46"/>
      <c r="D457" s="46"/>
      <c r="J457" s="46"/>
      <c r="K457" s="118"/>
      <c r="L457" s="119"/>
      <c r="M457" s="46"/>
      <c r="N457" s="118"/>
      <c r="O457" s="92"/>
      <c r="P457" s="92"/>
      <c r="Q457" s="46"/>
      <c r="R457" s="46"/>
      <c r="S457" s="123"/>
    </row>
    <row r="458">
      <c r="A458" s="110"/>
      <c r="C458" s="46"/>
      <c r="D458" s="46"/>
      <c r="J458" s="46"/>
      <c r="K458" s="118"/>
      <c r="L458" s="119"/>
      <c r="M458" s="46"/>
      <c r="N458" s="118"/>
      <c r="O458" s="92"/>
      <c r="P458" s="92"/>
      <c r="Q458" s="46"/>
      <c r="R458" s="46"/>
      <c r="S458" s="123"/>
    </row>
    <row r="459">
      <c r="A459" s="110"/>
      <c r="C459" s="46"/>
      <c r="D459" s="46"/>
      <c r="J459" s="46"/>
      <c r="K459" s="118"/>
      <c r="L459" s="119"/>
      <c r="M459" s="46"/>
      <c r="N459" s="118"/>
      <c r="O459" s="92"/>
      <c r="P459" s="92"/>
      <c r="Q459" s="46"/>
      <c r="R459" s="46"/>
      <c r="S459" s="123"/>
    </row>
    <row r="460">
      <c r="A460" s="110"/>
      <c r="C460" s="46"/>
      <c r="D460" s="46"/>
      <c r="J460" s="46"/>
      <c r="K460" s="118"/>
      <c r="L460" s="119"/>
      <c r="M460" s="46"/>
      <c r="N460" s="118"/>
      <c r="O460" s="92"/>
      <c r="P460" s="92"/>
      <c r="Q460" s="46"/>
      <c r="R460" s="46"/>
      <c r="S460" s="123"/>
    </row>
    <row r="461">
      <c r="A461" s="110"/>
      <c r="C461" s="46"/>
      <c r="D461" s="46"/>
      <c r="J461" s="46"/>
      <c r="K461" s="118"/>
      <c r="L461" s="119"/>
      <c r="M461" s="46"/>
      <c r="N461" s="118"/>
      <c r="O461" s="92"/>
      <c r="P461" s="92"/>
      <c r="Q461" s="46"/>
      <c r="R461" s="46"/>
      <c r="S461" s="123"/>
    </row>
    <row r="462">
      <c r="A462" s="110"/>
      <c r="C462" s="46"/>
      <c r="D462" s="46"/>
      <c r="J462" s="46"/>
      <c r="K462" s="118"/>
      <c r="L462" s="119"/>
      <c r="M462" s="46"/>
      <c r="N462" s="118"/>
      <c r="O462" s="92"/>
      <c r="P462" s="92"/>
      <c r="Q462" s="46"/>
      <c r="R462" s="46"/>
      <c r="S462" s="123"/>
    </row>
    <row r="463">
      <c r="A463" s="110"/>
      <c r="C463" s="46"/>
      <c r="D463" s="46"/>
      <c r="J463" s="46"/>
      <c r="K463" s="118"/>
      <c r="L463" s="119"/>
      <c r="M463" s="46"/>
      <c r="N463" s="118"/>
      <c r="O463" s="92"/>
      <c r="P463" s="92"/>
      <c r="Q463" s="46"/>
      <c r="R463" s="46"/>
      <c r="S463" s="123"/>
    </row>
    <row r="464">
      <c r="A464" s="110"/>
      <c r="C464" s="46"/>
      <c r="D464" s="46"/>
      <c r="J464" s="46"/>
      <c r="K464" s="118"/>
      <c r="L464" s="119"/>
      <c r="M464" s="46"/>
      <c r="N464" s="118"/>
      <c r="O464" s="92"/>
      <c r="P464" s="92"/>
      <c r="Q464" s="46"/>
      <c r="R464" s="46"/>
      <c r="S464" s="123"/>
    </row>
    <row r="465">
      <c r="A465" s="110"/>
      <c r="C465" s="46"/>
      <c r="D465" s="46"/>
      <c r="J465" s="46"/>
      <c r="K465" s="118"/>
      <c r="L465" s="119"/>
      <c r="M465" s="46"/>
      <c r="N465" s="118"/>
      <c r="O465" s="92"/>
      <c r="P465" s="92"/>
      <c r="Q465" s="46"/>
      <c r="R465" s="46"/>
      <c r="S465" s="123"/>
    </row>
    <row r="466">
      <c r="A466" s="110"/>
      <c r="C466" s="46"/>
      <c r="D466" s="46"/>
      <c r="J466" s="46"/>
      <c r="K466" s="118"/>
      <c r="L466" s="119"/>
      <c r="M466" s="46"/>
      <c r="N466" s="118"/>
      <c r="O466" s="92"/>
      <c r="P466" s="92"/>
      <c r="Q466" s="46"/>
      <c r="R466" s="46"/>
      <c r="S466" s="123"/>
    </row>
    <row r="467">
      <c r="A467" s="110"/>
      <c r="C467" s="46"/>
      <c r="D467" s="46"/>
      <c r="J467" s="46"/>
      <c r="K467" s="118"/>
      <c r="L467" s="119"/>
      <c r="M467" s="46"/>
      <c r="N467" s="118"/>
      <c r="O467" s="92"/>
      <c r="P467" s="92"/>
      <c r="Q467" s="46"/>
      <c r="R467" s="46"/>
      <c r="S467" s="123"/>
    </row>
    <row r="468">
      <c r="A468" s="110"/>
      <c r="C468" s="46"/>
      <c r="D468" s="46"/>
      <c r="J468" s="46"/>
      <c r="K468" s="118"/>
      <c r="L468" s="119"/>
      <c r="M468" s="46"/>
      <c r="N468" s="118"/>
      <c r="O468" s="92"/>
      <c r="P468" s="92"/>
      <c r="Q468" s="46"/>
      <c r="R468" s="46"/>
      <c r="S468" s="123"/>
    </row>
    <row r="469">
      <c r="A469" s="110"/>
      <c r="C469" s="46"/>
      <c r="D469" s="46"/>
      <c r="J469" s="46"/>
      <c r="K469" s="118"/>
      <c r="L469" s="119"/>
      <c r="M469" s="46"/>
      <c r="N469" s="118"/>
      <c r="O469" s="92"/>
      <c r="P469" s="92"/>
      <c r="Q469" s="46"/>
      <c r="R469" s="46"/>
      <c r="S469" s="123"/>
    </row>
    <row r="470">
      <c r="A470" s="110"/>
      <c r="C470" s="46"/>
      <c r="D470" s="46"/>
      <c r="J470" s="46"/>
      <c r="K470" s="118"/>
      <c r="L470" s="119"/>
      <c r="M470" s="46"/>
      <c r="N470" s="118"/>
      <c r="O470" s="92"/>
      <c r="P470" s="92"/>
      <c r="Q470" s="46"/>
      <c r="R470" s="46"/>
      <c r="S470" s="123"/>
    </row>
    <row r="471">
      <c r="A471" s="110"/>
      <c r="C471" s="46"/>
      <c r="D471" s="46"/>
      <c r="J471" s="46"/>
      <c r="K471" s="118"/>
      <c r="L471" s="119"/>
      <c r="M471" s="46"/>
      <c r="N471" s="118"/>
      <c r="O471" s="92"/>
      <c r="P471" s="92"/>
      <c r="Q471" s="46"/>
      <c r="R471" s="46"/>
      <c r="S471" s="123"/>
    </row>
    <row r="472">
      <c r="A472" s="110"/>
      <c r="C472" s="46"/>
      <c r="D472" s="46"/>
      <c r="J472" s="46"/>
      <c r="K472" s="118"/>
      <c r="L472" s="119"/>
      <c r="M472" s="46"/>
      <c r="N472" s="118"/>
      <c r="O472" s="92"/>
      <c r="P472" s="92"/>
      <c r="Q472" s="46"/>
      <c r="R472" s="46"/>
      <c r="S472" s="123"/>
    </row>
    <row r="473">
      <c r="A473" s="110"/>
      <c r="C473" s="46"/>
      <c r="D473" s="46"/>
      <c r="J473" s="46"/>
      <c r="K473" s="118"/>
      <c r="L473" s="119"/>
      <c r="M473" s="46"/>
      <c r="N473" s="118"/>
      <c r="O473" s="92"/>
      <c r="P473" s="92"/>
      <c r="Q473" s="46"/>
      <c r="R473" s="46"/>
      <c r="S473" s="123"/>
    </row>
    <row r="474">
      <c r="A474" s="110"/>
      <c r="C474" s="46"/>
      <c r="D474" s="46"/>
      <c r="J474" s="46"/>
      <c r="K474" s="118"/>
      <c r="L474" s="119"/>
      <c r="M474" s="46"/>
      <c r="N474" s="118"/>
      <c r="O474" s="92"/>
      <c r="P474" s="92"/>
      <c r="Q474" s="46"/>
      <c r="R474" s="46"/>
      <c r="S474" s="123"/>
    </row>
    <row r="475">
      <c r="A475" s="110"/>
      <c r="C475" s="46"/>
      <c r="D475" s="46"/>
      <c r="J475" s="46"/>
      <c r="K475" s="118"/>
      <c r="L475" s="119"/>
      <c r="M475" s="46"/>
      <c r="N475" s="118"/>
      <c r="O475" s="92"/>
      <c r="P475" s="92"/>
      <c r="Q475" s="46"/>
      <c r="R475" s="46"/>
      <c r="S475" s="123"/>
    </row>
    <row r="476">
      <c r="A476" s="110"/>
      <c r="C476" s="46"/>
      <c r="D476" s="46"/>
      <c r="J476" s="46"/>
      <c r="K476" s="118"/>
      <c r="L476" s="119"/>
      <c r="M476" s="46"/>
      <c r="N476" s="118"/>
      <c r="O476" s="92"/>
      <c r="P476" s="92"/>
      <c r="Q476" s="46"/>
      <c r="R476" s="46"/>
      <c r="S476" s="123"/>
    </row>
    <row r="477">
      <c r="A477" s="110"/>
      <c r="C477" s="46"/>
      <c r="D477" s="46"/>
      <c r="J477" s="46"/>
      <c r="K477" s="118"/>
      <c r="L477" s="119"/>
      <c r="M477" s="46"/>
      <c r="N477" s="118"/>
      <c r="O477" s="92"/>
      <c r="P477" s="92"/>
      <c r="Q477" s="46"/>
      <c r="R477" s="46"/>
      <c r="S477" s="123"/>
    </row>
    <row r="478">
      <c r="A478" s="110"/>
      <c r="C478" s="46"/>
      <c r="D478" s="46"/>
      <c r="J478" s="46"/>
      <c r="K478" s="118"/>
      <c r="L478" s="119"/>
      <c r="M478" s="46"/>
      <c r="N478" s="118"/>
      <c r="O478" s="92"/>
      <c r="P478" s="92"/>
      <c r="Q478" s="46"/>
      <c r="R478" s="46"/>
      <c r="S478" s="123"/>
    </row>
    <row r="479">
      <c r="A479" s="110"/>
      <c r="C479" s="46"/>
      <c r="D479" s="46"/>
      <c r="J479" s="46"/>
      <c r="K479" s="118"/>
      <c r="L479" s="119"/>
      <c r="M479" s="46"/>
      <c r="N479" s="118"/>
      <c r="O479" s="92"/>
      <c r="P479" s="92"/>
      <c r="Q479" s="46"/>
      <c r="R479" s="46"/>
      <c r="S479" s="123"/>
    </row>
    <row r="480">
      <c r="A480" s="110"/>
      <c r="C480" s="46"/>
      <c r="D480" s="46"/>
      <c r="J480" s="46"/>
      <c r="K480" s="118"/>
      <c r="L480" s="119"/>
      <c r="M480" s="46"/>
      <c r="N480" s="118"/>
      <c r="O480" s="92"/>
      <c r="P480" s="92"/>
      <c r="Q480" s="46"/>
      <c r="R480" s="46"/>
      <c r="S480" s="123"/>
    </row>
    <row r="481">
      <c r="A481" s="110"/>
      <c r="C481" s="46"/>
      <c r="D481" s="46"/>
      <c r="J481" s="46"/>
      <c r="K481" s="118"/>
      <c r="L481" s="119"/>
      <c r="M481" s="46"/>
      <c r="N481" s="118"/>
      <c r="O481" s="92"/>
      <c r="P481" s="92"/>
      <c r="Q481" s="46"/>
      <c r="R481" s="46"/>
      <c r="S481" s="123"/>
    </row>
    <row r="482">
      <c r="A482" s="110"/>
      <c r="C482" s="46"/>
      <c r="D482" s="46"/>
      <c r="J482" s="46"/>
      <c r="K482" s="118"/>
      <c r="L482" s="119"/>
      <c r="M482" s="46"/>
      <c r="N482" s="118"/>
      <c r="O482" s="92"/>
      <c r="P482" s="92"/>
      <c r="Q482" s="46"/>
      <c r="R482" s="46"/>
      <c r="S482" s="123"/>
    </row>
    <row r="483">
      <c r="A483" s="110"/>
      <c r="C483" s="46"/>
      <c r="D483" s="46"/>
      <c r="J483" s="46"/>
      <c r="K483" s="118"/>
      <c r="L483" s="119"/>
      <c r="M483" s="46"/>
      <c r="N483" s="118"/>
      <c r="O483" s="92"/>
      <c r="P483" s="92"/>
      <c r="Q483" s="46"/>
      <c r="R483" s="46"/>
      <c r="S483" s="123"/>
    </row>
    <row r="484">
      <c r="A484" s="110"/>
      <c r="C484" s="46"/>
      <c r="D484" s="46"/>
      <c r="J484" s="46"/>
      <c r="K484" s="118"/>
      <c r="L484" s="119"/>
      <c r="M484" s="46"/>
      <c r="N484" s="118"/>
      <c r="O484" s="92"/>
      <c r="P484" s="92"/>
      <c r="Q484" s="46"/>
      <c r="R484" s="46"/>
      <c r="S484" s="123"/>
    </row>
    <row r="485">
      <c r="A485" s="110"/>
      <c r="C485" s="46"/>
      <c r="D485" s="46"/>
      <c r="J485" s="46"/>
      <c r="K485" s="118"/>
      <c r="L485" s="119"/>
      <c r="M485" s="46"/>
      <c r="N485" s="118"/>
      <c r="O485" s="92"/>
      <c r="P485" s="92"/>
      <c r="Q485" s="46"/>
      <c r="R485" s="46"/>
      <c r="S485" s="123"/>
    </row>
    <row r="486">
      <c r="A486" s="110"/>
      <c r="C486" s="46"/>
      <c r="D486" s="46"/>
      <c r="J486" s="46"/>
      <c r="K486" s="118"/>
      <c r="L486" s="119"/>
      <c r="M486" s="46"/>
      <c r="N486" s="118"/>
      <c r="O486" s="92"/>
      <c r="P486" s="92"/>
      <c r="Q486" s="46"/>
      <c r="R486" s="46"/>
      <c r="S486" s="123"/>
    </row>
    <row r="487">
      <c r="A487" s="110"/>
      <c r="C487" s="46"/>
      <c r="D487" s="46"/>
      <c r="J487" s="46"/>
      <c r="K487" s="118"/>
      <c r="L487" s="119"/>
      <c r="M487" s="46"/>
      <c r="N487" s="118"/>
      <c r="O487" s="92"/>
      <c r="P487" s="92"/>
      <c r="Q487" s="46"/>
      <c r="R487" s="46"/>
      <c r="S487" s="123"/>
    </row>
    <row r="488">
      <c r="A488" s="110"/>
      <c r="C488" s="46"/>
      <c r="D488" s="46"/>
      <c r="J488" s="46"/>
      <c r="K488" s="118"/>
      <c r="L488" s="119"/>
      <c r="M488" s="46"/>
      <c r="N488" s="118"/>
      <c r="O488" s="92"/>
      <c r="P488" s="92"/>
      <c r="Q488" s="46"/>
      <c r="R488" s="46"/>
      <c r="S488" s="123"/>
    </row>
    <row r="489">
      <c r="A489" s="110"/>
      <c r="C489" s="46"/>
      <c r="D489" s="46"/>
      <c r="J489" s="46"/>
      <c r="K489" s="118"/>
      <c r="L489" s="119"/>
      <c r="M489" s="46"/>
      <c r="N489" s="118"/>
      <c r="O489" s="92"/>
      <c r="P489" s="92"/>
      <c r="Q489" s="46"/>
      <c r="R489" s="46"/>
      <c r="S489" s="123"/>
    </row>
    <row r="490">
      <c r="A490" s="110"/>
      <c r="C490" s="46"/>
      <c r="D490" s="46"/>
      <c r="J490" s="46"/>
      <c r="K490" s="118"/>
      <c r="L490" s="119"/>
      <c r="M490" s="46"/>
      <c r="N490" s="118"/>
      <c r="O490" s="92"/>
      <c r="P490" s="92"/>
      <c r="Q490" s="46"/>
      <c r="R490" s="46"/>
      <c r="S490" s="123"/>
    </row>
    <row r="491">
      <c r="A491" s="110"/>
      <c r="C491" s="46"/>
      <c r="D491" s="46"/>
      <c r="J491" s="46"/>
      <c r="K491" s="118"/>
      <c r="L491" s="119"/>
      <c r="M491" s="46"/>
      <c r="N491" s="118"/>
      <c r="O491" s="92"/>
      <c r="P491" s="92"/>
      <c r="Q491" s="46"/>
      <c r="R491" s="46"/>
      <c r="S491" s="123"/>
    </row>
    <row r="492">
      <c r="A492" s="110"/>
      <c r="C492" s="46"/>
      <c r="D492" s="46"/>
      <c r="J492" s="46"/>
      <c r="K492" s="118"/>
      <c r="L492" s="119"/>
      <c r="M492" s="46"/>
      <c r="N492" s="118"/>
      <c r="O492" s="92"/>
      <c r="P492" s="92"/>
      <c r="Q492" s="46"/>
      <c r="R492" s="46"/>
      <c r="S492" s="123"/>
    </row>
    <row r="493">
      <c r="A493" s="110"/>
      <c r="C493" s="46"/>
      <c r="D493" s="46"/>
      <c r="J493" s="46"/>
      <c r="K493" s="118"/>
      <c r="L493" s="119"/>
      <c r="M493" s="46"/>
      <c r="N493" s="118"/>
      <c r="O493" s="92"/>
      <c r="P493" s="92"/>
      <c r="Q493" s="46"/>
      <c r="R493" s="46"/>
      <c r="S493" s="123"/>
    </row>
    <row r="494">
      <c r="A494" s="110"/>
      <c r="C494" s="46"/>
      <c r="D494" s="46"/>
      <c r="J494" s="46"/>
      <c r="K494" s="118"/>
      <c r="L494" s="119"/>
      <c r="M494" s="46"/>
      <c r="N494" s="118"/>
      <c r="O494" s="92"/>
      <c r="P494" s="92"/>
      <c r="Q494" s="46"/>
      <c r="R494" s="46"/>
      <c r="S494" s="123"/>
    </row>
    <row r="495">
      <c r="A495" s="110"/>
      <c r="C495" s="46"/>
      <c r="D495" s="46"/>
      <c r="J495" s="46"/>
      <c r="K495" s="118"/>
      <c r="L495" s="119"/>
      <c r="M495" s="46"/>
      <c r="N495" s="118"/>
      <c r="O495" s="92"/>
      <c r="P495" s="92"/>
      <c r="Q495" s="46"/>
      <c r="R495" s="46"/>
      <c r="S495" s="123"/>
    </row>
    <row r="496">
      <c r="A496" s="110"/>
      <c r="C496" s="46"/>
      <c r="D496" s="46"/>
      <c r="J496" s="46"/>
      <c r="K496" s="118"/>
      <c r="L496" s="119"/>
      <c r="M496" s="46"/>
      <c r="N496" s="118"/>
      <c r="O496" s="92"/>
      <c r="P496" s="92"/>
      <c r="Q496" s="46"/>
      <c r="R496" s="46"/>
      <c r="S496" s="123"/>
    </row>
    <row r="497">
      <c r="A497" s="110"/>
      <c r="C497" s="46"/>
      <c r="D497" s="46"/>
      <c r="J497" s="46"/>
      <c r="K497" s="118"/>
      <c r="L497" s="119"/>
      <c r="M497" s="46"/>
      <c r="N497" s="118"/>
      <c r="O497" s="92"/>
      <c r="P497" s="92"/>
      <c r="Q497" s="46"/>
      <c r="R497" s="46"/>
      <c r="S497" s="123"/>
    </row>
    <row r="498">
      <c r="A498" s="110"/>
      <c r="C498" s="46"/>
      <c r="D498" s="46"/>
      <c r="J498" s="46"/>
      <c r="K498" s="118"/>
      <c r="L498" s="119"/>
      <c r="M498" s="46"/>
      <c r="N498" s="118"/>
      <c r="O498" s="92"/>
      <c r="P498" s="92"/>
      <c r="Q498" s="46"/>
      <c r="R498" s="46"/>
      <c r="S498" s="123"/>
    </row>
    <row r="499">
      <c r="A499" s="110"/>
      <c r="C499" s="46"/>
      <c r="D499" s="46"/>
      <c r="J499" s="46"/>
      <c r="K499" s="118"/>
      <c r="L499" s="119"/>
      <c r="M499" s="46"/>
      <c r="N499" s="118"/>
      <c r="O499" s="92"/>
      <c r="P499" s="92"/>
      <c r="Q499" s="46"/>
      <c r="R499" s="46"/>
      <c r="S499" s="123"/>
    </row>
    <row r="500">
      <c r="A500" s="110"/>
      <c r="C500" s="46"/>
      <c r="D500" s="46"/>
      <c r="J500" s="46"/>
      <c r="K500" s="118"/>
      <c r="L500" s="119"/>
      <c r="M500" s="46"/>
      <c r="N500" s="118"/>
      <c r="O500" s="92"/>
      <c r="P500" s="92"/>
      <c r="Q500" s="46"/>
      <c r="R500" s="46"/>
      <c r="S500" s="123"/>
    </row>
    <row r="501">
      <c r="A501" s="110"/>
      <c r="C501" s="46"/>
      <c r="D501" s="46"/>
      <c r="J501" s="46"/>
      <c r="K501" s="118"/>
      <c r="L501" s="119"/>
      <c r="M501" s="46"/>
      <c r="N501" s="118"/>
      <c r="O501" s="92"/>
      <c r="P501" s="92"/>
      <c r="Q501" s="46"/>
      <c r="R501" s="46"/>
      <c r="S501" s="123"/>
    </row>
    <row r="502">
      <c r="A502" s="110"/>
      <c r="C502" s="46"/>
      <c r="D502" s="46"/>
      <c r="J502" s="46"/>
      <c r="K502" s="118"/>
      <c r="L502" s="119"/>
      <c r="M502" s="46"/>
      <c r="N502" s="118"/>
      <c r="O502" s="92"/>
      <c r="P502" s="92"/>
      <c r="Q502" s="46"/>
      <c r="R502" s="46"/>
      <c r="S502" s="123"/>
    </row>
    <row r="503">
      <c r="A503" s="110"/>
      <c r="C503" s="46"/>
      <c r="D503" s="46"/>
      <c r="J503" s="46"/>
      <c r="K503" s="118"/>
      <c r="L503" s="119"/>
      <c r="M503" s="46"/>
      <c r="N503" s="118"/>
      <c r="O503" s="92"/>
      <c r="P503" s="92"/>
      <c r="Q503" s="46"/>
      <c r="R503" s="46"/>
      <c r="S503" s="123"/>
    </row>
    <row r="504">
      <c r="A504" s="110"/>
      <c r="C504" s="46"/>
      <c r="D504" s="46"/>
      <c r="J504" s="46"/>
      <c r="K504" s="118"/>
      <c r="L504" s="119"/>
      <c r="M504" s="46"/>
      <c r="N504" s="118"/>
      <c r="O504" s="92"/>
      <c r="P504" s="92"/>
      <c r="Q504" s="46"/>
      <c r="R504" s="46"/>
      <c r="S504" s="123"/>
    </row>
    <row r="505">
      <c r="A505" s="110"/>
      <c r="C505" s="46"/>
      <c r="D505" s="46"/>
      <c r="J505" s="46"/>
      <c r="K505" s="118"/>
      <c r="L505" s="119"/>
      <c r="M505" s="46"/>
      <c r="N505" s="118"/>
      <c r="O505" s="92"/>
      <c r="P505" s="92"/>
      <c r="Q505" s="46"/>
      <c r="R505" s="46"/>
      <c r="S505" s="123"/>
    </row>
    <row r="506">
      <c r="A506" s="110"/>
      <c r="C506" s="46"/>
      <c r="D506" s="46"/>
      <c r="J506" s="46"/>
      <c r="K506" s="118"/>
      <c r="L506" s="119"/>
      <c r="M506" s="46"/>
      <c r="N506" s="118"/>
      <c r="O506" s="92"/>
      <c r="P506" s="92"/>
      <c r="Q506" s="46"/>
      <c r="R506" s="46"/>
      <c r="S506" s="123"/>
    </row>
    <row r="507">
      <c r="A507" s="110"/>
      <c r="C507" s="46"/>
      <c r="D507" s="46"/>
      <c r="J507" s="46"/>
      <c r="K507" s="118"/>
      <c r="L507" s="119"/>
      <c r="M507" s="46"/>
      <c r="N507" s="118"/>
      <c r="O507" s="92"/>
      <c r="P507" s="92"/>
      <c r="Q507" s="46"/>
      <c r="R507" s="46"/>
      <c r="S507" s="123"/>
    </row>
    <row r="508">
      <c r="A508" s="110"/>
      <c r="C508" s="46"/>
      <c r="D508" s="46"/>
      <c r="J508" s="46"/>
      <c r="K508" s="118"/>
      <c r="L508" s="119"/>
      <c r="M508" s="46"/>
      <c r="N508" s="118"/>
      <c r="O508" s="92"/>
      <c r="P508" s="92"/>
      <c r="Q508" s="46"/>
      <c r="R508" s="46"/>
      <c r="S508" s="123"/>
    </row>
    <row r="509">
      <c r="A509" s="110"/>
      <c r="C509" s="46"/>
      <c r="D509" s="46"/>
      <c r="J509" s="46"/>
      <c r="K509" s="118"/>
      <c r="L509" s="119"/>
      <c r="M509" s="46"/>
      <c r="N509" s="118"/>
      <c r="O509" s="92"/>
      <c r="P509" s="92"/>
      <c r="Q509" s="46"/>
      <c r="R509" s="46"/>
      <c r="S509" s="123"/>
    </row>
    <row r="510">
      <c r="A510" s="110"/>
      <c r="C510" s="46"/>
      <c r="D510" s="46"/>
      <c r="J510" s="46"/>
      <c r="K510" s="118"/>
      <c r="L510" s="119"/>
      <c r="M510" s="46"/>
      <c r="N510" s="118"/>
      <c r="O510" s="92"/>
      <c r="P510" s="92"/>
      <c r="Q510" s="46"/>
      <c r="R510" s="46"/>
      <c r="S510" s="123"/>
    </row>
    <row r="511">
      <c r="A511" s="110"/>
      <c r="C511" s="46"/>
      <c r="D511" s="46"/>
      <c r="J511" s="46"/>
      <c r="K511" s="118"/>
      <c r="L511" s="119"/>
      <c r="M511" s="46"/>
      <c r="N511" s="118"/>
      <c r="O511" s="92"/>
      <c r="P511" s="92"/>
      <c r="Q511" s="46"/>
      <c r="R511" s="46"/>
      <c r="S511" s="123"/>
    </row>
    <row r="512">
      <c r="A512" s="110"/>
      <c r="C512" s="46"/>
      <c r="D512" s="46"/>
      <c r="J512" s="46"/>
      <c r="K512" s="118"/>
      <c r="L512" s="119"/>
      <c r="M512" s="46"/>
      <c r="N512" s="118"/>
      <c r="O512" s="92"/>
      <c r="P512" s="92"/>
      <c r="Q512" s="46"/>
      <c r="R512" s="46"/>
      <c r="S512" s="123"/>
    </row>
    <row r="513">
      <c r="A513" s="110"/>
      <c r="C513" s="46"/>
      <c r="D513" s="46"/>
      <c r="J513" s="46"/>
      <c r="K513" s="118"/>
      <c r="L513" s="119"/>
      <c r="M513" s="46"/>
      <c r="N513" s="118"/>
      <c r="O513" s="92"/>
      <c r="P513" s="92"/>
      <c r="Q513" s="46"/>
      <c r="R513" s="46"/>
      <c r="S513" s="123"/>
    </row>
    <row r="514">
      <c r="A514" s="110"/>
      <c r="C514" s="46"/>
      <c r="D514" s="46"/>
      <c r="J514" s="46"/>
      <c r="K514" s="118"/>
      <c r="L514" s="119"/>
      <c r="M514" s="46"/>
      <c r="N514" s="118"/>
      <c r="O514" s="92"/>
      <c r="P514" s="92"/>
      <c r="Q514" s="46"/>
      <c r="R514" s="46"/>
      <c r="S514" s="123"/>
    </row>
    <row r="515">
      <c r="A515" s="110"/>
      <c r="C515" s="46"/>
      <c r="D515" s="46"/>
      <c r="J515" s="46"/>
      <c r="K515" s="118"/>
      <c r="L515" s="119"/>
      <c r="M515" s="46"/>
      <c r="N515" s="118"/>
      <c r="O515" s="92"/>
      <c r="P515" s="92"/>
      <c r="Q515" s="46"/>
      <c r="R515" s="46"/>
      <c r="S515" s="123"/>
    </row>
    <row r="516">
      <c r="A516" s="110"/>
      <c r="C516" s="46"/>
      <c r="D516" s="46"/>
      <c r="J516" s="46"/>
      <c r="K516" s="118"/>
      <c r="L516" s="119"/>
      <c r="M516" s="46"/>
      <c r="N516" s="118"/>
      <c r="O516" s="92"/>
      <c r="P516" s="92"/>
      <c r="Q516" s="46"/>
      <c r="R516" s="46"/>
      <c r="S516" s="123"/>
    </row>
    <row r="517">
      <c r="A517" s="110"/>
      <c r="C517" s="46"/>
      <c r="D517" s="46"/>
      <c r="J517" s="46"/>
      <c r="K517" s="118"/>
      <c r="L517" s="119"/>
      <c r="M517" s="46"/>
      <c r="N517" s="118"/>
      <c r="O517" s="92"/>
      <c r="P517" s="92"/>
      <c r="Q517" s="46"/>
      <c r="R517" s="46"/>
      <c r="S517" s="123"/>
    </row>
    <row r="518">
      <c r="A518" s="110"/>
      <c r="C518" s="46"/>
      <c r="D518" s="46"/>
      <c r="J518" s="46"/>
      <c r="K518" s="118"/>
      <c r="L518" s="119"/>
      <c r="M518" s="46"/>
      <c r="N518" s="118"/>
      <c r="O518" s="92"/>
      <c r="P518" s="92"/>
      <c r="Q518" s="46"/>
      <c r="R518" s="46"/>
      <c r="S518" s="123"/>
    </row>
    <row r="519">
      <c r="A519" s="110"/>
      <c r="C519" s="46"/>
      <c r="D519" s="46"/>
      <c r="J519" s="46"/>
      <c r="K519" s="118"/>
      <c r="L519" s="119"/>
      <c r="M519" s="46"/>
      <c r="N519" s="118"/>
      <c r="O519" s="92"/>
      <c r="P519" s="92"/>
      <c r="Q519" s="46"/>
      <c r="R519" s="46"/>
      <c r="S519" s="123"/>
    </row>
    <row r="520">
      <c r="A520" s="110"/>
      <c r="C520" s="46"/>
      <c r="D520" s="46"/>
      <c r="J520" s="46"/>
      <c r="K520" s="118"/>
      <c r="L520" s="119"/>
      <c r="M520" s="46"/>
      <c r="N520" s="118"/>
      <c r="O520" s="92"/>
      <c r="P520" s="92"/>
      <c r="Q520" s="46"/>
      <c r="R520" s="46"/>
      <c r="S520" s="123"/>
    </row>
    <row r="521">
      <c r="A521" s="110"/>
      <c r="C521" s="46"/>
      <c r="D521" s="46"/>
      <c r="J521" s="46"/>
      <c r="K521" s="118"/>
      <c r="L521" s="119"/>
      <c r="M521" s="46"/>
      <c r="N521" s="118"/>
      <c r="O521" s="92"/>
      <c r="P521" s="92"/>
      <c r="Q521" s="46"/>
      <c r="R521" s="46"/>
      <c r="S521" s="123"/>
    </row>
    <row r="522">
      <c r="A522" s="110"/>
      <c r="C522" s="46"/>
      <c r="D522" s="46"/>
      <c r="J522" s="46"/>
      <c r="K522" s="118"/>
      <c r="L522" s="119"/>
      <c r="M522" s="46"/>
      <c r="N522" s="118"/>
      <c r="O522" s="92"/>
      <c r="P522" s="92"/>
      <c r="Q522" s="46"/>
      <c r="R522" s="46"/>
      <c r="S522" s="123"/>
    </row>
    <row r="523">
      <c r="A523" s="110"/>
      <c r="C523" s="46"/>
      <c r="D523" s="46"/>
      <c r="J523" s="46"/>
      <c r="K523" s="118"/>
      <c r="L523" s="119"/>
      <c r="M523" s="46"/>
      <c r="N523" s="118"/>
      <c r="O523" s="92"/>
      <c r="P523" s="92"/>
      <c r="Q523" s="46"/>
      <c r="R523" s="46"/>
      <c r="S523" s="123"/>
    </row>
    <row r="524">
      <c r="A524" s="110"/>
      <c r="C524" s="46"/>
      <c r="D524" s="46"/>
      <c r="J524" s="46"/>
      <c r="K524" s="118"/>
      <c r="L524" s="119"/>
      <c r="M524" s="46"/>
      <c r="N524" s="118"/>
      <c r="O524" s="92"/>
      <c r="P524" s="92"/>
      <c r="Q524" s="46"/>
      <c r="R524" s="46"/>
      <c r="S524" s="123"/>
    </row>
    <row r="525">
      <c r="A525" s="110"/>
      <c r="C525" s="46"/>
      <c r="D525" s="46"/>
      <c r="J525" s="46"/>
      <c r="K525" s="118"/>
      <c r="L525" s="119"/>
      <c r="M525" s="46"/>
      <c r="N525" s="118"/>
      <c r="O525" s="92"/>
      <c r="P525" s="92"/>
      <c r="Q525" s="46"/>
      <c r="R525" s="46"/>
      <c r="S525" s="123"/>
    </row>
    <row r="526">
      <c r="A526" s="110"/>
      <c r="C526" s="46"/>
      <c r="D526" s="46"/>
      <c r="J526" s="46"/>
      <c r="K526" s="118"/>
      <c r="L526" s="119"/>
      <c r="M526" s="46"/>
      <c r="N526" s="118"/>
      <c r="O526" s="92"/>
      <c r="P526" s="92"/>
      <c r="Q526" s="46"/>
      <c r="R526" s="46"/>
      <c r="S526" s="123"/>
    </row>
    <row r="527">
      <c r="A527" s="110"/>
      <c r="C527" s="46"/>
      <c r="D527" s="46"/>
      <c r="J527" s="46"/>
      <c r="K527" s="118"/>
      <c r="L527" s="119"/>
      <c r="M527" s="46"/>
      <c r="N527" s="118"/>
      <c r="O527" s="92"/>
      <c r="P527" s="92"/>
      <c r="Q527" s="46"/>
      <c r="R527" s="46"/>
      <c r="S527" s="123"/>
    </row>
    <row r="528">
      <c r="A528" s="110"/>
      <c r="C528" s="46"/>
      <c r="D528" s="46"/>
      <c r="J528" s="46"/>
      <c r="K528" s="118"/>
      <c r="L528" s="119"/>
      <c r="M528" s="46"/>
      <c r="N528" s="118"/>
      <c r="O528" s="92"/>
      <c r="P528" s="92"/>
      <c r="Q528" s="46"/>
      <c r="R528" s="46"/>
      <c r="S528" s="123"/>
    </row>
    <row r="529">
      <c r="A529" s="110"/>
      <c r="C529" s="46"/>
      <c r="D529" s="46"/>
      <c r="J529" s="46"/>
      <c r="K529" s="118"/>
      <c r="L529" s="119"/>
      <c r="M529" s="46"/>
      <c r="N529" s="118"/>
      <c r="O529" s="92"/>
      <c r="P529" s="92"/>
      <c r="Q529" s="46"/>
      <c r="R529" s="46"/>
      <c r="S529" s="123"/>
    </row>
    <row r="530">
      <c r="A530" s="110"/>
      <c r="C530" s="46"/>
      <c r="D530" s="46"/>
      <c r="J530" s="46"/>
      <c r="K530" s="118"/>
      <c r="L530" s="119"/>
      <c r="M530" s="46"/>
      <c r="N530" s="118"/>
      <c r="O530" s="92"/>
      <c r="P530" s="92"/>
      <c r="Q530" s="46"/>
      <c r="R530" s="46"/>
      <c r="S530" s="123"/>
    </row>
    <row r="531">
      <c r="A531" s="110"/>
      <c r="C531" s="46"/>
      <c r="D531" s="46"/>
      <c r="J531" s="46"/>
      <c r="K531" s="118"/>
      <c r="L531" s="119"/>
      <c r="M531" s="46"/>
      <c r="N531" s="118"/>
      <c r="O531" s="92"/>
      <c r="P531" s="92"/>
      <c r="Q531" s="46"/>
      <c r="R531" s="46"/>
      <c r="S531" s="123"/>
    </row>
    <row r="532">
      <c r="A532" s="110"/>
      <c r="C532" s="46"/>
      <c r="D532" s="46"/>
      <c r="J532" s="46"/>
      <c r="K532" s="118"/>
      <c r="L532" s="119"/>
      <c r="M532" s="46"/>
      <c r="N532" s="118"/>
      <c r="O532" s="92"/>
      <c r="P532" s="92"/>
      <c r="Q532" s="46"/>
      <c r="R532" s="46"/>
      <c r="S532" s="123"/>
    </row>
    <row r="533">
      <c r="A533" s="110"/>
      <c r="C533" s="46"/>
      <c r="D533" s="46"/>
      <c r="J533" s="46"/>
      <c r="K533" s="118"/>
      <c r="L533" s="119"/>
      <c r="M533" s="46"/>
      <c r="N533" s="118"/>
      <c r="O533" s="92"/>
      <c r="P533" s="92"/>
      <c r="Q533" s="46"/>
      <c r="R533" s="46"/>
      <c r="S533" s="123"/>
    </row>
    <row r="534">
      <c r="A534" s="110"/>
      <c r="C534" s="46"/>
      <c r="D534" s="46"/>
      <c r="J534" s="46"/>
      <c r="K534" s="118"/>
      <c r="L534" s="119"/>
      <c r="M534" s="46"/>
      <c r="N534" s="118"/>
      <c r="O534" s="92"/>
      <c r="P534" s="92"/>
      <c r="Q534" s="46"/>
      <c r="R534" s="46"/>
      <c r="S534" s="123"/>
    </row>
    <row r="535">
      <c r="A535" s="110"/>
      <c r="C535" s="46"/>
      <c r="D535" s="46"/>
      <c r="J535" s="46"/>
      <c r="K535" s="118"/>
      <c r="L535" s="119"/>
      <c r="M535" s="46"/>
      <c r="N535" s="118"/>
      <c r="O535" s="92"/>
      <c r="P535" s="92"/>
      <c r="Q535" s="46"/>
      <c r="R535" s="46"/>
      <c r="S535" s="123"/>
    </row>
    <row r="536">
      <c r="A536" s="110"/>
      <c r="C536" s="46"/>
      <c r="D536" s="46"/>
      <c r="J536" s="46"/>
      <c r="K536" s="118"/>
      <c r="L536" s="119"/>
      <c r="M536" s="46"/>
      <c r="N536" s="118"/>
      <c r="O536" s="92"/>
      <c r="P536" s="92"/>
      <c r="Q536" s="46"/>
      <c r="R536" s="46"/>
      <c r="S536" s="123"/>
    </row>
    <row r="537">
      <c r="A537" s="110"/>
      <c r="C537" s="46"/>
      <c r="D537" s="46"/>
      <c r="J537" s="46"/>
      <c r="K537" s="118"/>
      <c r="L537" s="119"/>
      <c r="M537" s="46"/>
      <c r="N537" s="118"/>
      <c r="O537" s="92"/>
      <c r="P537" s="92"/>
      <c r="Q537" s="46"/>
      <c r="R537" s="46"/>
      <c r="S537" s="123"/>
    </row>
    <row r="538">
      <c r="A538" s="110"/>
      <c r="C538" s="46"/>
      <c r="D538" s="46"/>
      <c r="J538" s="46"/>
      <c r="K538" s="118"/>
      <c r="L538" s="119"/>
      <c r="M538" s="46"/>
      <c r="N538" s="118"/>
      <c r="O538" s="92"/>
      <c r="P538" s="92"/>
      <c r="Q538" s="46"/>
      <c r="R538" s="46"/>
      <c r="S538" s="123"/>
    </row>
    <row r="539">
      <c r="A539" s="110"/>
      <c r="C539" s="46"/>
      <c r="D539" s="46"/>
      <c r="J539" s="46"/>
      <c r="K539" s="118"/>
      <c r="L539" s="119"/>
      <c r="M539" s="46"/>
      <c r="N539" s="118"/>
      <c r="O539" s="92"/>
      <c r="P539" s="92"/>
      <c r="Q539" s="46"/>
      <c r="R539" s="46"/>
      <c r="S539" s="123"/>
    </row>
    <row r="540">
      <c r="A540" s="110"/>
      <c r="C540" s="46"/>
      <c r="D540" s="46"/>
      <c r="J540" s="46"/>
      <c r="K540" s="118"/>
      <c r="L540" s="119"/>
      <c r="M540" s="46"/>
      <c r="N540" s="118"/>
      <c r="O540" s="92"/>
      <c r="P540" s="92"/>
      <c r="Q540" s="46"/>
      <c r="R540" s="46"/>
      <c r="S540" s="123"/>
    </row>
    <row r="541">
      <c r="A541" s="110"/>
      <c r="C541" s="46"/>
      <c r="D541" s="46"/>
      <c r="J541" s="46"/>
      <c r="K541" s="118"/>
      <c r="L541" s="119"/>
      <c r="M541" s="46"/>
      <c r="N541" s="118"/>
      <c r="O541" s="92"/>
      <c r="P541" s="92"/>
      <c r="Q541" s="46"/>
      <c r="R541" s="46"/>
      <c r="S541" s="123"/>
    </row>
    <row r="542">
      <c r="A542" s="110"/>
      <c r="C542" s="46"/>
      <c r="D542" s="46"/>
      <c r="J542" s="46"/>
      <c r="K542" s="118"/>
      <c r="L542" s="119"/>
      <c r="M542" s="46"/>
      <c r="N542" s="118"/>
      <c r="O542" s="92"/>
      <c r="P542" s="92"/>
      <c r="Q542" s="46"/>
      <c r="R542" s="46"/>
      <c r="S542" s="123"/>
    </row>
    <row r="543">
      <c r="A543" s="110"/>
      <c r="C543" s="46"/>
      <c r="D543" s="46"/>
      <c r="J543" s="46"/>
      <c r="K543" s="118"/>
      <c r="L543" s="119"/>
      <c r="M543" s="46"/>
      <c r="N543" s="118"/>
      <c r="O543" s="92"/>
      <c r="P543" s="92"/>
      <c r="Q543" s="46"/>
      <c r="R543" s="46"/>
      <c r="S543" s="123"/>
    </row>
    <row r="544">
      <c r="A544" s="110"/>
      <c r="C544" s="46"/>
      <c r="D544" s="46"/>
      <c r="J544" s="46"/>
      <c r="K544" s="118"/>
      <c r="L544" s="119"/>
      <c r="M544" s="46"/>
      <c r="N544" s="118"/>
      <c r="O544" s="92"/>
      <c r="P544" s="92"/>
      <c r="Q544" s="46"/>
      <c r="R544" s="46"/>
      <c r="S544" s="123"/>
    </row>
    <row r="545">
      <c r="A545" s="110"/>
      <c r="C545" s="46"/>
      <c r="D545" s="46"/>
      <c r="J545" s="46"/>
      <c r="K545" s="118"/>
      <c r="L545" s="119"/>
      <c r="M545" s="46"/>
      <c r="N545" s="118"/>
      <c r="O545" s="92"/>
      <c r="P545" s="92"/>
      <c r="Q545" s="46"/>
      <c r="R545" s="46"/>
      <c r="S545" s="123"/>
    </row>
    <row r="546">
      <c r="A546" s="110"/>
      <c r="C546" s="46"/>
      <c r="D546" s="46"/>
      <c r="J546" s="46"/>
      <c r="K546" s="118"/>
      <c r="L546" s="119"/>
      <c r="M546" s="46"/>
      <c r="N546" s="118"/>
      <c r="O546" s="92"/>
      <c r="P546" s="92"/>
      <c r="Q546" s="46"/>
      <c r="R546" s="46"/>
      <c r="S546" s="123"/>
    </row>
    <row r="547">
      <c r="A547" s="110"/>
      <c r="C547" s="46"/>
      <c r="D547" s="46"/>
      <c r="J547" s="46"/>
      <c r="K547" s="118"/>
      <c r="L547" s="119"/>
      <c r="M547" s="46"/>
      <c r="N547" s="118"/>
      <c r="O547" s="92"/>
      <c r="P547" s="92"/>
      <c r="Q547" s="46"/>
      <c r="R547" s="46"/>
      <c r="S547" s="123"/>
    </row>
    <row r="548">
      <c r="A548" s="110"/>
      <c r="C548" s="46"/>
      <c r="D548" s="46"/>
      <c r="J548" s="46"/>
      <c r="K548" s="118"/>
      <c r="L548" s="119"/>
      <c r="M548" s="46"/>
      <c r="N548" s="118"/>
      <c r="O548" s="92"/>
      <c r="P548" s="92"/>
      <c r="Q548" s="46"/>
      <c r="R548" s="46"/>
      <c r="S548" s="123"/>
    </row>
    <row r="549">
      <c r="A549" s="110"/>
      <c r="C549" s="46"/>
      <c r="D549" s="46"/>
      <c r="J549" s="46"/>
      <c r="K549" s="118"/>
      <c r="L549" s="119"/>
      <c r="M549" s="46"/>
      <c r="N549" s="118"/>
      <c r="O549" s="92"/>
      <c r="P549" s="92"/>
      <c r="Q549" s="46"/>
      <c r="R549" s="46"/>
      <c r="S549" s="123"/>
    </row>
    <row r="550">
      <c r="A550" s="110"/>
      <c r="C550" s="46"/>
      <c r="D550" s="46"/>
      <c r="J550" s="46"/>
      <c r="K550" s="118"/>
      <c r="L550" s="119"/>
      <c r="M550" s="46"/>
      <c r="N550" s="118"/>
      <c r="O550" s="92"/>
      <c r="P550" s="92"/>
      <c r="Q550" s="46"/>
      <c r="R550" s="46"/>
      <c r="S550" s="123"/>
    </row>
    <row r="551">
      <c r="A551" s="110"/>
      <c r="C551" s="46"/>
      <c r="D551" s="46"/>
      <c r="J551" s="46"/>
      <c r="K551" s="118"/>
      <c r="L551" s="119"/>
      <c r="M551" s="46"/>
      <c r="N551" s="118"/>
      <c r="O551" s="92"/>
      <c r="P551" s="92"/>
      <c r="Q551" s="46"/>
      <c r="R551" s="46"/>
      <c r="S551" s="123"/>
    </row>
    <row r="552">
      <c r="A552" s="110"/>
      <c r="C552" s="46"/>
      <c r="D552" s="46"/>
      <c r="J552" s="46"/>
      <c r="K552" s="118"/>
      <c r="L552" s="119"/>
      <c r="M552" s="46"/>
      <c r="N552" s="118"/>
      <c r="O552" s="92"/>
      <c r="P552" s="92"/>
      <c r="Q552" s="46"/>
      <c r="R552" s="46"/>
      <c r="S552" s="123"/>
    </row>
    <row r="553">
      <c r="A553" s="110"/>
      <c r="C553" s="46"/>
      <c r="D553" s="46"/>
      <c r="J553" s="46"/>
      <c r="K553" s="118"/>
      <c r="L553" s="119"/>
      <c r="M553" s="46"/>
      <c r="N553" s="118"/>
      <c r="O553" s="92"/>
      <c r="P553" s="92"/>
      <c r="Q553" s="46"/>
      <c r="R553" s="46"/>
      <c r="S553" s="123"/>
    </row>
    <row r="554">
      <c r="A554" s="110"/>
      <c r="C554" s="46"/>
      <c r="D554" s="46"/>
      <c r="J554" s="46"/>
      <c r="K554" s="118"/>
      <c r="L554" s="119"/>
      <c r="M554" s="46"/>
      <c r="N554" s="118"/>
      <c r="O554" s="92"/>
      <c r="P554" s="92"/>
      <c r="Q554" s="46"/>
      <c r="R554" s="46"/>
      <c r="S554" s="123"/>
    </row>
    <row r="555">
      <c r="A555" s="110"/>
      <c r="C555" s="46"/>
      <c r="D555" s="46"/>
      <c r="J555" s="46"/>
      <c r="K555" s="118"/>
      <c r="L555" s="119"/>
      <c r="M555" s="46"/>
      <c r="N555" s="118"/>
      <c r="O555" s="92"/>
      <c r="P555" s="92"/>
      <c r="Q555" s="46"/>
      <c r="R555" s="46"/>
      <c r="S555" s="123"/>
    </row>
    <row r="556">
      <c r="A556" s="110"/>
      <c r="C556" s="46"/>
      <c r="D556" s="46"/>
      <c r="J556" s="46"/>
      <c r="K556" s="118"/>
      <c r="L556" s="119"/>
      <c r="M556" s="46"/>
      <c r="N556" s="118"/>
      <c r="O556" s="92"/>
      <c r="P556" s="92"/>
      <c r="Q556" s="46"/>
      <c r="R556" s="46"/>
      <c r="S556" s="123"/>
    </row>
    <row r="557">
      <c r="A557" s="110"/>
      <c r="C557" s="46"/>
      <c r="D557" s="46"/>
      <c r="J557" s="46"/>
      <c r="K557" s="118"/>
      <c r="L557" s="119"/>
      <c r="M557" s="46"/>
      <c r="N557" s="118"/>
      <c r="O557" s="92"/>
      <c r="P557" s="92"/>
      <c r="Q557" s="46"/>
      <c r="R557" s="46"/>
      <c r="S557" s="123"/>
    </row>
    <row r="558">
      <c r="A558" s="110"/>
      <c r="C558" s="46"/>
      <c r="D558" s="46"/>
      <c r="J558" s="46"/>
      <c r="K558" s="118"/>
      <c r="L558" s="119"/>
      <c r="M558" s="46"/>
      <c r="N558" s="118"/>
      <c r="O558" s="92"/>
      <c r="P558" s="92"/>
      <c r="Q558" s="46"/>
      <c r="R558" s="46"/>
      <c r="S558" s="123"/>
    </row>
    <row r="559">
      <c r="A559" s="110"/>
      <c r="C559" s="46"/>
      <c r="D559" s="46"/>
      <c r="J559" s="46"/>
      <c r="K559" s="118"/>
      <c r="L559" s="119"/>
      <c r="M559" s="46"/>
      <c r="N559" s="118"/>
      <c r="O559" s="92"/>
      <c r="P559" s="92"/>
      <c r="Q559" s="46"/>
      <c r="R559" s="46"/>
      <c r="S559" s="123"/>
    </row>
    <row r="560">
      <c r="A560" s="110"/>
      <c r="C560" s="46"/>
      <c r="D560" s="46"/>
      <c r="J560" s="46"/>
      <c r="K560" s="118"/>
      <c r="L560" s="119"/>
      <c r="M560" s="46"/>
      <c r="N560" s="118"/>
      <c r="O560" s="92"/>
      <c r="P560" s="92"/>
      <c r="Q560" s="46"/>
      <c r="R560" s="46"/>
      <c r="S560" s="123"/>
    </row>
    <row r="561">
      <c r="A561" s="110"/>
      <c r="C561" s="46"/>
      <c r="D561" s="46"/>
      <c r="J561" s="46"/>
      <c r="K561" s="118"/>
      <c r="L561" s="119"/>
      <c r="M561" s="46"/>
      <c r="N561" s="118"/>
      <c r="O561" s="92"/>
      <c r="P561" s="92"/>
      <c r="Q561" s="46"/>
      <c r="R561" s="46"/>
      <c r="S561" s="123"/>
    </row>
    <row r="562">
      <c r="A562" s="110"/>
      <c r="C562" s="46"/>
      <c r="D562" s="46"/>
      <c r="J562" s="46"/>
      <c r="K562" s="118"/>
      <c r="L562" s="119"/>
      <c r="M562" s="46"/>
      <c r="N562" s="118"/>
      <c r="O562" s="92"/>
      <c r="P562" s="92"/>
      <c r="Q562" s="46"/>
      <c r="R562" s="46"/>
      <c r="S562" s="123"/>
    </row>
    <row r="563">
      <c r="A563" s="110"/>
      <c r="C563" s="46"/>
      <c r="D563" s="46"/>
      <c r="J563" s="46"/>
      <c r="K563" s="118"/>
      <c r="L563" s="119"/>
      <c r="M563" s="46"/>
      <c r="N563" s="118"/>
      <c r="O563" s="92"/>
      <c r="P563" s="92"/>
      <c r="Q563" s="46"/>
      <c r="R563" s="46"/>
      <c r="S563" s="123"/>
    </row>
    <row r="564">
      <c r="A564" s="110"/>
      <c r="C564" s="46"/>
      <c r="D564" s="46"/>
      <c r="J564" s="46"/>
      <c r="K564" s="118"/>
      <c r="L564" s="119"/>
      <c r="M564" s="46"/>
      <c r="N564" s="118"/>
      <c r="O564" s="92"/>
      <c r="P564" s="92"/>
      <c r="Q564" s="46"/>
      <c r="R564" s="46"/>
      <c r="S564" s="123"/>
    </row>
    <row r="565">
      <c r="A565" s="110"/>
      <c r="C565" s="46"/>
      <c r="D565" s="46"/>
      <c r="J565" s="46"/>
      <c r="K565" s="118"/>
      <c r="L565" s="119"/>
      <c r="M565" s="46"/>
      <c r="N565" s="118"/>
      <c r="O565" s="92"/>
      <c r="P565" s="92"/>
      <c r="Q565" s="46"/>
      <c r="R565" s="46"/>
      <c r="S565" s="123"/>
    </row>
    <row r="566">
      <c r="A566" s="110"/>
      <c r="C566" s="46"/>
      <c r="D566" s="46"/>
      <c r="J566" s="46"/>
      <c r="K566" s="118"/>
      <c r="L566" s="119"/>
      <c r="M566" s="46"/>
      <c r="N566" s="118"/>
      <c r="O566" s="92"/>
      <c r="P566" s="92"/>
      <c r="Q566" s="46"/>
      <c r="R566" s="46"/>
      <c r="S566" s="123"/>
    </row>
    <row r="567">
      <c r="A567" s="110"/>
      <c r="C567" s="46"/>
      <c r="D567" s="46"/>
      <c r="J567" s="46"/>
      <c r="K567" s="118"/>
      <c r="L567" s="119"/>
      <c r="M567" s="46"/>
      <c r="N567" s="118"/>
      <c r="O567" s="92"/>
      <c r="P567" s="92"/>
      <c r="Q567" s="46"/>
      <c r="R567" s="46"/>
      <c r="S567" s="123"/>
    </row>
    <row r="568">
      <c r="A568" s="110"/>
      <c r="C568" s="46"/>
      <c r="D568" s="46"/>
      <c r="J568" s="46"/>
      <c r="K568" s="118"/>
      <c r="L568" s="119"/>
      <c r="M568" s="46"/>
      <c r="N568" s="118"/>
      <c r="O568" s="92"/>
      <c r="P568" s="92"/>
      <c r="Q568" s="46"/>
      <c r="R568" s="46"/>
      <c r="S568" s="123"/>
    </row>
    <row r="569">
      <c r="A569" s="110"/>
      <c r="C569" s="46"/>
      <c r="D569" s="46"/>
      <c r="J569" s="46"/>
      <c r="K569" s="118"/>
      <c r="L569" s="119"/>
      <c r="M569" s="46"/>
      <c r="N569" s="118"/>
      <c r="O569" s="92"/>
      <c r="P569" s="92"/>
      <c r="Q569" s="46"/>
      <c r="R569" s="46"/>
      <c r="S569" s="123"/>
    </row>
    <row r="570">
      <c r="A570" s="110"/>
      <c r="C570" s="46"/>
      <c r="D570" s="46"/>
      <c r="J570" s="46"/>
      <c r="K570" s="118"/>
      <c r="L570" s="119"/>
      <c r="M570" s="46"/>
      <c r="N570" s="118"/>
      <c r="O570" s="92"/>
      <c r="P570" s="92"/>
      <c r="Q570" s="46"/>
      <c r="R570" s="46"/>
      <c r="S570" s="123"/>
    </row>
    <row r="571">
      <c r="A571" s="110"/>
      <c r="C571" s="46"/>
      <c r="D571" s="46"/>
      <c r="J571" s="46"/>
      <c r="K571" s="118"/>
      <c r="L571" s="119"/>
      <c r="M571" s="46"/>
      <c r="N571" s="118"/>
      <c r="O571" s="92"/>
      <c r="P571" s="92"/>
      <c r="Q571" s="46"/>
      <c r="R571" s="46"/>
      <c r="S571" s="123"/>
    </row>
    <row r="572">
      <c r="A572" s="110"/>
      <c r="C572" s="46"/>
      <c r="D572" s="46"/>
      <c r="J572" s="46"/>
      <c r="K572" s="118"/>
      <c r="L572" s="119"/>
      <c r="M572" s="46"/>
      <c r="N572" s="118"/>
      <c r="O572" s="92"/>
      <c r="P572" s="92"/>
      <c r="Q572" s="46"/>
      <c r="R572" s="46"/>
      <c r="S572" s="123"/>
    </row>
    <row r="573">
      <c r="A573" s="110"/>
      <c r="C573" s="46"/>
      <c r="D573" s="46"/>
      <c r="J573" s="46"/>
      <c r="K573" s="118"/>
      <c r="L573" s="119"/>
      <c r="M573" s="46"/>
      <c r="N573" s="118"/>
      <c r="O573" s="92"/>
      <c r="P573" s="92"/>
      <c r="Q573" s="46"/>
      <c r="R573" s="46"/>
      <c r="S573" s="123"/>
    </row>
    <row r="574">
      <c r="A574" s="110"/>
      <c r="C574" s="46"/>
      <c r="D574" s="46"/>
      <c r="J574" s="46"/>
      <c r="K574" s="118"/>
      <c r="L574" s="119"/>
      <c r="M574" s="46"/>
      <c r="N574" s="118"/>
      <c r="O574" s="92"/>
      <c r="P574" s="92"/>
      <c r="Q574" s="46"/>
      <c r="R574" s="46"/>
      <c r="S574" s="123"/>
    </row>
    <row r="575">
      <c r="A575" s="110"/>
      <c r="C575" s="46"/>
      <c r="D575" s="46"/>
      <c r="J575" s="46"/>
      <c r="K575" s="118"/>
      <c r="L575" s="119"/>
      <c r="M575" s="46"/>
      <c r="N575" s="118"/>
      <c r="O575" s="92"/>
      <c r="P575" s="92"/>
      <c r="Q575" s="46"/>
      <c r="R575" s="46"/>
      <c r="S575" s="123"/>
    </row>
    <row r="576">
      <c r="A576" s="110"/>
      <c r="C576" s="46"/>
      <c r="D576" s="46"/>
      <c r="J576" s="46"/>
      <c r="K576" s="118"/>
      <c r="L576" s="119"/>
      <c r="M576" s="46"/>
      <c r="N576" s="118"/>
      <c r="O576" s="92"/>
      <c r="P576" s="92"/>
      <c r="Q576" s="46"/>
      <c r="R576" s="46"/>
      <c r="S576" s="123"/>
    </row>
    <row r="577">
      <c r="A577" s="110"/>
      <c r="C577" s="46"/>
      <c r="D577" s="46"/>
      <c r="J577" s="46"/>
      <c r="K577" s="118"/>
      <c r="L577" s="119"/>
      <c r="M577" s="46"/>
      <c r="N577" s="118"/>
      <c r="O577" s="92"/>
      <c r="P577" s="92"/>
      <c r="Q577" s="46"/>
      <c r="R577" s="46"/>
      <c r="S577" s="123"/>
    </row>
    <row r="578">
      <c r="A578" s="110"/>
      <c r="C578" s="46"/>
      <c r="D578" s="46"/>
      <c r="J578" s="46"/>
      <c r="K578" s="118"/>
      <c r="L578" s="119"/>
      <c r="M578" s="46"/>
      <c r="N578" s="118"/>
      <c r="O578" s="92"/>
      <c r="P578" s="92"/>
      <c r="Q578" s="46"/>
      <c r="R578" s="46"/>
      <c r="S578" s="123"/>
    </row>
    <row r="579">
      <c r="A579" s="110"/>
      <c r="C579" s="46"/>
      <c r="D579" s="46"/>
      <c r="J579" s="46"/>
      <c r="K579" s="118"/>
      <c r="L579" s="119"/>
      <c r="M579" s="46"/>
      <c r="N579" s="118"/>
      <c r="O579" s="92"/>
      <c r="P579" s="92"/>
      <c r="Q579" s="46"/>
      <c r="R579" s="46"/>
      <c r="S579" s="123"/>
    </row>
    <row r="580">
      <c r="A580" s="110"/>
      <c r="C580" s="46"/>
      <c r="D580" s="46"/>
      <c r="J580" s="46"/>
      <c r="K580" s="118"/>
      <c r="L580" s="119"/>
      <c r="M580" s="46"/>
      <c r="N580" s="118"/>
      <c r="O580" s="92"/>
      <c r="P580" s="92"/>
      <c r="Q580" s="46"/>
      <c r="R580" s="46"/>
      <c r="S580" s="123"/>
    </row>
    <row r="581">
      <c r="A581" s="110"/>
      <c r="C581" s="46"/>
      <c r="D581" s="46"/>
      <c r="J581" s="46"/>
      <c r="K581" s="118"/>
      <c r="L581" s="119"/>
      <c r="M581" s="46"/>
      <c r="N581" s="118"/>
      <c r="O581" s="92"/>
      <c r="P581" s="92"/>
      <c r="Q581" s="46"/>
      <c r="R581" s="46"/>
      <c r="S581" s="123"/>
    </row>
    <row r="582">
      <c r="A582" s="110"/>
      <c r="C582" s="46"/>
      <c r="D582" s="46"/>
      <c r="J582" s="46"/>
      <c r="K582" s="118"/>
      <c r="L582" s="119"/>
      <c r="M582" s="46"/>
      <c r="N582" s="118"/>
      <c r="O582" s="92"/>
      <c r="P582" s="92"/>
      <c r="Q582" s="46"/>
      <c r="R582" s="46"/>
      <c r="S582" s="123"/>
    </row>
    <row r="583">
      <c r="A583" s="110"/>
      <c r="C583" s="46"/>
      <c r="D583" s="46"/>
      <c r="J583" s="46"/>
      <c r="K583" s="118"/>
      <c r="L583" s="119"/>
      <c r="M583" s="46"/>
      <c r="N583" s="118"/>
      <c r="O583" s="92"/>
      <c r="P583" s="92"/>
      <c r="Q583" s="46"/>
      <c r="R583" s="46"/>
      <c r="S583" s="123"/>
    </row>
    <row r="584">
      <c r="A584" s="110"/>
      <c r="C584" s="46"/>
      <c r="D584" s="46"/>
      <c r="J584" s="46"/>
      <c r="K584" s="118"/>
      <c r="L584" s="119"/>
      <c r="M584" s="46"/>
      <c r="N584" s="118"/>
      <c r="O584" s="92"/>
      <c r="P584" s="92"/>
      <c r="Q584" s="46"/>
      <c r="R584" s="46"/>
      <c r="S584" s="123"/>
    </row>
    <row r="585">
      <c r="A585" s="110"/>
      <c r="C585" s="46"/>
      <c r="D585" s="46"/>
      <c r="J585" s="46"/>
      <c r="K585" s="118"/>
      <c r="L585" s="119"/>
      <c r="M585" s="46"/>
      <c r="N585" s="118"/>
      <c r="O585" s="92"/>
      <c r="P585" s="92"/>
      <c r="Q585" s="46"/>
      <c r="R585" s="46"/>
      <c r="S585" s="123"/>
    </row>
    <row r="586">
      <c r="A586" s="110"/>
      <c r="C586" s="46"/>
      <c r="D586" s="46"/>
      <c r="J586" s="46"/>
      <c r="K586" s="118"/>
      <c r="L586" s="119"/>
      <c r="M586" s="46"/>
      <c r="N586" s="118"/>
      <c r="O586" s="92"/>
      <c r="P586" s="92"/>
      <c r="Q586" s="46"/>
      <c r="R586" s="46"/>
      <c r="S586" s="123"/>
    </row>
    <row r="587">
      <c r="A587" s="110"/>
      <c r="C587" s="46"/>
      <c r="D587" s="46"/>
      <c r="J587" s="46"/>
      <c r="K587" s="118"/>
      <c r="L587" s="119"/>
      <c r="M587" s="46"/>
      <c r="N587" s="118"/>
      <c r="O587" s="92"/>
      <c r="P587" s="92"/>
      <c r="Q587" s="46"/>
      <c r="R587" s="46"/>
      <c r="S587" s="123"/>
    </row>
    <row r="588">
      <c r="A588" s="110"/>
      <c r="C588" s="46"/>
      <c r="D588" s="46"/>
      <c r="J588" s="46"/>
      <c r="K588" s="118"/>
      <c r="L588" s="119"/>
      <c r="M588" s="46"/>
      <c r="N588" s="118"/>
      <c r="O588" s="92"/>
      <c r="P588" s="92"/>
      <c r="Q588" s="46"/>
      <c r="R588" s="46"/>
      <c r="S588" s="123"/>
    </row>
    <row r="589">
      <c r="A589" s="110"/>
      <c r="C589" s="46"/>
      <c r="D589" s="46"/>
      <c r="J589" s="46"/>
      <c r="K589" s="118"/>
      <c r="L589" s="119"/>
      <c r="M589" s="46"/>
      <c r="N589" s="118"/>
      <c r="O589" s="92"/>
      <c r="P589" s="92"/>
      <c r="Q589" s="46"/>
      <c r="R589" s="46"/>
      <c r="S589" s="123"/>
    </row>
    <row r="590">
      <c r="A590" s="110"/>
      <c r="C590" s="46"/>
      <c r="D590" s="46"/>
      <c r="J590" s="46"/>
      <c r="K590" s="118"/>
      <c r="L590" s="119"/>
      <c r="M590" s="46"/>
      <c r="N590" s="118"/>
      <c r="O590" s="92"/>
      <c r="P590" s="92"/>
      <c r="Q590" s="46"/>
      <c r="R590" s="46"/>
      <c r="S590" s="123"/>
    </row>
    <row r="591">
      <c r="A591" s="110"/>
      <c r="C591" s="46"/>
      <c r="D591" s="46"/>
      <c r="J591" s="46"/>
      <c r="K591" s="118"/>
      <c r="L591" s="119"/>
      <c r="M591" s="46"/>
      <c r="N591" s="118"/>
      <c r="O591" s="92"/>
      <c r="P591" s="92"/>
      <c r="Q591" s="46"/>
      <c r="R591" s="46"/>
      <c r="S591" s="123"/>
    </row>
    <row r="592">
      <c r="A592" s="110"/>
      <c r="C592" s="46"/>
      <c r="D592" s="46"/>
      <c r="J592" s="46"/>
      <c r="K592" s="118"/>
      <c r="L592" s="119"/>
      <c r="M592" s="46"/>
      <c r="N592" s="118"/>
      <c r="O592" s="92"/>
      <c r="P592" s="92"/>
      <c r="Q592" s="46"/>
      <c r="R592" s="46"/>
      <c r="S592" s="123"/>
    </row>
    <row r="593">
      <c r="A593" s="110"/>
      <c r="C593" s="46"/>
      <c r="D593" s="46"/>
      <c r="J593" s="46"/>
      <c r="K593" s="118"/>
      <c r="L593" s="119"/>
      <c r="M593" s="46"/>
      <c r="N593" s="118"/>
      <c r="O593" s="92"/>
      <c r="P593" s="92"/>
      <c r="Q593" s="46"/>
      <c r="R593" s="46"/>
      <c r="S593" s="123"/>
    </row>
    <row r="594">
      <c r="A594" s="110"/>
      <c r="C594" s="46"/>
      <c r="D594" s="46"/>
      <c r="J594" s="46"/>
      <c r="K594" s="118"/>
      <c r="L594" s="119"/>
      <c r="M594" s="46"/>
      <c r="N594" s="118"/>
      <c r="O594" s="92"/>
      <c r="P594" s="92"/>
      <c r="Q594" s="46"/>
      <c r="R594" s="46"/>
      <c r="S594" s="123"/>
    </row>
    <row r="595">
      <c r="A595" s="110"/>
      <c r="C595" s="46"/>
      <c r="D595" s="46"/>
      <c r="J595" s="46"/>
      <c r="K595" s="118"/>
      <c r="L595" s="119"/>
      <c r="M595" s="46"/>
      <c r="N595" s="118"/>
      <c r="O595" s="92"/>
      <c r="P595" s="92"/>
      <c r="Q595" s="46"/>
      <c r="R595" s="46"/>
      <c r="S595" s="123"/>
    </row>
    <row r="596">
      <c r="A596" s="110"/>
      <c r="C596" s="46"/>
      <c r="D596" s="46"/>
      <c r="J596" s="46"/>
      <c r="K596" s="118"/>
      <c r="L596" s="119"/>
      <c r="M596" s="46"/>
      <c r="N596" s="118"/>
      <c r="O596" s="92"/>
      <c r="P596" s="92"/>
      <c r="Q596" s="46"/>
      <c r="R596" s="46"/>
      <c r="S596" s="123"/>
    </row>
    <row r="597">
      <c r="A597" s="110"/>
      <c r="C597" s="46"/>
      <c r="D597" s="46"/>
      <c r="J597" s="46"/>
      <c r="K597" s="118"/>
      <c r="L597" s="119"/>
      <c r="M597" s="46"/>
      <c r="N597" s="118"/>
      <c r="O597" s="92"/>
      <c r="P597" s="92"/>
      <c r="Q597" s="46"/>
      <c r="R597" s="46"/>
      <c r="S597" s="123"/>
    </row>
    <row r="598">
      <c r="A598" s="110"/>
      <c r="C598" s="46"/>
      <c r="D598" s="46"/>
      <c r="J598" s="46"/>
      <c r="K598" s="118"/>
      <c r="L598" s="119"/>
      <c r="M598" s="46"/>
      <c r="N598" s="118"/>
      <c r="O598" s="92"/>
      <c r="P598" s="92"/>
      <c r="Q598" s="46"/>
      <c r="R598" s="46"/>
      <c r="S598" s="123"/>
    </row>
    <row r="599">
      <c r="A599" s="110"/>
      <c r="C599" s="46"/>
      <c r="D599" s="46"/>
      <c r="J599" s="46"/>
      <c r="K599" s="118"/>
      <c r="L599" s="119"/>
      <c r="M599" s="46"/>
      <c r="N599" s="118"/>
      <c r="O599" s="92"/>
      <c r="P599" s="92"/>
      <c r="Q599" s="46"/>
      <c r="R599" s="46"/>
      <c r="S599" s="123"/>
    </row>
    <row r="600">
      <c r="A600" s="110"/>
      <c r="C600" s="46"/>
      <c r="D600" s="46"/>
      <c r="J600" s="46"/>
      <c r="K600" s="118"/>
      <c r="L600" s="119"/>
      <c r="M600" s="46"/>
      <c r="N600" s="118"/>
      <c r="O600" s="92"/>
      <c r="P600" s="92"/>
      <c r="Q600" s="46"/>
      <c r="R600" s="46"/>
      <c r="S600" s="123"/>
    </row>
    <row r="601">
      <c r="A601" s="110"/>
      <c r="C601" s="46"/>
      <c r="D601" s="46"/>
      <c r="J601" s="46"/>
      <c r="K601" s="118"/>
      <c r="L601" s="119"/>
      <c r="M601" s="46"/>
      <c r="N601" s="118"/>
      <c r="O601" s="92"/>
      <c r="P601" s="92"/>
      <c r="Q601" s="46"/>
      <c r="R601" s="46"/>
      <c r="S601" s="123"/>
    </row>
    <row r="602">
      <c r="A602" s="110"/>
      <c r="C602" s="46"/>
      <c r="D602" s="46"/>
      <c r="J602" s="46"/>
      <c r="K602" s="118"/>
      <c r="L602" s="119"/>
      <c r="M602" s="46"/>
      <c r="N602" s="118"/>
      <c r="O602" s="92"/>
      <c r="P602" s="92"/>
      <c r="Q602" s="46"/>
      <c r="R602" s="46"/>
      <c r="S602" s="123"/>
    </row>
    <row r="603">
      <c r="A603" s="110"/>
      <c r="C603" s="46"/>
      <c r="D603" s="46"/>
      <c r="J603" s="46"/>
      <c r="K603" s="118"/>
      <c r="L603" s="119"/>
      <c r="M603" s="46"/>
      <c r="N603" s="118"/>
      <c r="O603" s="92"/>
      <c r="P603" s="92"/>
      <c r="Q603" s="46"/>
      <c r="R603" s="46"/>
      <c r="S603" s="123"/>
    </row>
    <row r="604">
      <c r="A604" s="110"/>
      <c r="C604" s="46"/>
      <c r="D604" s="46"/>
      <c r="J604" s="46"/>
      <c r="K604" s="118"/>
      <c r="L604" s="119"/>
      <c r="M604" s="46"/>
      <c r="N604" s="118"/>
      <c r="O604" s="92"/>
      <c r="P604" s="92"/>
      <c r="Q604" s="46"/>
      <c r="R604" s="46"/>
      <c r="S604" s="123"/>
    </row>
    <row r="605">
      <c r="A605" s="110"/>
      <c r="C605" s="46"/>
      <c r="D605" s="46"/>
      <c r="J605" s="46"/>
      <c r="K605" s="118"/>
      <c r="L605" s="119"/>
      <c r="M605" s="46"/>
      <c r="N605" s="118"/>
      <c r="O605" s="92"/>
      <c r="P605" s="92"/>
      <c r="Q605" s="46"/>
      <c r="R605" s="46"/>
      <c r="S605" s="123"/>
    </row>
    <row r="606">
      <c r="A606" s="110"/>
      <c r="C606" s="46"/>
      <c r="D606" s="46"/>
      <c r="J606" s="46"/>
      <c r="K606" s="118"/>
      <c r="L606" s="119"/>
      <c r="M606" s="46"/>
      <c r="N606" s="118"/>
      <c r="O606" s="92"/>
      <c r="P606" s="92"/>
      <c r="Q606" s="46"/>
      <c r="R606" s="46"/>
      <c r="S606" s="123"/>
    </row>
    <row r="607">
      <c r="A607" s="110"/>
      <c r="C607" s="46"/>
      <c r="D607" s="46"/>
      <c r="J607" s="46"/>
      <c r="K607" s="118"/>
      <c r="L607" s="119"/>
      <c r="M607" s="46"/>
      <c r="N607" s="118"/>
      <c r="O607" s="92"/>
      <c r="P607" s="92"/>
      <c r="Q607" s="46"/>
      <c r="R607" s="46"/>
      <c r="S607" s="123"/>
    </row>
    <row r="608">
      <c r="A608" s="110"/>
      <c r="C608" s="46"/>
      <c r="D608" s="46"/>
      <c r="J608" s="46"/>
      <c r="K608" s="118"/>
      <c r="L608" s="119"/>
      <c r="M608" s="46"/>
      <c r="N608" s="118"/>
      <c r="O608" s="92"/>
      <c r="P608" s="92"/>
      <c r="Q608" s="46"/>
      <c r="R608" s="46"/>
      <c r="S608" s="123"/>
    </row>
    <row r="609">
      <c r="A609" s="110"/>
      <c r="C609" s="46"/>
      <c r="D609" s="46"/>
      <c r="J609" s="46"/>
      <c r="K609" s="118"/>
      <c r="L609" s="119"/>
      <c r="M609" s="46"/>
      <c r="N609" s="118"/>
      <c r="O609" s="92"/>
      <c r="P609" s="92"/>
      <c r="Q609" s="46"/>
      <c r="R609" s="46"/>
      <c r="S609" s="123"/>
    </row>
    <row r="610">
      <c r="A610" s="110"/>
      <c r="C610" s="46"/>
      <c r="D610" s="46"/>
      <c r="J610" s="46"/>
      <c r="K610" s="118"/>
      <c r="L610" s="119"/>
      <c r="M610" s="46"/>
      <c r="N610" s="118"/>
      <c r="O610" s="92"/>
      <c r="P610" s="92"/>
      <c r="Q610" s="46"/>
      <c r="R610" s="46"/>
      <c r="S610" s="123"/>
    </row>
    <row r="611">
      <c r="A611" s="110"/>
      <c r="C611" s="46"/>
      <c r="D611" s="46"/>
      <c r="J611" s="46"/>
      <c r="K611" s="118"/>
      <c r="L611" s="119"/>
      <c r="M611" s="46"/>
      <c r="N611" s="118"/>
      <c r="O611" s="92"/>
      <c r="P611" s="92"/>
      <c r="Q611" s="46"/>
      <c r="R611" s="46"/>
      <c r="S611" s="123"/>
    </row>
    <row r="612">
      <c r="A612" s="110"/>
      <c r="C612" s="46"/>
      <c r="D612" s="46"/>
      <c r="J612" s="46"/>
      <c r="K612" s="118"/>
      <c r="L612" s="119"/>
      <c r="M612" s="46"/>
      <c r="N612" s="118"/>
      <c r="O612" s="92"/>
      <c r="P612" s="92"/>
      <c r="Q612" s="46"/>
      <c r="R612" s="46"/>
      <c r="S612" s="123"/>
    </row>
    <row r="613">
      <c r="A613" s="110"/>
      <c r="C613" s="46"/>
      <c r="D613" s="46"/>
      <c r="J613" s="46"/>
      <c r="K613" s="118"/>
      <c r="L613" s="119"/>
      <c r="M613" s="46"/>
      <c r="N613" s="118"/>
      <c r="O613" s="92"/>
      <c r="P613" s="92"/>
      <c r="Q613" s="46"/>
      <c r="R613" s="46"/>
      <c r="S613" s="123"/>
    </row>
    <row r="614">
      <c r="A614" s="110"/>
      <c r="C614" s="46"/>
      <c r="D614" s="46"/>
      <c r="J614" s="46"/>
      <c r="K614" s="118"/>
      <c r="L614" s="119"/>
      <c r="M614" s="46"/>
      <c r="N614" s="118"/>
      <c r="O614" s="92"/>
      <c r="P614" s="92"/>
      <c r="Q614" s="46"/>
      <c r="R614" s="46"/>
      <c r="S614" s="123"/>
    </row>
    <row r="615">
      <c r="A615" s="110"/>
      <c r="C615" s="46"/>
      <c r="D615" s="46"/>
      <c r="J615" s="46"/>
      <c r="K615" s="118"/>
      <c r="L615" s="119"/>
      <c r="M615" s="46"/>
      <c r="N615" s="118"/>
      <c r="O615" s="92"/>
      <c r="P615" s="92"/>
      <c r="Q615" s="46"/>
      <c r="R615" s="46"/>
      <c r="S615" s="123"/>
    </row>
    <row r="616">
      <c r="A616" s="110"/>
      <c r="C616" s="46"/>
      <c r="D616" s="46"/>
      <c r="J616" s="46"/>
      <c r="K616" s="118"/>
      <c r="L616" s="119"/>
      <c r="M616" s="46"/>
      <c r="N616" s="118"/>
      <c r="O616" s="92"/>
      <c r="P616" s="92"/>
      <c r="Q616" s="46"/>
      <c r="R616" s="46"/>
      <c r="S616" s="123"/>
    </row>
    <row r="617">
      <c r="A617" s="110"/>
      <c r="C617" s="46"/>
      <c r="D617" s="46"/>
      <c r="J617" s="46"/>
      <c r="K617" s="118"/>
      <c r="L617" s="119"/>
      <c r="M617" s="46"/>
      <c r="N617" s="118"/>
      <c r="O617" s="92"/>
      <c r="P617" s="92"/>
      <c r="Q617" s="46"/>
      <c r="R617" s="46"/>
      <c r="S617" s="123"/>
    </row>
    <row r="618">
      <c r="A618" s="110"/>
      <c r="C618" s="46"/>
      <c r="D618" s="46"/>
      <c r="J618" s="46"/>
      <c r="K618" s="118"/>
      <c r="L618" s="119"/>
      <c r="M618" s="46"/>
      <c r="N618" s="118"/>
      <c r="O618" s="92"/>
      <c r="P618" s="92"/>
      <c r="Q618" s="46"/>
      <c r="R618" s="46"/>
      <c r="S618" s="123"/>
    </row>
    <row r="619">
      <c r="A619" s="110"/>
      <c r="C619" s="46"/>
      <c r="D619" s="46"/>
      <c r="J619" s="46"/>
      <c r="K619" s="118"/>
      <c r="L619" s="119"/>
      <c r="M619" s="46"/>
      <c r="N619" s="118"/>
      <c r="O619" s="92"/>
      <c r="P619" s="92"/>
      <c r="Q619" s="46"/>
      <c r="R619" s="46"/>
      <c r="S619" s="123"/>
    </row>
    <row r="620">
      <c r="A620" s="110"/>
      <c r="C620" s="46"/>
      <c r="D620" s="46"/>
      <c r="J620" s="46"/>
      <c r="K620" s="118"/>
      <c r="L620" s="119"/>
      <c r="M620" s="46"/>
      <c r="N620" s="118"/>
      <c r="O620" s="92"/>
      <c r="P620" s="92"/>
      <c r="Q620" s="46"/>
      <c r="R620" s="46"/>
      <c r="S620" s="123"/>
    </row>
    <row r="621">
      <c r="A621" s="110"/>
      <c r="C621" s="46"/>
      <c r="D621" s="46"/>
      <c r="J621" s="46"/>
      <c r="K621" s="118"/>
      <c r="L621" s="119"/>
      <c r="M621" s="46"/>
      <c r="N621" s="118"/>
      <c r="O621" s="92"/>
      <c r="P621" s="92"/>
      <c r="Q621" s="46"/>
      <c r="R621" s="46"/>
      <c r="S621" s="123"/>
    </row>
    <row r="622">
      <c r="A622" s="110"/>
      <c r="C622" s="46"/>
      <c r="D622" s="46"/>
      <c r="J622" s="46"/>
      <c r="K622" s="118"/>
      <c r="L622" s="119"/>
      <c r="M622" s="46"/>
      <c r="N622" s="118"/>
      <c r="O622" s="92"/>
      <c r="P622" s="92"/>
      <c r="Q622" s="46"/>
      <c r="R622" s="46"/>
      <c r="S622" s="123"/>
    </row>
    <row r="623">
      <c r="A623" s="110"/>
      <c r="C623" s="46"/>
      <c r="D623" s="46"/>
      <c r="J623" s="46"/>
      <c r="K623" s="118"/>
      <c r="L623" s="119"/>
      <c r="M623" s="46"/>
      <c r="N623" s="118"/>
      <c r="O623" s="92"/>
      <c r="P623" s="92"/>
      <c r="Q623" s="46"/>
      <c r="R623" s="46"/>
      <c r="S623" s="123"/>
    </row>
    <row r="624">
      <c r="A624" s="110"/>
      <c r="C624" s="46"/>
      <c r="D624" s="46"/>
      <c r="J624" s="46"/>
      <c r="K624" s="118"/>
      <c r="L624" s="119"/>
      <c r="M624" s="46"/>
      <c r="N624" s="118"/>
      <c r="O624" s="92"/>
      <c r="P624" s="92"/>
      <c r="Q624" s="46"/>
      <c r="R624" s="46"/>
      <c r="S624" s="123"/>
    </row>
    <row r="625">
      <c r="A625" s="110"/>
      <c r="C625" s="46"/>
      <c r="D625" s="46"/>
      <c r="J625" s="46"/>
      <c r="K625" s="118"/>
      <c r="L625" s="119"/>
      <c r="M625" s="46"/>
      <c r="N625" s="118"/>
      <c r="O625" s="92"/>
      <c r="P625" s="92"/>
      <c r="Q625" s="46"/>
      <c r="R625" s="46"/>
      <c r="S625" s="123"/>
    </row>
    <row r="626">
      <c r="A626" s="110"/>
      <c r="C626" s="46"/>
      <c r="D626" s="46"/>
      <c r="J626" s="46"/>
      <c r="K626" s="118"/>
      <c r="L626" s="119"/>
      <c r="M626" s="46"/>
      <c r="N626" s="118"/>
      <c r="O626" s="92"/>
      <c r="P626" s="92"/>
      <c r="Q626" s="46"/>
      <c r="R626" s="46"/>
      <c r="S626" s="123"/>
    </row>
    <row r="627">
      <c r="A627" s="110"/>
      <c r="C627" s="46"/>
      <c r="D627" s="46"/>
      <c r="J627" s="46"/>
      <c r="K627" s="118"/>
      <c r="L627" s="119"/>
      <c r="M627" s="46"/>
      <c r="N627" s="118"/>
      <c r="O627" s="92"/>
      <c r="P627" s="92"/>
      <c r="Q627" s="46"/>
      <c r="R627" s="46"/>
      <c r="S627" s="123"/>
    </row>
    <row r="628">
      <c r="A628" s="110"/>
      <c r="C628" s="46"/>
      <c r="D628" s="46"/>
      <c r="J628" s="46"/>
      <c r="K628" s="118"/>
      <c r="L628" s="119"/>
      <c r="M628" s="46"/>
      <c r="N628" s="118"/>
      <c r="O628" s="92"/>
      <c r="P628" s="92"/>
      <c r="Q628" s="46"/>
      <c r="R628" s="46"/>
      <c r="S628" s="123"/>
    </row>
    <row r="629">
      <c r="A629" s="110"/>
      <c r="C629" s="46"/>
      <c r="D629" s="46"/>
      <c r="J629" s="46"/>
      <c r="K629" s="118"/>
      <c r="L629" s="119"/>
      <c r="M629" s="46"/>
      <c r="N629" s="118"/>
      <c r="O629" s="92"/>
      <c r="P629" s="92"/>
      <c r="Q629" s="46"/>
      <c r="R629" s="46"/>
      <c r="S629" s="123"/>
    </row>
    <row r="630">
      <c r="A630" s="110"/>
      <c r="C630" s="46"/>
      <c r="D630" s="46"/>
      <c r="J630" s="46"/>
      <c r="K630" s="118"/>
      <c r="L630" s="119"/>
      <c r="M630" s="46"/>
      <c r="N630" s="118"/>
      <c r="O630" s="92"/>
      <c r="P630" s="92"/>
      <c r="Q630" s="46"/>
      <c r="R630" s="46"/>
      <c r="S630" s="123"/>
    </row>
    <row r="631">
      <c r="A631" s="110"/>
      <c r="C631" s="46"/>
      <c r="D631" s="46"/>
      <c r="J631" s="46"/>
      <c r="K631" s="118"/>
      <c r="L631" s="119"/>
      <c r="M631" s="46"/>
      <c r="N631" s="118"/>
      <c r="O631" s="92"/>
      <c r="P631" s="92"/>
      <c r="Q631" s="46"/>
      <c r="R631" s="46"/>
      <c r="S631" s="123"/>
    </row>
    <row r="632">
      <c r="A632" s="110"/>
      <c r="C632" s="46"/>
      <c r="D632" s="46"/>
      <c r="J632" s="46"/>
      <c r="K632" s="118"/>
      <c r="L632" s="119"/>
      <c r="M632" s="46"/>
      <c r="N632" s="118"/>
      <c r="O632" s="92"/>
      <c r="P632" s="92"/>
      <c r="Q632" s="46"/>
      <c r="R632" s="46"/>
      <c r="S632" s="123"/>
    </row>
    <row r="633">
      <c r="A633" s="110"/>
      <c r="C633" s="46"/>
      <c r="D633" s="46"/>
      <c r="J633" s="46"/>
      <c r="K633" s="118"/>
      <c r="L633" s="119"/>
      <c r="M633" s="46"/>
      <c r="N633" s="118"/>
      <c r="O633" s="92"/>
      <c r="P633" s="92"/>
      <c r="Q633" s="46"/>
      <c r="R633" s="46"/>
      <c r="S633" s="123"/>
    </row>
    <row r="634">
      <c r="A634" s="110"/>
      <c r="C634" s="46"/>
      <c r="D634" s="46"/>
      <c r="J634" s="46"/>
      <c r="K634" s="118"/>
      <c r="L634" s="119"/>
      <c r="M634" s="46"/>
      <c r="N634" s="118"/>
      <c r="O634" s="92"/>
      <c r="P634" s="92"/>
      <c r="Q634" s="46"/>
      <c r="R634" s="46"/>
      <c r="S634" s="123"/>
    </row>
    <row r="635">
      <c r="A635" s="110"/>
      <c r="C635" s="46"/>
      <c r="D635" s="46"/>
      <c r="J635" s="46"/>
      <c r="K635" s="118"/>
      <c r="L635" s="119"/>
      <c r="M635" s="46"/>
      <c r="N635" s="118"/>
      <c r="O635" s="92"/>
      <c r="P635" s="92"/>
      <c r="Q635" s="46"/>
      <c r="R635" s="46"/>
      <c r="S635" s="123"/>
    </row>
    <row r="636">
      <c r="A636" s="110"/>
      <c r="C636" s="46"/>
      <c r="D636" s="46"/>
      <c r="J636" s="46"/>
      <c r="K636" s="118"/>
      <c r="L636" s="119"/>
      <c r="M636" s="46"/>
      <c r="N636" s="118"/>
      <c r="O636" s="92"/>
      <c r="P636" s="92"/>
      <c r="Q636" s="46"/>
      <c r="R636" s="46"/>
      <c r="S636" s="123"/>
    </row>
    <row r="637">
      <c r="A637" s="110"/>
      <c r="C637" s="46"/>
      <c r="D637" s="46"/>
      <c r="J637" s="46"/>
      <c r="K637" s="118"/>
      <c r="L637" s="119"/>
      <c r="M637" s="46"/>
      <c r="N637" s="118"/>
      <c r="O637" s="92"/>
      <c r="P637" s="92"/>
      <c r="Q637" s="46"/>
      <c r="R637" s="46"/>
      <c r="S637" s="123"/>
    </row>
    <row r="638">
      <c r="A638" s="110"/>
      <c r="C638" s="46"/>
      <c r="D638" s="46"/>
      <c r="J638" s="46"/>
      <c r="K638" s="118"/>
      <c r="L638" s="119"/>
      <c r="M638" s="46"/>
      <c r="N638" s="118"/>
      <c r="O638" s="92"/>
      <c r="P638" s="92"/>
      <c r="Q638" s="46"/>
      <c r="R638" s="46"/>
      <c r="S638" s="123"/>
    </row>
    <row r="639">
      <c r="A639" s="110"/>
      <c r="C639" s="46"/>
      <c r="D639" s="46"/>
      <c r="J639" s="46"/>
      <c r="K639" s="118"/>
      <c r="L639" s="119"/>
      <c r="M639" s="46"/>
      <c r="N639" s="118"/>
      <c r="O639" s="92"/>
      <c r="P639" s="92"/>
      <c r="Q639" s="46"/>
      <c r="R639" s="46"/>
      <c r="S639" s="123"/>
    </row>
    <row r="640">
      <c r="A640" s="110"/>
      <c r="C640" s="46"/>
      <c r="D640" s="46"/>
      <c r="J640" s="46"/>
      <c r="K640" s="118"/>
      <c r="L640" s="119"/>
      <c r="M640" s="46"/>
      <c r="N640" s="118"/>
      <c r="O640" s="92"/>
      <c r="P640" s="92"/>
      <c r="Q640" s="46"/>
      <c r="R640" s="46"/>
      <c r="S640" s="123"/>
    </row>
    <row r="641">
      <c r="A641" s="110"/>
      <c r="C641" s="46"/>
      <c r="D641" s="46"/>
      <c r="J641" s="46"/>
      <c r="K641" s="118"/>
      <c r="L641" s="119"/>
      <c r="M641" s="46"/>
      <c r="N641" s="118"/>
      <c r="O641" s="92"/>
      <c r="P641" s="92"/>
      <c r="Q641" s="46"/>
      <c r="R641" s="46"/>
      <c r="S641" s="123"/>
    </row>
    <row r="642">
      <c r="A642" s="110"/>
      <c r="C642" s="46"/>
      <c r="D642" s="46"/>
      <c r="J642" s="46"/>
      <c r="K642" s="118"/>
      <c r="L642" s="119"/>
      <c r="M642" s="46"/>
      <c r="N642" s="118"/>
      <c r="O642" s="92"/>
      <c r="P642" s="92"/>
      <c r="Q642" s="46"/>
      <c r="R642" s="46"/>
      <c r="S642" s="123"/>
    </row>
    <row r="643">
      <c r="A643" s="110"/>
      <c r="C643" s="46"/>
      <c r="D643" s="46"/>
      <c r="J643" s="46"/>
      <c r="K643" s="118"/>
      <c r="L643" s="119"/>
      <c r="M643" s="46"/>
      <c r="N643" s="118"/>
      <c r="O643" s="92"/>
      <c r="P643" s="92"/>
      <c r="Q643" s="46"/>
      <c r="R643" s="46"/>
      <c r="S643" s="123"/>
    </row>
    <row r="644">
      <c r="A644" s="110"/>
      <c r="C644" s="46"/>
      <c r="D644" s="46"/>
      <c r="J644" s="46"/>
      <c r="K644" s="118"/>
      <c r="L644" s="119"/>
      <c r="M644" s="46"/>
      <c r="N644" s="118"/>
      <c r="O644" s="92"/>
      <c r="P644" s="92"/>
      <c r="Q644" s="46"/>
      <c r="R644" s="46"/>
      <c r="S644" s="123"/>
    </row>
    <row r="645">
      <c r="A645" s="110"/>
      <c r="C645" s="46"/>
      <c r="D645" s="46"/>
      <c r="J645" s="46"/>
      <c r="K645" s="118"/>
      <c r="L645" s="119"/>
      <c r="M645" s="46"/>
      <c r="N645" s="118"/>
      <c r="O645" s="92"/>
      <c r="P645" s="92"/>
      <c r="Q645" s="46"/>
      <c r="R645" s="46"/>
      <c r="S645" s="123"/>
    </row>
    <row r="646">
      <c r="A646" s="110"/>
      <c r="C646" s="46"/>
      <c r="D646" s="46"/>
      <c r="J646" s="46"/>
      <c r="K646" s="118"/>
      <c r="L646" s="119"/>
      <c r="M646" s="46"/>
      <c r="N646" s="118"/>
      <c r="O646" s="92"/>
      <c r="P646" s="92"/>
      <c r="Q646" s="46"/>
      <c r="R646" s="46"/>
      <c r="S646" s="123"/>
    </row>
    <row r="647">
      <c r="A647" s="110"/>
      <c r="C647" s="46"/>
      <c r="D647" s="46"/>
      <c r="J647" s="46"/>
      <c r="K647" s="118"/>
      <c r="L647" s="119"/>
      <c r="M647" s="46"/>
      <c r="N647" s="118"/>
      <c r="O647" s="92"/>
      <c r="P647" s="92"/>
      <c r="Q647" s="46"/>
      <c r="R647" s="46"/>
      <c r="S647" s="123"/>
    </row>
    <row r="648">
      <c r="A648" s="110"/>
      <c r="C648" s="46"/>
      <c r="D648" s="46"/>
      <c r="J648" s="46"/>
      <c r="K648" s="118"/>
      <c r="L648" s="119"/>
      <c r="M648" s="46"/>
      <c r="N648" s="118"/>
      <c r="O648" s="92"/>
      <c r="P648" s="92"/>
      <c r="Q648" s="46"/>
      <c r="R648" s="46"/>
      <c r="S648" s="123"/>
    </row>
    <row r="649">
      <c r="A649" s="110"/>
      <c r="C649" s="46"/>
      <c r="D649" s="46"/>
      <c r="J649" s="46"/>
      <c r="K649" s="118"/>
      <c r="L649" s="119"/>
      <c r="M649" s="46"/>
      <c r="N649" s="118"/>
      <c r="O649" s="92"/>
      <c r="P649" s="92"/>
      <c r="Q649" s="46"/>
      <c r="R649" s="46"/>
      <c r="S649" s="123"/>
    </row>
    <row r="650">
      <c r="A650" s="110"/>
      <c r="C650" s="46"/>
      <c r="D650" s="46"/>
      <c r="J650" s="46"/>
      <c r="K650" s="118"/>
      <c r="L650" s="119"/>
      <c r="M650" s="46"/>
      <c r="N650" s="118"/>
      <c r="O650" s="92"/>
      <c r="P650" s="92"/>
      <c r="Q650" s="46"/>
      <c r="R650" s="46"/>
      <c r="S650" s="123"/>
    </row>
    <row r="651">
      <c r="A651" s="110"/>
      <c r="C651" s="46"/>
      <c r="D651" s="46"/>
      <c r="J651" s="46"/>
      <c r="K651" s="118"/>
      <c r="L651" s="119"/>
      <c r="M651" s="46"/>
      <c r="N651" s="118"/>
      <c r="O651" s="92"/>
      <c r="P651" s="92"/>
      <c r="Q651" s="46"/>
      <c r="R651" s="46"/>
      <c r="S651" s="123"/>
    </row>
    <row r="652">
      <c r="A652" s="110"/>
      <c r="C652" s="46"/>
      <c r="D652" s="46"/>
      <c r="J652" s="46"/>
      <c r="K652" s="118"/>
      <c r="L652" s="119"/>
      <c r="M652" s="46"/>
      <c r="N652" s="118"/>
      <c r="O652" s="92"/>
      <c r="P652" s="92"/>
      <c r="Q652" s="46"/>
      <c r="R652" s="46"/>
      <c r="S652" s="123"/>
    </row>
    <row r="653">
      <c r="A653" s="110"/>
      <c r="C653" s="46"/>
      <c r="D653" s="46"/>
      <c r="J653" s="46"/>
      <c r="K653" s="118"/>
      <c r="L653" s="119"/>
      <c r="M653" s="46"/>
      <c r="N653" s="118"/>
      <c r="O653" s="92"/>
      <c r="P653" s="92"/>
      <c r="Q653" s="46"/>
      <c r="R653" s="46"/>
      <c r="S653" s="123"/>
    </row>
    <row r="654">
      <c r="A654" s="110"/>
      <c r="C654" s="46"/>
      <c r="D654" s="46"/>
      <c r="J654" s="46"/>
      <c r="K654" s="118"/>
      <c r="L654" s="119"/>
      <c r="M654" s="46"/>
      <c r="N654" s="118"/>
      <c r="O654" s="92"/>
      <c r="P654" s="92"/>
      <c r="Q654" s="46"/>
      <c r="R654" s="46"/>
      <c r="S654" s="123"/>
    </row>
    <row r="655">
      <c r="A655" s="110"/>
      <c r="C655" s="46"/>
      <c r="D655" s="46"/>
      <c r="J655" s="46"/>
      <c r="K655" s="118"/>
      <c r="L655" s="119"/>
      <c r="M655" s="46"/>
      <c r="N655" s="118"/>
      <c r="O655" s="92"/>
      <c r="P655" s="92"/>
      <c r="Q655" s="46"/>
      <c r="R655" s="46"/>
      <c r="S655" s="123"/>
    </row>
    <row r="656">
      <c r="A656" s="110"/>
      <c r="C656" s="46"/>
      <c r="D656" s="46"/>
      <c r="J656" s="46"/>
      <c r="K656" s="118"/>
      <c r="L656" s="119"/>
      <c r="M656" s="46"/>
      <c r="N656" s="118"/>
      <c r="O656" s="92"/>
      <c r="P656" s="92"/>
      <c r="Q656" s="46"/>
      <c r="R656" s="46"/>
      <c r="S656" s="123"/>
    </row>
    <row r="657">
      <c r="A657" s="110"/>
      <c r="C657" s="46"/>
      <c r="D657" s="46"/>
      <c r="J657" s="46"/>
      <c r="K657" s="118"/>
      <c r="L657" s="119"/>
      <c r="M657" s="46"/>
      <c r="N657" s="118"/>
      <c r="O657" s="92"/>
      <c r="P657" s="92"/>
      <c r="Q657" s="46"/>
      <c r="R657" s="46"/>
      <c r="S657" s="123"/>
    </row>
    <row r="658">
      <c r="A658" s="110"/>
      <c r="C658" s="46"/>
      <c r="D658" s="46"/>
      <c r="J658" s="46"/>
      <c r="K658" s="118"/>
      <c r="L658" s="119"/>
      <c r="M658" s="46"/>
      <c r="N658" s="118"/>
      <c r="O658" s="92"/>
      <c r="P658" s="92"/>
      <c r="Q658" s="46"/>
      <c r="R658" s="46"/>
      <c r="S658" s="123"/>
    </row>
    <row r="659">
      <c r="A659" s="110"/>
      <c r="C659" s="46"/>
      <c r="D659" s="46"/>
      <c r="J659" s="46"/>
      <c r="K659" s="118"/>
      <c r="L659" s="119"/>
      <c r="M659" s="46"/>
      <c r="N659" s="118"/>
      <c r="O659" s="92"/>
      <c r="P659" s="92"/>
      <c r="Q659" s="46"/>
      <c r="R659" s="46"/>
      <c r="S659" s="123"/>
    </row>
    <row r="660">
      <c r="A660" s="110"/>
      <c r="C660" s="46"/>
      <c r="D660" s="46"/>
      <c r="J660" s="46"/>
      <c r="K660" s="118"/>
      <c r="L660" s="119"/>
      <c r="M660" s="46"/>
      <c r="N660" s="118"/>
      <c r="O660" s="92"/>
      <c r="P660" s="92"/>
      <c r="Q660" s="46"/>
      <c r="R660" s="46"/>
      <c r="S660" s="123"/>
    </row>
    <row r="661">
      <c r="A661" s="110"/>
      <c r="C661" s="46"/>
      <c r="D661" s="46"/>
      <c r="J661" s="46"/>
      <c r="K661" s="118"/>
      <c r="L661" s="119"/>
      <c r="M661" s="46"/>
      <c r="N661" s="118"/>
      <c r="O661" s="92"/>
      <c r="P661" s="92"/>
      <c r="Q661" s="46"/>
      <c r="R661" s="46"/>
      <c r="S661" s="123"/>
    </row>
    <row r="662">
      <c r="A662" s="110"/>
      <c r="C662" s="46"/>
      <c r="D662" s="46"/>
      <c r="J662" s="46"/>
      <c r="K662" s="118"/>
      <c r="L662" s="119"/>
      <c r="M662" s="46"/>
      <c r="N662" s="118"/>
      <c r="O662" s="92"/>
      <c r="P662" s="92"/>
      <c r="Q662" s="46"/>
      <c r="R662" s="46"/>
      <c r="S662" s="123"/>
    </row>
    <row r="663">
      <c r="A663" s="110"/>
      <c r="C663" s="46"/>
      <c r="D663" s="46"/>
      <c r="J663" s="46"/>
      <c r="K663" s="118"/>
      <c r="L663" s="119"/>
      <c r="M663" s="46"/>
      <c r="N663" s="118"/>
      <c r="O663" s="92"/>
      <c r="P663" s="92"/>
      <c r="Q663" s="46"/>
      <c r="R663" s="46"/>
      <c r="S663" s="123"/>
    </row>
    <row r="664">
      <c r="A664" s="110"/>
      <c r="C664" s="46"/>
      <c r="D664" s="46"/>
      <c r="J664" s="46"/>
      <c r="K664" s="118"/>
      <c r="L664" s="119"/>
      <c r="M664" s="46"/>
      <c r="N664" s="118"/>
      <c r="O664" s="92"/>
      <c r="P664" s="92"/>
      <c r="Q664" s="46"/>
      <c r="R664" s="46"/>
      <c r="S664" s="123"/>
    </row>
    <row r="665">
      <c r="A665" s="110"/>
      <c r="C665" s="46"/>
      <c r="D665" s="46"/>
      <c r="J665" s="46"/>
      <c r="K665" s="118"/>
      <c r="L665" s="119"/>
      <c r="M665" s="46"/>
      <c r="N665" s="118"/>
      <c r="O665" s="92"/>
      <c r="P665" s="92"/>
      <c r="Q665" s="46"/>
      <c r="R665" s="46"/>
      <c r="S665" s="123"/>
    </row>
    <row r="666">
      <c r="A666" s="110"/>
      <c r="C666" s="46"/>
      <c r="D666" s="46"/>
      <c r="J666" s="46"/>
      <c r="K666" s="118"/>
      <c r="L666" s="119"/>
      <c r="M666" s="46"/>
      <c r="N666" s="118"/>
      <c r="O666" s="92"/>
      <c r="P666" s="92"/>
      <c r="Q666" s="46"/>
      <c r="R666" s="46"/>
      <c r="S666" s="123"/>
    </row>
    <row r="667">
      <c r="A667" s="110"/>
      <c r="C667" s="46"/>
      <c r="D667" s="46"/>
      <c r="J667" s="46"/>
      <c r="K667" s="118"/>
      <c r="L667" s="119"/>
      <c r="M667" s="46"/>
      <c r="N667" s="118"/>
      <c r="O667" s="92"/>
      <c r="P667" s="92"/>
      <c r="Q667" s="46"/>
      <c r="R667" s="46"/>
      <c r="S667" s="123"/>
    </row>
    <row r="668">
      <c r="A668" s="110"/>
      <c r="C668" s="46"/>
      <c r="D668" s="46"/>
      <c r="J668" s="46"/>
      <c r="K668" s="118"/>
      <c r="L668" s="119"/>
      <c r="M668" s="46"/>
      <c r="N668" s="118"/>
      <c r="O668" s="92"/>
      <c r="P668" s="92"/>
      <c r="Q668" s="46"/>
      <c r="R668" s="46"/>
      <c r="S668" s="123"/>
    </row>
    <row r="669">
      <c r="A669" s="110"/>
      <c r="C669" s="46"/>
      <c r="D669" s="46"/>
      <c r="J669" s="46"/>
      <c r="K669" s="118"/>
      <c r="L669" s="119"/>
      <c r="M669" s="46"/>
      <c r="N669" s="118"/>
      <c r="O669" s="92"/>
      <c r="P669" s="92"/>
      <c r="Q669" s="46"/>
      <c r="R669" s="46"/>
      <c r="S669" s="123"/>
    </row>
    <row r="670">
      <c r="A670" s="110"/>
      <c r="C670" s="46"/>
      <c r="D670" s="46"/>
      <c r="J670" s="46"/>
      <c r="K670" s="118"/>
      <c r="L670" s="119"/>
      <c r="M670" s="46"/>
      <c r="N670" s="118"/>
      <c r="O670" s="92"/>
      <c r="P670" s="92"/>
      <c r="Q670" s="46"/>
      <c r="R670" s="46"/>
      <c r="S670" s="123"/>
    </row>
    <row r="671">
      <c r="A671" s="110"/>
      <c r="C671" s="46"/>
      <c r="D671" s="46"/>
      <c r="J671" s="46"/>
      <c r="K671" s="118"/>
      <c r="L671" s="119"/>
      <c r="M671" s="46"/>
      <c r="N671" s="118"/>
      <c r="O671" s="92"/>
      <c r="P671" s="92"/>
      <c r="Q671" s="46"/>
      <c r="R671" s="46"/>
      <c r="S671" s="123"/>
    </row>
    <row r="672">
      <c r="A672" s="110"/>
      <c r="C672" s="46"/>
      <c r="D672" s="46"/>
      <c r="J672" s="46"/>
      <c r="K672" s="118"/>
      <c r="L672" s="119"/>
      <c r="M672" s="46"/>
      <c r="N672" s="118"/>
      <c r="O672" s="92"/>
      <c r="P672" s="92"/>
      <c r="Q672" s="46"/>
      <c r="R672" s="46"/>
      <c r="S672" s="123"/>
    </row>
    <row r="673">
      <c r="A673" s="110"/>
      <c r="C673" s="46"/>
      <c r="D673" s="46"/>
      <c r="J673" s="46"/>
      <c r="K673" s="118"/>
      <c r="L673" s="119"/>
      <c r="M673" s="46"/>
      <c r="N673" s="118"/>
      <c r="O673" s="92"/>
      <c r="P673" s="92"/>
      <c r="Q673" s="46"/>
      <c r="R673" s="46"/>
      <c r="S673" s="123"/>
    </row>
    <row r="674">
      <c r="A674" s="110"/>
      <c r="C674" s="46"/>
      <c r="D674" s="46"/>
      <c r="J674" s="46"/>
      <c r="K674" s="118"/>
      <c r="L674" s="119"/>
      <c r="M674" s="46"/>
      <c r="N674" s="118"/>
      <c r="O674" s="92"/>
      <c r="P674" s="92"/>
      <c r="Q674" s="46"/>
      <c r="R674" s="46"/>
      <c r="S674" s="123"/>
    </row>
    <row r="675">
      <c r="A675" s="110"/>
      <c r="C675" s="46"/>
      <c r="D675" s="46"/>
      <c r="J675" s="46"/>
      <c r="K675" s="118"/>
      <c r="L675" s="119"/>
      <c r="M675" s="46"/>
      <c r="N675" s="118"/>
      <c r="O675" s="92"/>
      <c r="P675" s="92"/>
      <c r="Q675" s="46"/>
      <c r="R675" s="46"/>
      <c r="S675" s="123"/>
    </row>
    <row r="676">
      <c r="A676" s="110"/>
      <c r="C676" s="46"/>
      <c r="D676" s="46"/>
      <c r="J676" s="46"/>
      <c r="K676" s="118"/>
      <c r="L676" s="119"/>
      <c r="M676" s="46"/>
      <c r="N676" s="118"/>
      <c r="O676" s="92"/>
      <c r="P676" s="92"/>
      <c r="Q676" s="46"/>
      <c r="R676" s="46"/>
      <c r="S676" s="123"/>
    </row>
    <row r="677">
      <c r="A677" s="110"/>
      <c r="C677" s="46"/>
      <c r="D677" s="46"/>
      <c r="J677" s="46"/>
      <c r="K677" s="118"/>
      <c r="L677" s="119"/>
      <c r="M677" s="46"/>
      <c r="N677" s="118"/>
      <c r="O677" s="92"/>
      <c r="P677" s="92"/>
      <c r="Q677" s="46"/>
      <c r="R677" s="46"/>
      <c r="S677" s="123"/>
    </row>
    <row r="678">
      <c r="A678" s="110"/>
      <c r="C678" s="46"/>
      <c r="D678" s="46"/>
      <c r="J678" s="46"/>
      <c r="K678" s="118"/>
      <c r="L678" s="119"/>
      <c r="M678" s="46"/>
      <c r="N678" s="118"/>
      <c r="O678" s="92"/>
      <c r="P678" s="92"/>
      <c r="Q678" s="46"/>
      <c r="R678" s="46"/>
      <c r="S678" s="123"/>
    </row>
    <row r="679">
      <c r="A679" s="110"/>
      <c r="C679" s="46"/>
      <c r="D679" s="46"/>
      <c r="J679" s="46"/>
      <c r="K679" s="118"/>
      <c r="L679" s="119"/>
      <c r="M679" s="46"/>
      <c r="N679" s="118"/>
      <c r="O679" s="92"/>
      <c r="P679" s="92"/>
      <c r="Q679" s="46"/>
      <c r="R679" s="46"/>
      <c r="S679" s="123"/>
    </row>
    <row r="680">
      <c r="A680" s="110"/>
      <c r="C680" s="46"/>
      <c r="D680" s="46"/>
      <c r="J680" s="46"/>
      <c r="K680" s="118"/>
      <c r="L680" s="119"/>
      <c r="M680" s="46"/>
      <c r="N680" s="118"/>
      <c r="O680" s="92"/>
      <c r="P680" s="92"/>
      <c r="Q680" s="46"/>
      <c r="R680" s="46"/>
      <c r="S680" s="123"/>
    </row>
    <row r="681">
      <c r="A681" s="110"/>
      <c r="C681" s="46"/>
      <c r="D681" s="46"/>
      <c r="J681" s="46"/>
      <c r="K681" s="118"/>
      <c r="L681" s="119"/>
      <c r="M681" s="46"/>
      <c r="N681" s="118"/>
      <c r="O681" s="92"/>
      <c r="P681" s="92"/>
      <c r="Q681" s="46"/>
      <c r="R681" s="46"/>
      <c r="S681" s="123"/>
    </row>
    <row r="682">
      <c r="A682" s="110"/>
      <c r="C682" s="46"/>
      <c r="D682" s="46"/>
      <c r="J682" s="46"/>
      <c r="K682" s="118"/>
      <c r="L682" s="119"/>
      <c r="M682" s="46"/>
      <c r="N682" s="118"/>
      <c r="O682" s="92"/>
      <c r="P682" s="92"/>
      <c r="Q682" s="46"/>
      <c r="R682" s="46"/>
      <c r="S682" s="123"/>
    </row>
    <row r="683">
      <c r="A683" s="110"/>
      <c r="C683" s="46"/>
      <c r="D683" s="46"/>
      <c r="J683" s="46"/>
      <c r="K683" s="118"/>
      <c r="L683" s="119"/>
      <c r="M683" s="46"/>
      <c r="N683" s="118"/>
      <c r="O683" s="92"/>
      <c r="P683" s="92"/>
      <c r="Q683" s="46"/>
      <c r="R683" s="46"/>
      <c r="S683" s="123"/>
    </row>
    <row r="684">
      <c r="A684" s="110"/>
      <c r="C684" s="46"/>
      <c r="D684" s="46"/>
      <c r="J684" s="46"/>
      <c r="K684" s="118"/>
      <c r="L684" s="119"/>
      <c r="M684" s="46"/>
      <c r="N684" s="118"/>
      <c r="O684" s="92"/>
      <c r="P684" s="92"/>
      <c r="Q684" s="46"/>
      <c r="R684" s="46"/>
      <c r="S684" s="123"/>
    </row>
    <row r="685">
      <c r="A685" s="110"/>
      <c r="C685" s="46"/>
      <c r="D685" s="46"/>
      <c r="J685" s="46"/>
      <c r="K685" s="118"/>
      <c r="L685" s="119"/>
      <c r="M685" s="46"/>
      <c r="N685" s="118"/>
      <c r="O685" s="92"/>
      <c r="P685" s="92"/>
      <c r="Q685" s="46"/>
      <c r="R685" s="46"/>
      <c r="S685" s="123"/>
    </row>
    <row r="686">
      <c r="A686" s="110"/>
      <c r="C686" s="46"/>
      <c r="D686" s="46"/>
      <c r="J686" s="46"/>
      <c r="K686" s="118"/>
      <c r="L686" s="119"/>
      <c r="M686" s="46"/>
      <c r="N686" s="118"/>
      <c r="O686" s="92"/>
      <c r="P686" s="92"/>
      <c r="Q686" s="46"/>
      <c r="R686" s="46"/>
      <c r="S686" s="123"/>
    </row>
    <row r="687">
      <c r="A687" s="110"/>
      <c r="C687" s="46"/>
      <c r="D687" s="46"/>
      <c r="J687" s="46"/>
      <c r="K687" s="118"/>
      <c r="L687" s="119"/>
      <c r="M687" s="46"/>
      <c r="N687" s="118"/>
      <c r="O687" s="92"/>
      <c r="P687" s="92"/>
      <c r="Q687" s="46"/>
      <c r="R687" s="46"/>
      <c r="S687" s="123"/>
    </row>
    <row r="688">
      <c r="A688" s="110"/>
      <c r="C688" s="46"/>
      <c r="D688" s="46"/>
      <c r="J688" s="46"/>
      <c r="K688" s="118"/>
      <c r="L688" s="119"/>
      <c r="M688" s="46"/>
      <c r="N688" s="118"/>
      <c r="O688" s="92"/>
      <c r="P688" s="92"/>
      <c r="Q688" s="46"/>
      <c r="R688" s="46"/>
      <c r="S688" s="123"/>
    </row>
    <row r="689">
      <c r="A689" s="110"/>
      <c r="C689" s="46"/>
      <c r="D689" s="46"/>
      <c r="J689" s="46"/>
      <c r="K689" s="118"/>
      <c r="L689" s="119"/>
      <c r="M689" s="46"/>
      <c r="N689" s="118"/>
      <c r="O689" s="92"/>
      <c r="P689" s="92"/>
      <c r="Q689" s="46"/>
      <c r="R689" s="46"/>
      <c r="S689" s="123"/>
    </row>
    <row r="690">
      <c r="A690" s="110"/>
      <c r="C690" s="46"/>
      <c r="D690" s="46"/>
      <c r="J690" s="46"/>
      <c r="K690" s="118"/>
      <c r="L690" s="119"/>
      <c r="M690" s="46"/>
      <c r="N690" s="118"/>
      <c r="O690" s="92"/>
      <c r="P690" s="92"/>
      <c r="Q690" s="46"/>
      <c r="R690" s="46"/>
      <c r="S690" s="123"/>
    </row>
    <row r="691">
      <c r="A691" s="110"/>
      <c r="C691" s="46"/>
      <c r="D691" s="46"/>
      <c r="J691" s="46"/>
      <c r="K691" s="118"/>
      <c r="L691" s="119"/>
      <c r="M691" s="46"/>
      <c r="N691" s="118"/>
      <c r="O691" s="92"/>
      <c r="P691" s="92"/>
      <c r="Q691" s="46"/>
      <c r="R691" s="46"/>
      <c r="S691" s="123"/>
    </row>
    <row r="692">
      <c r="A692" s="110"/>
      <c r="C692" s="46"/>
      <c r="D692" s="46"/>
      <c r="J692" s="46"/>
      <c r="K692" s="118"/>
      <c r="L692" s="119"/>
      <c r="M692" s="46"/>
      <c r="N692" s="118"/>
      <c r="O692" s="92"/>
      <c r="P692" s="92"/>
      <c r="Q692" s="46"/>
      <c r="R692" s="46"/>
      <c r="S692" s="123"/>
    </row>
    <row r="693">
      <c r="A693" s="110"/>
      <c r="C693" s="46"/>
      <c r="D693" s="46"/>
      <c r="J693" s="46"/>
      <c r="K693" s="118"/>
      <c r="L693" s="119"/>
      <c r="M693" s="46"/>
      <c r="N693" s="118"/>
      <c r="O693" s="92"/>
      <c r="P693" s="92"/>
      <c r="Q693" s="46"/>
      <c r="R693" s="46"/>
      <c r="S693" s="123"/>
    </row>
    <row r="694">
      <c r="A694" s="110"/>
      <c r="C694" s="46"/>
      <c r="D694" s="46"/>
      <c r="J694" s="46"/>
      <c r="K694" s="118"/>
      <c r="L694" s="119"/>
      <c r="M694" s="46"/>
      <c r="N694" s="118"/>
      <c r="O694" s="92"/>
      <c r="P694" s="92"/>
      <c r="Q694" s="46"/>
      <c r="R694" s="46"/>
      <c r="S694" s="123"/>
    </row>
    <row r="695">
      <c r="A695" s="110"/>
      <c r="C695" s="46"/>
      <c r="D695" s="46"/>
      <c r="J695" s="46"/>
      <c r="K695" s="118"/>
      <c r="L695" s="119"/>
      <c r="M695" s="46"/>
      <c r="N695" s="118"/>
      <c r="O695" s="92"/>
      <c r="P695" s="92"/>
      <c r="Q695" s="46"/>
      <c r="R695" s="46"/>
      <c r="S695" s="123"/>
    </row>
    <row r="696">
      <c r="A696" s="110"/>
      <c r="C696" s="46"/>
      <c r="D696" s="46"/>
      <c r="J696" s="46"/>
      <c r="K696" s="118"/>
      <c r="L696" s="119"/>
      <c r="M696" s="46"/>
      <c r="N696" s="118"/>
      <c r="O696" s="92"/>
      <c r="P696" s="92"/>
      <c r="Q696" s="46"/>
      <c r="R696" s="46"/>
      <c r="S696" s="123"/>
    </row>
    <row r="697">
      <c r="A697" s="110"/>
      <c r="C697" s="46"/>
      <c r="D697" s="46"/>
      <c r="J697" s="46"/>
      <c r="K697" s="118"/>
      <c r="L697" s="119"/>
      <c r="M697" s="46"/>
      <c r="N697" s="118"/>
      <c r="O697" s="92"/>
      <c r="P697" s="92"/>
      <c r="Q697" s="46"/>
      <c r="R697" s="46"/>
      <c r="S697" s="123"/>
    </row>
    <row r="698">
      <c r="A698" s="110"/>
      <c r="C698" s="46"/>
      <c r="D698" s="46"/>
      <c r="J698" s="46"/>
      <c r="K698" s="118"/>
      <c r="L698" s="119"/>
      <c r="M698" s="46"/>
      <c r="N698" s="118"/>
      <c r="O698" s="92"/>
      <c r="P698" s="92"/>
      <c r="Q698" s="46"/>
      <c r="R698" s="46"/>
      <c r="S698" s="123"/>
    </row>
    <row r="699">
      <c r="A699" s="110"/>
      <c r="C699" s="46"/>
      <c r="D699" s="46"/>
      <c r="J699" s="46"/>
      <c r="K699" s="118"/>
      <c r="L699" s="119"/>
      <c r="M699" s="46"/>
      <c r="N699" s="118"/>
      <c r="O699" s="92"/>
      <c r="P699" s="92"/>
      <c r="Q699" s="46"/>
      <c r="R699" s="46"/>
      <c r="S699" s="123"/>
    </row>
    <row r="700">
      <c r="A700" s="110"/>
      <c r="C700" s="46"/>
      <c r="D700" s="46"/>
      <c r="J700" s="46"/>
      <c r="K700" s="118"/>
      <c r="L700" s="119"/>
      <c r="M700" s="46"/>
      <c r="N700" s="118"/>
      <c r="O700" s="92"/>
      <c r="P700" s="92"/>
      <c r="Q700" s="46"/>
      <c r="R700" s="46"/>
      <c r="S700" s="123"/>
    </row>
    <row r="701">
      <c r="A701" s="110"/>
      <c r="C701" s="46"/>
      <c r="D701" s="46"/>
      <c r="J701" s="46"/>
      <c r="K701" s="118"/>
      <c r="L701" s="119"/>
      <c r="M701" s="46"/>
      <c r="N701" s="118"/>
      <c r="O701" s="92"/>
      <c r="P701" s="92"/>
      <c r="Q701" s="46"/>
      <c r="R701" s="46"/>
      <c r="S701" s="123"/>
    </row>
    <row r="702">
      <c r="A702" s="110"/>
      <c r="C702" s="46"/>
      <c r="D702" s="46"/>
      <c r="J702" s="46"/>
      <c r="K702" s="118"/>
      <c r="L702" s="119"/>
      <c r="M702" s="46"/>
      <c r="N702" s="118"/>
      <c r="O702" s="92"/>
      <c r="P702" s="92"/>
      <c r="Q702" s="46"/>
      <c r="R702" s="46"/>
      <c r="S702" s="123"/>
    </row>
    <row r="703">
      <c r="A703" s="110"/>
      <c r="C703" s="46"/>
      <c r="D703" s="46"/>
      <c r="J703" s="46"/>
      <c r="K703" s="118"/>
      <c r="L703" s="119"/>
      <c r="M703" s="46"/>
      <c r="N703" s="118"/>
      <c r="O703" s="92"/>
      <c r="P703" s="92"/>
      <c r="Q703" s="46"/>
      <c r="R703" s="46"/>
      <c r="S703" s="123"/>
    </row>
    <row r="704">
      <c r="A704" s="110"/>
      <c r="C704" s="46"/>
      <c r="D704" s="46"/>
      <c r="J704" s="46"/>
      <c r="K704" s="118"/>
      <c r="L704" s="119"/>
      <c r="M704" s="46"/>
      <c r="N704" s="118"/>
      <c r="O704" s="92"/>
      <c r="P704" s="92"/>
      <c r="Q704" s="46"/>
      <c r="R704" s="46"/>
      <c r="S704" s="123"/>
    </row>
    <row r="705">
      <c r="A705" s="110"/>
      <c r="C705" s="46"/>
      <c r="D705" s="46"/>
      <c r="J705" s="46"/>
      <c r="K705" s="118"/>
      <c r="L705" s="119"/>
      <c r="M705" s="46"/>
      <c r="N705" s="118"/>
      <c r="O705" s="92"/>
      <c r="P705" s="92"/>
      <c r="Q705" s="46"/>
      <c r="R705" s="46"/>
      <c r="S705" s="123"/>
    </row>
    <row r="706">
      <c r="A706" s="110"/>
      <c r="C706" s="46"/>
      <c r="D706" s="46"/>
      <c r="J706" s="46"/>
      <c r="K706" s="118"/>
      <c r="L706" s="119"/>
      <c r="M706" s="46"/>
      <c r="N706" s="118"/>
      <c r="O706" s="92"/>
      <c r="P706" s="92"/>
      <c r="Q706" s="46"/>
      <c r="R706" s="46"/>
      <c r="S706" s="123"/>
    </row>
    <row r="707">
      <c r="A707" s="110"/>
      <c r="C707" s="46"/>
      <c r="D707" s="46"/>
      <c r="J707" s="46"/>
      <c r="K707" s="118"/>
      <c r="L707" s="119"/>
      <c r="M707" s="46"/>
      <c r="N707" s="118"/>
      <c r="O707" s="92"/>
      <c r="P707" s="92"/>
      <c r="Q707" s="46"/>
      <c r="R707" s="46"/>
      <c r="S707" s="123"/>
    </row>
    <row r="708">
      <c r="A708" s="110"/>
      <c r="C708" s="46"/>
      <c r="D708" s="46"/>
      <c r="J708" s="46"/>
      <c r="K708" s="118"/>
      <c r="L708" s="119"/>
      <c r="M708" s="46"/>
      <c r="N708" s="118"/>
      <c r="O708" s="92"/>
      <c r="P708" s="92"/>
      <c r="Q708" s="46"/>
      <c r="R708" s="46"/>
      <c r="S708" s="123"/>
    </row>
    <row r="709">
      <c r="A709" s="110"/>
      <c r="C709" s="46"/>
      <c r="D709" s="46"/>
      <c r="J709" s="46"/>
      <c r="K709" s="118"/>
      <c r="L709" s="119"/>
      <c r="M709" s="46"/>
      <c r="N709" s="118"/>
      <c r="O709" s="92"/>
      <c r="P709" s="92"/>
      <c r="Q709" s="46"/>
      <c r="R709" s="46"/>
      <c r="S709" s="123"/>
    </row>
    <row r="710">
      <c r="A710" s="110"/>
      <c r="C710" s="46"/>
      <c r="D710" s="46"/>
      <c r="J710" s="46"/>
      <c r="K710" s="118"/>
      <c r="L710" s="119"/>
      <c r="M710" s="46"/>
      <c r="N710" s="118"/>
      <c r="O710" s="92"/>
      <c r="P710" s="92"/>
      <c r="Q710" s="46"/>
      <c r="R710" s="46"/>
      <c r="S710" s="123"/>
    </row>
    <row r="711">
      <c r="A711" s="110"/>
      <c r="C711" s="46"/>
      <c r="D711" s="46"/>
      <c r="J711" s="46"/>
      <c r="K711" s="118"/>
      <c r="L711" s="119"/>
      <c r="M711" s="46"/>
      <c r="N711" s="118"/>
      <c r="O711" s="92"/>
      <c r="P711" s="92"/>
      <c r="Q711" s="46"/>
      <c r="R711" s="46"/>
      <c r="S711" s="123"/>
    </row>
    <row r="712">
      <c r="A712" s="110"/>
      <c r="C712" s="46"/>
      <c r="D712" s="46"/>
      <c r="J712" s="46"/>
      <c r="K712" s="118"/>
      <c r="L712" s="119"/>
      <c r="M712" s="46"/>
      <c r="N712" s="118"/>
      <c r="O712" s="92"/>
      <c r="P712" s="92"/>
      <c r="Q712" s="46"/>
      <c r="R712" s="46"/>
      <c r="S712" s="123"/>
    </row>
    <row r="713">
      <c r="A713" s="110"/>
      <c r="C713" s="46"/>
      <c r="D713" s="46"/>
      <c r="J713" s="46"/>
      <c r="K713" s="118"/>
      <c r="L713" s="119"/>
      <c r="M713" s="46"/>
      <c r="N713" s="118"/>
      <c r="O713" s="92"/>
      <c r="P713" s="92"/>
      <c r="Q713" s="46"/>
      <c r="R713" s="46"/>
      <c r="S713" s="123"/>
    </row>
    <row r="714">
      <c r="A714" s="110"/>
      <c r="C714" s="46"/>
      <c r="D714" s="46"/>
      <c r="J714" s="46"/>
      <c r="K714" s="118"/>
      <c r="L714" s="119"/>
      <c r="M714" s="46"/>
      <c r="N714" s="118"/>
      <c r="O714" s="92"/>
      <c r="P714" s="92"/>
      <c r="Q714" s="46"/>
      <c r="R714" s="46"/>
      <c r="S714" s="123"/>
    </row>
    <row r="715">
      <c r="A715" s="110"/>
      <c r="C715" s="46"/>
      <c r="D715" s="46"/>
      <c r="J715" s="46"/>
      <c r="K715" s="118"/>
      <c r="L715" s="119"/>
      <c r="M715" s="46"/>
      <c r="N715" s="118"/>
      <c r="O715" s="92"/>
      <c r="P715" s="92"/>
      <c r="Q715" s="46"/>
      <c r="R715" s="46"/>
      <c r="S715" s="123"/>
    </row>
    <row r="716">
      <c r="A716" s="110"/>
      <c r="C716" s="46"/>
      <c r="D716" s="46"/>
      <c r="J716" s="46"/>
      <c r="K716" s="118"/>
      <c r="L716" s="119"/>
      <c r="M716" s="46"/>
      <c r="N716" s="118"/>
      <c r="O716" s="92"/>
      <c r="P716" s="92"/>
      <c r="Q716" s="46"/>
      <c r="R716" s="46"/>
      <c r="S716" s="123"/>
    </row>
    <row r="717">
      <c r="A717" s="110"/>
      <c r="C717" s="46"/>
      <c r="D717" s="46"/>
      <c r="J717" s="46"/>
      <c r="K717" s="118"/>
      <c r="L717" s="119"/>
      <c r="M717" s="46"/>
      <c r="N717" s="118"/>
      <c r="O717" s="92"/>
      <c r="P717" s="92"/>
      <c r="Q717" s="46"/>
      <c r="R717" s="46"/>
      <c r="S717" s="123"/>
    </row>
    <row r="718">
      <c r="A718" s="110"/>
      <c r="C718" s="46"/>
      <c r="D718" s="46"/>
      <c r="J718" s="46"/>
      <c r="K718" s="118"/>
      <c r="L718" s="119"/>
      <c r="M718" s="46"/>
      <c r="N718" s="118"/>
      <c r="O718" s="92"/>
      <c r="P718" s="92"/>
      <c r="Q718" s="46"/>
      <c r="R718" s="46"/>
      <c r="S718" s="123"/>
    </row>
    <row r="719">
      <c r="A719" s="110"/>
      <c r="C719" s="46"/>
      <c r="D719" s="46"/>
      <c r="J719" s="46"/>
      <c r="K719" s="118"/>
      <c r="L719" s="119"/>
      <c r="M719" s="46"/>
      <c r="N719" s="118"/>
      <c r="O719" s="92"/>
      <c r="P719" s="92"/>
      <c r="Q719" s="46"/>
      <c r="R719" s="46"/>
      <c r="S719" s="123"/>
    </row>
    <row r="720">
      <c r="A720" s="110"/>
      <c r="C720" s="46"/>
      <c r="D720" s="46"/>
      <c r="J720" s="46"/>
      <c r="K720" s="118"/>
      <c r="L720" s="119"/>
      <c r="M720" s="46"/>
      <c r="N720" s="118"/>
      <c r="O720" s="92"/>
      <c r="P720" s="92"/>
      <c r="Q720" s="46"/>
      <c r="R720" s="46"/>
      <c r="S720" s="123"/>
    </row>
    <row r="721">
      <c r="A721" s="110"/>
      <c r="C721" s="46"/>
      <c r="D721" s="46"/>
      <c r="J721" s="46"/>
      <c r="K721" s="118"/>
      <c r="L721" s="119"/>
      <c r="M721" s="46"/>
      <c r="N721" s="118"/>
      <c r="O721" s="92"/>
      <c r="P721" s="92"/>
      <c r="Q721" s="46"/>
      <c r="R721" s="46"/>
      <c r="S721" s="123"/>
    </row>
    <row r="722">
      <c r="A722" s="110"/>
      <c r="C722" s="46"/>
      <c r="D722" s="46"/>
      <c r="J722" s="46"/>
      <c r="K722" s="118"/>
      <c r="L722" s="119"/>
      <c r="M722" s="46"/>
      <c r="N722" s="118"/>
      <c r="O722" s="92"/>
      <c r="P722" s="92"/>
      <c r="Q722" s="46"/>
      <c r="R722" s="46"/>
      <c r="S722" s="123"/>
    </row>
    <row r="723">
      <c r="A723" s="110"/>
      <c r="C723" s="46"/>
      <c r="D723" s="46"/>
      <c r="J723" s="46"/>
      <c r="K723" s="118"/>
      <c r="L723" s="119"/>
      <c r="M723" s="46"/>
      <c r="N723" s="118"/>
      <c r="O723" s="92"/>
      <c r="P723" s="92"/>
      <c r="Q723" s="46"/>
      <c r="R723" s="46"/>
      <c r="S723" s="123"/>
    </row>
    <row r="724">
      <c r="A724" s="110"/>
      <c r="C724" s="46"/>
      <c r="D724" s="46"/>
      <c r="J724" s="46"/>
      <c r="K724" s="118"/>
      <c r="L724" s="119"/>
      <c r="M724" s="46"/>
      <c r="N724" s="118"/>
      <c r="O724" s="92"/>
      <c r="P724" s="92"/>
      <c r="Q724" s="46"/>
      <c r="R724" s="46"/>
      <c r="S724" s="123"/>
    </row>
    <row r="725">
      <c r="A725" s="110"/>
      <c r="C725" s="46"/>
      <c r="D725" s="46"/>
      <c r="J725" s="46"/>
      <c r="K725" s="118"/>
      <c r="L725" s="119"/>
      <c r="M725" s="46"/>
      <c r="N725" s="118"/>
      <c r="O725" s="92"/>
      <c r="P725" s="92"/>
      <c r="Q725" s="46"/>
      <c r="R725" s="46"/>
      <c r="S725" s="123"/>
    </row>
    <row r="726">
      <c r="A726" s="110"/>
      <c r="C726" s="46"/>
      <c r="D726" s="46"/>
      <c r="J726" s="46"/>
      <c r="K726" s="118"/>
      <c r="L726" s="119"/>
      <c r="M726" s="46"/>
      <c r="N726" s="118"/>
      <c r="O726" s="92"/>
      <c r="P726" s="92"/>
      <c r="Q726" s="46"/>
      <c r="R726" s="46"/>
      <c r="S726" s="123"/>
    </row>
    <row r="727">
      <c r="A727" s="110"/>
      <c r="C727" s="46"/>
      <c r="D727" s="46"/>
      <c r="J727" s="46"/>
      <c r="K727" s="118"/>
      <c r="L727" s="119"/>
      <c r="M727" s="46"/>
      <c r="N727" s="118"/>
      <c r="O727" s="92"/>
      <c r="P727" s="92"/>
      <c r="Q727" s="46"/>
      <c r="R727" s="46"/>
      <c r="S727" s="123"/>
    </row>
    <row r="728">
      <c r="A728" s="110"/>
      <c r="C728" s="46"/>
      <c r="D728" s="46"/>
      <c r="J728" s="46"/>
      <c r="K728" s="118"/>
      <c r="L728" s="119"/>
      <c r="M728" s="46"/>
      <c r="N728" s="118"/>
      <c r="O728" s="92"/>
      <c r="P728" s="92"/>
      <c r="Q728" s="46"/>
      <c r="R728" s="46"/>
      <c r="S728" s="123"/>
    </row>
    <row r="729">
      <c r="A729" s="110"/>
      <c r="C729" s="46"/>
      <c r="D729" s="46"/>
      <c r="J729" s="46"/>
      <c r="K729" s="118"/>
      <c r="L729" s="119"/>
      <c r="M729" s="46"/>
      <c r="N729" s="118"/>
      <c r="O729" s="92"/>
      <c r="P729" s="92"/>
      <c r="Q729" s="46"/>
      <c r="R729" s="46"/>
      <c r="S729" s="123"/>
    </row>
    <row r="730">
      <c r="A730" s="110"/>
      <c r="C730" s="46"/>
      <c r="D730" s="46"/>
      <c r="J730" s="46"/>
      <c r="K730" s="118"/>
      <c r="L730" s="119"/>
      <c r="M730" s="46"/>
      <c r="N730" s="118"/>
      <c r="O730" s="92"/>
      <c r="P730" s="92"/>
      <c r="Q730" s="46"/>
      <c r="R730" s="46"/>
      <c r="S730" s="123"/>
    </row>
    <row r="731">
      <c r="A731" s="110"/>
      <c r="C731" s="46"/>
      <c r="D731" s="46"/>
      <c r="J731" s="46"/>
      <c r="K731" s="118"/>
      <c r="L731" s="119"/>
      <c r="M731" s="46"/>
      <c r="N731" s="118"/>
      <c r="O731" s="92"/>
      <c r="P731" s="92"/>
      <c r="Q731" s="46"/>
      <c r="R731" s="46"/>
      <c r="S731" s="123"/>
    </row>
    <row r="732">
      <c r="A732" s="110"/>
      <c r="C732" s="46"/>
      <c r="D732" s="46"/>
      <c r="J732" s="46"/>
      <c r="K732" s="118"/>
      <c r="L732" s="119"/>
      <c r="M732" s="46"/>
      <c r="N732" s="118"/>
      <c r="O732" s="92"/>
      <c r="P732" s="92"/>
      <c r="Q732" s="46"/>
      <c r="R732" s="46"/>
      <c r="S732" s="123"/>
    </row>
    <row r="733">
      <c r="A733" s="110"/>
      <c r="C733" s="46"/>
      <c r="D733" s="46"/>
      <c r="J733" s="46"/>
      <c r="K733" s="118"/>
      <c r="L733" s="119"/>
      <c r="M733" s="46"/>
      <c r="N733" s="118"/>
      <c r="O733" s="92"/>
      <c r="P733" s="92"/>
      <c r="Q733" s="46"/>
      <c r="R733" s="46"/>
      <c r="S733" s="123"/>
    </row>
    <row r="734">
      <c r="A734" s="110"/>
      <c r="C734" s="46"/>
      <c r="D734" s="46"/>
      <c r="J734" s="46"/>
      <c r="K734" s="118"/>
      <c r="L734" s="119"/>
      <c r="M734" s="46"/>
      <c r="N734" s="118"/>
      <c r="O734" s="92"/>
      <c r="P734" s="92"/>
      <c r="Q734" s="46"/>
      <c r="R734" s="46"/>
      <c r="S734" s="123"/>
    </row>
    <row r="735">
      <c r="A735" s="110"/>
      <c r="C735" s="46"/>
      <c r="D735" s="46"/>
      <c r="J735" s="46"/>
      <c r="K735" s="118"/>
      <c r="L735" s="119"/>
      <c r="M735" s="46"/>
      <c r="N735" s="118"/>
      <c r="O735" s="92"/>
      <c r="P735" s="92"/>
      <c r="Q735" s="46"/>
      <c r="R735" s="46"/>
      <c r="S735" s="123"/>
    </row>
    <row r="736">
      <c r="A736" s="110"/>
      <c r="C736" s="46"/>
      <c r="D736" s="46"/>
      <c r="J736" s="46"/>
      <c r="K736" s="118"/>
      <c r="L736" s="119"/>
      <c r="M736" s="46"/>
      <c r="N736" s="118"/>
      <c r="O736" s="92"/>
      <c r="P736" s="92"/>
      <c r="Q736" s="46"/>
      <c r="R736" s="46"/>
      <c r="S736" s="123"/>
    </row>
    <row r="737">
      <c r="A737" s="110"/>
      <c r="C737" s="46"/>
      <c r="D737" s="46"/>
      <c r="J737" s="46"/>
      <c r="K737" s="118"/>
      <c r="L737" s="119"/>
      <c r="M737" s="46"/>
      <c r="N737" s="118"/>
      <c r="O737" s="92"/>
      <c r="P737" s="92"/>
      <c r="Q737" s="46"/>
      <c r="R737" s="46"/>
      <c r="S737" s="123"/>
    </row>
    <row r="738">
      <c r="A738" s="110"/>
      <c r="C738" s="46"/>
      <c r="D738" s="46"/>
      <c r="J738" s="46"/>
      <c r="K738" s="118"/>
      <c r="L738" s="119"/>
      <c r="M738" s="46"/>
      <c r="N738" s="118"/>
      <c r="O738" s="92"/>
      <c r="P738" s="92"/>
      <c r="Q738" s="46"/>
      <c r="R738" s="46"/>
      <c r="S738" s="123"/>
    </row>
    <row r="739">
      <c r="A739" s="110"/>
      <c r="C739" s="46"/>
      <c r="D739" s="46"/>
      <c r="J739" s="46"/>
      <c r="K739" s="118"/>
      <c r="L739" s="119"/>
      <c r="M739" s="46"/>
      <c r="N739" s="118"/>
      <c r="O739" s="92"/>
      <c r="P739" s="92"/>
      <c r="Q739" s="46"/>
      <c r="R739" s="46"/>
      <c r="S739" s="123"/>
    </row>
    <row r="740">
      <c r="A740" s="110"/>
      <c r="C740" s="46"/>
      <c r="D740" s="46"/>
      <c r="J740" s="46"/>
      <c r="K740" s="118"/>
      <c r="L740" s="119"/>
      <c r="M740" s="46"/>
      <c r="N740" s="118"/>
      <c r="O740" s="92"/>
      <c r="P740" s="92"/>
      <c r="Q740" s="46"/>
      <c r="R740" s="46"/>
      <c r="S740" s="123"/>
    </row>
    <row r="741">
      <c r="A741" s="110"/>
      <c r="C741" s="46"/>
      <c r="D741" s="46"/>
      <c r="J741" s="46"/>
      <c r="K741" s="118"/>
      <c r="L741" s="119"/>
      <c r="M741" s="46"/>
      <c r="N741" s="118"/>
      <c r="O741" s="92"/>
      <c r="P741" s="92"/>
      <c r="Q741" s="46"/>
      <c r="R741" s="46"/>
      <c r="S741" s="123"/>
    </row>
    <row r="742">
      <c r="A742" s="110"/>
      <c r="C742" s="46"/>
      <c r="D742" s="46"/>
      <c r="J742" s="46"/>
      <c r="K742" s="118"/>
      <c r="L742" s="119"/>
      <c r="M742" s="46"/>
      <c r="N742" s="118"/>
      <c r="O742" s="92"/>
      <c r="P742" s="92"/>
      <c r="Q742" s="46"/>
      <c r="R742" s="46"/>
      <c r="S742" s="123"/>
    </row>
    <row r="743">
      <c r="A743" s="110"/>
      <c r="C743" s="46"/>
      <c r="D743" s="46"/>
      <c r="J743" s="46"/>
      <c r="K743" s="118"/>
      <c r="L743" s="119"/>
      <c r="M743" s="46"/>
      <c r="N743" s="118"/>
      <c r="O743" s="92"/>
      <c r="P743" s="92"/>
      <c r="Q743" s="46"/>
      <c r="R743" s="46"/>
      <c r="S743" s="123"/>
    </row>
    <row r="744">
      <c r="A744" s="110"/>
      <c r="C744" s="46"/>
      <c r="D744" s="46"/>
      <c r="J744" s="46"/>
      <c r="K744" s="118"/>
      <c r="L744" s="119"/>
      <c r="M744" s="46"/>
      <c r="N744" s="118"/>
      <c r="O744" s="92"/>
      <c r="P744" s="92"/>
      <c r="Q744" s="46"/>
      <c r="R744" s="46"/>
      <c r="S744" s="123"/>
    </row>
    <row r="745">
      <c r="A745" s="110"/>
      <c r="C745" s="46"/>
      <c r="D745" s="46"/>
      <c r="J745" s="46"/>
      <c r="K745" s="118"/>
      <c r="L745" s="119"/>
      <c r="M745" s="46"/>
      <c r="N745" s="118"/>
      <c r="O745" s="92"/>
      <c r="P745" s="92"/>
      <c r="Q745" s="46"/>
      <c r="R745" s="46"/>
      <c r="S745" s="123"/>
    </row>
    <row r="746">
      <c r="A746" s="110"/>
      <c r="C746" s="46"/>
      <c r="D746" s="46"/>
      <c r="J746" s="46"/>
      <c r="K746" s="118"/>
      <c r="L746" s="119"/>
      <c r="M746" s="46"/>
      <c r="N746" s="118"/>
      <c r="O746" s="92"/>
      <c r="P746" s="92"/>
      <c r="Q746" s="46"/>
      <c r="R746" s="46"/>
      <c r="S746" s="123"/>
    </row>
    <row r="747">
      <c r="A747" s="110"/>
      <c r="C747" s="46"/>
      <c r="D747" s="46"/>
      <c r="J747" s="46"/>
      <c r="K747" s="118"/>
      <c r="L747" s="119"/>
      <c r="M747" s="46"/>
      <c r="N747" s="118"/>
      <c r="O747" s="92"/>
      <c r="P747" s="92"/>
      <c r="Q747" s="46"/>
      <c r="R747" s="46"/>
      <c r="S747" s="123"/>
    </row>
    <row r="748">
      <c r="A748" s="110"/>
      <c r="C748" s="46"/>
      <c r="D748" s="46"/>
      <c r="J748" s="46"/>
      <c r="K748" s="118"/>
      <c r="L748" s="119"/>
      <c r="M748" s="46"/>
      <c r="N748" s="118"/>
      <c r="O748" s="92"/>
      <c r="P748" s="92"/>
      <c r="Q748" s="46"/>
      <c r="R748" s="46"/>
      <c r="S748" s="123"/>
    </row>
    <row r="749">
      <c r="A749" s="110"/>
      <c r="C749" s="46"/>
      <c r="D749" s="46"/>
      <c r="J749" s="46"/>
      <c r="K749" s="118"/>
      <c r="L749" s="119"/>
      <c r="M749" s="46"/>
      <c r="N749" s="118"/>
      <c r="O749" s="92"/>
      <c r="P749" s="92"/>
      <c r="Q749" s="46"/>
      <c r="R749" s="46"/>
      <c r="S749" s="123"/>
    </row>
    <row r="750">
      <c r="A750" s="110"/>
      <c r="C750" s="46"/>
      <c r="D750" s="46"/>
      <c r="J750" s="46"/>
      <c r="K750" s="118"/>
      <c r="L750" s="119"/>
      <c r="M750" s="46"/>
      <c r="N750" s="118"/>
      <c r="O750" s="92"/>
      <c r="P750" s="92"/>
      <c r="Q750" s="46"/>
      <c r="R750" s="46"/>
      <c r="S750" s="123"/>
    </row>
    <row r="751">
      <c r="A751" s="110"/>
      <c r="C751" s="46"/>
      <c r="D751" s="46"/>
      <c r="J751" s="46"/>
      <c r="K751" s="118"/>
      <c r="L751" s="119"/>
      <c r="M751" s="46"/>
      <c r="N751" s="118"/>
      <c r="O751" s="92"/>
      <c r="P751" s="92"/>
      <c r="Q751" s="46"/>
      <c r="R751" s="46"/>
      <c r="S751" s="123"/>
    </row>
    <row r="752">
      <c r="A752" s="110"/>
      <c r="C752" s="46"/>
      <c r="D752" s="46"/>
      <c r="J752" s="46"/>
      <c r="K752" s="118"/>
      <c r="L752" s="119"/>
      <c r="M752" s="46"/>
      <c r="N752" s="118"/>
      <c r="O752" s="92"/>
      <c r="P752" s="92"/>
      <c r="Q752" s="46"/>
      <c r="R752" s="46"/>
      <c r="S752" s="123"/>
    </row>
    <row r="753">
      <c r="A753" s="110"/>
      <c r="C753" s="46"/>
      <c r="D753" s="46"/>
      <c r="J753" s="46"/>
      <c r="K753" s="118"/>
      <c r="L753" s="119"/>
      <c r="M753" s="46"/>
      <c r="N753" s="118"/>
      <c r="O753" s="92"/>
      <c r="P753" s="92"/>
      <c r="Q753" s="46"/>
      <c r="R753" s="46"/>
      <c r="S753" s="123"/>
    </row>
    <row r="754">
      <c r="A754" s="110"/>
      <c r="C754" s="46"/>
      <c r="D754" s="46"/>
      <c r="J754" s="46"/>
      <c r="K754" s="118"/>
      <c r="L754" s="119"/>
      <c r="M754" s="46"/>
      <c r="N754" s="118"/>
      <c r="O754" s="92"/>
      <c r="P754" s="92"/>
      <c r="Q754" s="46"/>
      <c r="R754" s="46"/>
      <c r="S754" s="123"/>
    </row>
    <row r="755">
      <c r="A755" s="110"/>
      <c r="C755" s="46"/>
      <c r="D755" s="46"/>
      <c r="J755" s="46"/>
      <c r="K755" s="118"/>
      <c r="L755" s="119"/>
      <c r="M755" s="46"/>
      <c r="N755" s="118"/>
      <c r="O755" s="92"/>
      <c r="P755" s="92"/>
      <c r="Q755" s="46"/>
      <c r="R755" s="46"/>
      <c r="S755" s="123"/>
    </row>
    <row r="756">
      <c r="A756" s="110"/>
      <c r="C756" s="46"/>
      <c r="D756" s="46"/>
      <c r="J756" s="46"/>
      <c r="K756" s="118"/>
      <c r="L756" s="119"/>
      <c r="M756" s="46"/>
      <c r="N756" s="118"/>
      <c r="O756" s="92"/>
      <c r="P756" s="92"/>
      <c r="Q756" s="46"/>
      <c r="R756" s="46"/>
      <c r="S756" s="123"/>
    </row>
    <row r="757">
      <c r="A757" s="110"/>
      <c r="C757" s="46"/>
      <c r="D757" s="46"/>
      <c r="J757" s="46"/>
      <c r="K757" s="118"/>
      <c r="L757" s="119"/>
      <c r="M757" s="46"/>
      <c r="N757" s="118"/>
      <c r="O757" s="92"/>
      <c r="P757" s="92"/>
      <c r="Q757" s="46"/>
      <c r="R757" s="46"/>
      <c r="S757" s="123"/>
    </row>
    <row r="758">
      <c r="A758" s="110"/>
      <c r="C758" s="46"/>
      <c r="D758" s="46"/>
      <c r="J758" s="46"/>
      <c r="K758" s="118"/>
      <c r="L758" s="119"/>
      <c r="M758" s="46"/>
      <c r="N758" s="118"/>
      <c r="O758" s="92"/>
      <c r="P758" s="92"/>
      <c r="Q758" s="46"/>
      <c r="R758" s="46"/>
      <c r="S758" s="123"/>
    </row>
    <row r="759">
      <c r="A759" s="110"/>
      <c r="C759" s="46"/>
      <c r="D759" s="46"/>
      <c r="J759" s="46"/>
      <c r="K759" s="118"/>
      <c r="L759" s="119"/>
      <c r="M759" s="46"/>
      <c r="N759" s="118"/>
      <c r="O759" s="92"/>
      <c r="P759" s="92"/>
      <c r="Q759" s="46"/>
      <c r="R759" s="46"/>
      <c r="S759" s="123"/>
    </row>
    <row r="760">
      <c r="A760" s="110"/>
      <c r="C760" s="46"/>
      <c r="D760" s="46"/>
      <c r="J760" s="46"/>
      <c r="K760" s="118"/>
      <c r="L760" s="119"/>
      <c r="M760" s="46"/>
      <c r="N760" s="118"/>
      <c r="O760" s="92"/>
      <c r="P760" s="92"/>
      <c r="Q760" s="46"/>
      <c r="R760" s="46"/>
      <c r="S760" s="123"/>
    </row>
    <row r="761">
      <c r="A761" s="110"/>
      <c r="C761" s="46"/>
      <c r="D761" s="46"/>
      <c r="J761" s="46"/>
      <c r="K761" s="118"/>
      <c r="L761" s="119"/>
      <c r="M761" s="46"/>
      <c r="N761" s="118"/>
      <c r="O761" s="92"/>
      <c r="P761" s="92"/>
      <c r="Q761" s="46"/>
      <c r="R761" s="46"/>
      <c r="S761" s="123"/>
    </row>
    <row r="762">
      <c r="A762" s="110"/>
      <c r="C762" s="46"/>
      <c r="D762" s="46"/>
      <c r="J762" s="46"/>
      <c r="K762" s="118"/>
      <c r="L762" s="119"/>
      <c r="M762" s="46"/>
      <c r="N762" s="118"/>
      <c r="O762" s="92"/>
      <c r="P762" s="92"/>
      <c r="Q762" s="46"/>
      <c r="R762" s="46"/>
      <c r="S762" s="123"/>
    </row>
    <row r="763">
      <c r="A763" s="110"/>
      <c r="C763" s="46"/>
      <c r="D763" s="46"/>
      <c r="J763" s="46"/>
      <c r="K763" s="118"/>
      <c r="L763" s="119"/>
      <c r="M763" s="46"/>
      <c r="N763" s="118"/>
      <c r="O763" s="92"/>
      <c r="P763" s="92"/>
      <c r="Q763" s="46"/>
      <c r="R763" s="46"/>
      <c r="S763" s="123"/>
    </row>
    <row r="764">
      <c r="A764" s="110"/>
      <c r="C764" s="46"/>
      <c r="D764" s="46"/>
      <c r="J764" s="46"/>
      <c r="K764" s="118"/>
      <c r="L764" s="119"/>
      <c r="M764" s="46"/>
      <c r="N764" s="118"/>
      <c r="O764" s="92"/>
      <c r="P764" s="92"/>
      <c r="Q764" s="46"/>
      <c r="R764" s="46"/>
      <c r="S764" s="123"/>
    </row>
    <row r="765">
      <c r="A765" s="110"/>
      <c r="C765" s="46"/>
      <c r="D765" s="46"/>
      <c r="J765" s="46"/>
      <c r="K765" s="118"/>
      <c r="L765" s="119"/>
      <c r="M765" s="46"/>
      <c r="N765" s="118"/>
      <c r="O765" s="92"/>
      <c r="P765" s="92"/>
      <c r="Q765" s="46"/>
      <c r="R765" s="46"/>
      <c r="S765" s="123"/>
    </row>
    <row r="766">
      <c r="A766" s="110"/>
      <c r="C766" s="46"/>
      <c r="D766" s="46"/>
      <c r="J766" s="46"/>
      <c r="K766" s="118"/>
      <c r="L766" s="119"/>
      <c r="M766" s="46"/>
      <c r="N766" s="118"/>
      <c r="O766" s="92"/>
      <c r="P766" s="92"/>
      <c r="Q766" s="46"/>
      <c r="R766" s="46"/>
      <c r="S766" s="123"/>
    </row>
    <row r="767">
      <c r="A767" s="110"/>
      <c r="C767" s="46"/>
      <c r="D767" s="46"/>
      <c r="J767" s="46"/>
      <c r="K767" s="118"/>
      <c r="L767" s="119"/>
      <c r="M767" s="46"/>
      <c r="N767" s="118"/>
      <c r="O767" s="92"/>
      <c r="P767" s="92"/>
      <c r="Q767" s="46"/>
      <c r="R767" s="46"/>
      <c r="S767" s="123"/>
    </row>
    <row r="768">
      <c r="A768" s="110"/>
      <c r="C768" s="46"/>
      <c r="D768" s="46"/>
      <c r="J768" s="46"/>
      <c r="K768" s="118"/>
      <c r="L768" s="119"/>
      <c r="M768" s="46"/>
      <c r="N768" s="118"/>
      <c r="O768" s="92"/>
      <c r="P768" s="92"/>
      <c r="Q768" s="46"/>
      <c r="R768" s="46"/>
      <c r="S768" s="123"/>
    </row>
    <row r="769">
      <c r="A769" s="110"/>
      <c r="C769" s="46"/>
      <c r="D769" s="46"/>
      <c r="J769" s="46"/>
      <c r="K769" s="118"/>
      <c r="L769" s="119"/>
      <c r="M769" s="46"/>
      <c r="N769" s="118"/>
      <c r="O769" s="92"/>
      <c r="P769" s="92"/>
      <c r="Q769" s="46"/>
      <c r="R769" s="46"/>
      <c r="S769" s="123"/>
    </row>
    <row r="770">
      <c r="A770" s="110"/>
      <c r="C770" s="46"/>
      <c r="D770" s="46"/>
      <c r="J770" s="46"/>
      <c r="K770" s="118"/>
      <c r="L770" s="119"/>
      <c r="M770" s="46"/>
      <c r="N770" s="118"/>
      <c r="O770" s="92"/>
      <c r="P770" s="92"/>
      <c r="Q770" s="46"/>
      <c r="R770" s="46"/>
      <c r="S770" s="123"/>
    </row>
    <row r="771">
      <c r="A771" s="110"/>
      <c r="C771" s="46"/>
      <c r="D771" s="46"/>
      <c r="J771" s="46"/>
      <c r="K771" s="118"/>
      <c r="L771" s="119"/>
      <c r="M771" s="46"/>
      <c r="N771" s="118"/>
      <c r="O771" s="92"/>
      <c r="P771" s="92"/>
      <c r="Q771" s="46"/>
      <c r="R771" s="46"/>
      <c r="S771" s="123"/>
    </row>
    <row r="772">
      <c r="A772" s="110"/>
      <c r="C772" s="46"/>
      <c r="D772" s="46"/>
      <c r="J772" s="46"/>
      <c r="K772" s="118"/>
      <c r="L772" s="119"/>
      <c r="M772" s="46"/>
      <c r="N772" s="118"/>
      <c r="O772" s="92"/>
      <c r="P772" s="92"/>
      <c r="Q772" s="46"/>
      <c r="R772" s="46"/>
      <c r="S772" s="123"/>
    </row>
    <row r="773">
      <c r="A773" s="110"/>
      <c r="C773" s="46"/>
      <c r="D773" s="46"/>
      <c r="J773" s="46"/>
      <c r="K773" s="118"/>
      <c r="L773" s="119"/>
      <c r="M773" s="46"/>
      <c r="N773" s="118"/>
      <c r="O773" s="92"/>
      <c r="P773" s="92"/>
      <c r="Q773" s="46"/>
      <c r="R773" s="46"/>
      <c r="S773" s="123"/>
    </row>
    <row r="774">
      <c r="A774" s="110"/>
      <c r="C774" s="46"/>
      <c r="D774" s="46"/>
      <c r="J774" s="46"/>
      <c r="K774" s="118"/>
      <c r="L774" s="119"/>
      <c r="M774" s="46"/>
      <c r="N774" s="118"/>
      <c r="O774" s="92"/>
      <c r="P774" s="92"/>
      <c r="Q774" s="46"/>
      <c r="R774" s="46"/>
      <c r="S774" s="123"/>
    </row>
    <row r="775">
      <c r="A775" s="110"/>
      <c r="C775" s="46"/>
      <c r="D775" s="46"/>
      <c r="J775" s="46"/>
      <c r="K775" s="118"/>
      <c r="L775" s="119"/>
      <c r="M775" s="46"/>
      <c r="N775" s="118"/>
      <c r="O775" s="92"/>
      <c r="P775" s="92"/>
      <c r="Q775" s="46"/>
      <c r="R775" s="46"/>
      <c r="S775" s="123"/>
    </row>
    <row r="776">
      <c r="A776" s="110"/>
      <c r="C776" s="46"/>
      <c r="D776" s="46"/>
      <c r="J776" s="46"/>
      <c r="K776" s="118"/>
      <c r="L776" s="119"/>
      <c r="M776" s="46"/>
      <c r="N776" s="118"/>
      <c r="O776" s="92"/>
      <c r="P776" s="92"/>
      <c r="Q776" s="46"/>
      <c r="R776" s="46"/>
      <c r="S776" s="123"/>
    </row>
    <row r="777">
      <c r="A777" s="110"/>
      <c r="C777" s="46"/>
      <c r="D777" s="46"/>
      <c r="J777" s="46"/>
      <c r="K777" s="118"/>
      <c r="L777" s="119"/>
      <c r="M777" s="46"/>
      <c r="N777" s="118"/>
      <c r="O777" s="92"/>
      <c r="P777" s="92"/>
      <c r="Q777" s="46"/>
      <c r="R777" s="46"/>
      <c r="S777" s="123"/>
    </row>
    <row r="778">
      <c r="A778" s="110"/>
      <c r="C778" s="46"/>
      <c r="D778" s="46"/>
      <c r="J778" s="46"/>
      <c r="K778" s="118"/>
      <c r="L778" s="119"/>
      <c r="M778" s="46"/>
      <c r="N778" s="118"/>
      <c r="O778" s="92"/>
      <c r="P778" s="92"/>
      <c r="Q778" s="46"/>
      <c r="R778" s="46"/>
      <c r="S778" s="123"/>
    </row>
    <row r="779">
      <c r="A779" s="110"/>
      <c r="C779" s="46"/>
      <c r="D779" s="46"/>
      <c r="J779" s="46"/>
      <c r="K779" s="118"/>
      <c r="L779" s="119"/>
      <c r="M779" s="46"/>
      <c r="N779" s="118"/>
      <c r="O779" s="92"/>
      <c r="P779" s="92"/>
      <c r="Q779" s="46"/>
      <c r="R779" s="46"/>
      <c r="S779" s="123"/>
    </row>
    <row r="780">
      <c r="A780" s="110"/>
      <c r="C780" s="46"/>
      <c r="D780" s="46"/>
      <c r="J780" s="46"/>
      <c r="K780" s="118"/>
      <c r="L780" s="119"/>
      <c r="M780" s="46"/>
      <c r="N780" s="118"/>
      <c r="O780" s="92"/>
      <c r="P780" s="92"/>
      <c r="Q780" s="46"/>
      <c r="R780" s="46"/>
      <c r="S780" s="123"/>
    </row>
    <row r="781">
      <c r="A781" s="110"/>
      <c r="C781" s="46"/>
      <c r="D781" s="46"/>
      <c r="J781" s="46"/>
      <c r="K781" s="118"/>
      <c r="L781" s="119"/>
      <c r="M781" s="46"/>
      <c r="N781" s="118"/>
      <c r="O781" s="92"/>
      <c r="P781" s="92"/>
      <c r="Q781" s="46"/>
      <c r="R781" s="46"/>
      <c r="S781" s="123"/>
    </row>
    <row r="782">
      <c r="A782" s="110"/>
      <c r="C782" s="46"/>
      <c r="D782" s="46"/>
      <c r="J782" s="46"/>
      <c r="K782" s="118"/>
      <c r="L782" s="119"/>
      <c r="M782" s="46"/>
      <c r="N782" s="118"/>
      <c r="O782" s="92"/>
      <c r="P782" s="92"/>
      <c r="Q782" s="46"/>
      <c r="R782" s="46"/>
      <c r="S782" s="123"/>
    </row>
    <row r="783">
      <c r="A783" s="110"/>
      <c r="C783" s="46"/>
      <c r="D783" s="46"/>
      <c r="J783" s="46"/>
      <c r="K783" s="118"/>
      <c r="L783" s="119"/>
      <c r="M783" s="46"/>
      <c r="N783" s="118"/>
      <c r="O783" s="92"/>
      <c r="P783" s="92"/>
      <c r="Q783" s="46"/>
      <c r="R783" s="46"/>
      <c r="S783" s="123"/>
    </row>
    <row r="784">
      <c r="A784" s="110"/>
      <c r="C784" s="46"/>
      <c r="D784" s="46"/>
      <c r="J784" s="46"/>
      <c r="K784" s="118"/>
      <c r="L784" s="119"/>
      <c r="M784" s="46"/>
      <c r="N784" s="118"/>
      <c r="O784" s="92"/>
      <c r="P784" s="92"/>
      <c r="Q784" s="46"/>
      <c r="R784" s="46"/>
      <c r="S784" s="123"/>
    </row>
    <row r="785">
      <c r="A785" s="110"/>
      <c r="C785" s="46"/>
      <c r="D785" s="46"/>
      <c r="J785" s="46"/>
      <c r="K785" s="118"/>
      <c r="L785" s="119"/>
      <c r="M785" s="46"/>
      <c r="N785" s="118"/>
      <c r="O785" s="92"/>
      <c r="P785" s="92"/>
      <c r="Q785" s="46"/>
      <c r="R785" s="46"/>
      <c r="S785" s="123"/>
    </row>
    <row r="786">
      <c r="A786" s="110"/>
      <c r="C786" s="46"/>
      <c r="D786" s="46"/>
      <c r="J786" s="46"/>
      <c r="K786" s="118"/>
      <c r="L786" s="119"/>
      <c r="M786" s="46"/>
      <c r="N786" s="118"/>
      <c r="O786" s="92"/>
      <c r="P786" s="92"/>
      <c r="Q786" s="46"/>
      <c r="R786" s="46"/>
      <c r="S786" s="123"/>
    </row>
    <row r="787">
      <c r="A787" s="110"/>
      <c r="C787" s="46"/>
      <c r="D787" s="46"/>
      <c r="J787" s="46"/>
      <c r="K787" s="118"/>
      <c r="L787" s="119"/>
      <c r="M787" s="46"/>
      <c r="N787" s="118"/>
      <c r="O787" s="92"/>
      <c r="P787" s="92"/>
      <c r="Q787" s="46"/>
      <c r="R787" s="46"/>
      <c r="S787" s="123"/>
    </row>
    <row r="788">
      <c r="A788" s="110"/>
      <c r="C788" s="46"/>
      <c r="D788" s="46"/>
      <c r="J788" s="46"/>
      <c r="K788" s="118"/>
      <c r="L788" s="119"/>
      <c r="M788" s="46"/>
      <c r="N788" s="118"/>
      <c r="O788" s="92"/>
      <c r="P788" s="92"/>
      <c r="Q788" s="46"/>
      <c r="R788" s="46"/>
      <c r="S788" s="123"/>
    </row>
    <row r="789">
      <c r="A789" s="110"/>
      <c r="C789" s="46"/>
      <c r="D789" s="46"/>
      <c r="J789" s="46"/>
      <c r="K789" s="118"/>
      <c r="L789" s="119"/>
      <c r="M789" s="46"/>
      <c r="N789" s="118"/>
      <c r="O789" s="92"/>
      <c r="P789" s="92"/>
      <c r="Q789" s="46"/>
      <c r="R789" s="46"/>
      <c r="S789" s="123"/>
    </row>
    <row r="790">
      <c r="A790" s="110"/>
      <c r="C790" s="46"/>
      <c r="D790" s="46"/>
      <c r="J790" s="46"/>
      <c r="K790" s="118"/>
      <c r="L790" s="119"/>
      <c r="M790" s="46"/>
      <c r="N790" s="118"/>
      <c r="O790" s="92"/>
      <c r="P790" s="92"/>
      <c r="Q790" s="46"/>
      <c r="R790" s="46"/>
      <c r="S790" s="123"/>
    </row>
    <row r="791">
      <c r="A791" s="110"/>
      <c r="C791" s="46"/>
      <c r="D791" s="46"/>
      <c r="J791" s="46"/>
      <c r="K791" s="118"/>
      <c r="L791" s="119"/>
      <c r="M791" s="46"/>
      <c r="N791" s="118"/>
      <c r="O791" s="92"/>
      <c r="P791" s="92"/>
      <c r="Q791" s="46"/>
      <c r="R791" s="46"/>
      <c r="S791" s="123"/>
    </row>
    <row r="792">
      <c r="A792" s="110"/>
      <c r="C792" s="46"/>
      <c r="D792" s="46"/>
      <c r="J792" s="46"/>
      <c r="K792" s="118"/>
      <c r="L792" s="119"/>
      <c r="M792" s="46"/>
      <c r="N792" s="118"/>
      <c r="O792" s="92"/>
      <c r="P792" s="92"/>
      <c r="Q792" s="46"/>
      <c r="R792" s="46"/>
      <c r="S792" s="123"/>
    </row>
    <row r="793">
      <c r="A793" s="110"/>
      <c r="C793" s="46"/>
      <c r="D793" s="46"/>
      <c r="J793" s="46"/>
      <c r="K793" s="118"/>
      <c r="L793" s="119"/>
      <c r="M793" s="46"/>
      <c r="N793" s="118"/>
      <c r="O793" s="92"/>
      <c r="P793" s="92"/>
      <c r="Q793" s="46"/>
      <c r="R793" s="46"/>
      <c r="S793" s="123"/>
    </row>
    <row r="794">
      <c r="A794" s="110"/>
      <c r="C794" s="46"/>
      <c r="D794" s="46"/>
      <c r="J794" s="46"/>
      <c r="K794" s="118"/>
      <c r="L794" s="119"/>
      <c r="M794" s="46"/>
      <c r="N794" s="118"/>
      <c r="O794" s="92"/>
      <c r="P794" s="92"/>
      <c r="Q794" s="46"/>
      <c r="R794" s="46"/>
      <c r="S794" s="123"/>
    </row>
    <row r="795">
      <c r="A795" s="110"/>
      <c r="C795" s="46"/>
      <c r="D795" s="46"/>
      <c r="J795" s="46"/>
      <c r="K795" s="118"/>
      <c r="L795" s="119"/>
      <c r="M795" s="46"/>
      <c r="N795" s="118"/>
      <c r="O795" s="92"/>
      <c r="P795" s="92"/>
      <c r="Q795" s="46"/>
      <c r="R795" s="46"/>
      <c r="S795" s="123"/>
    </row>
    <row r="796">
      <c r="A796" s="110"/>
      <c r="C796" s="46"/>
      <c r="D796" s="46"/>
      <c r="J796" s="46"/>
      <c r="K796" s="118"/>
      <c r="L796" s="119"/>
      <c r="M796" s="46"/>
      <c r="N796" s="118"/>
      <c r="O796" s="92"/>
      <c r="P796" s="92"/>
      <c r="Q796" s="46"/>
      <c r="R796" s="46"/>
      <c r="S796" s="123"/>
    </row>
    <row r="797">
      <c r="A797" s="110"/>
      <c r="C797" s="46"/>
      <c r="D797" s="46"/>
      <c r="J797" s="46"/>
      <c r="K797" s="118"/>
      <c r="L797" s="119"/>
      <c r="M797" s="46"/>
      <c r="N797" s="118"/>
      <c r="O797" s="92"/>
      <c r="P797" s="92"/>
      <c r="Q797" s="46"/>
      <c r="R797" s="46"/>
      <c r="S797" s="123"/>
    </row>
    <row r="798">
      <c r="A798" s="110"/>
      <c r="C798" s="46"/>
      <c r="D798" s="46"/>
      <c r="J798" s="46"/>
      <c r="K798" s="118"/>
      <c r="L798" s="119"/>
      <c r="M798" s="46"/>
      <c r="N798" s="118"/>
      <c r="O798" s="92"/>
      <c r="P798" s="92"/>
      <c r="Q798" s="46"/>
      <c r="R798" s="46"/>
      <c r="S798" s="123"/>
    </row>
    <row r="799">
      <c r="A799" s="110"/>
      <c r="C799" s="46"/>
      <c r="D799" s="46"/>
      <c r="J799" s="46"/>
      <c r="K799" s="118"/>
      <c r="L799" s="119"/>
      <c r="M799" s="46"/>
      <c r="N799" s="118"/>
      <c r="O799" s="92"/>
      <c r="P799" s="92"/>
      <c r="Q799" s="46"/>
      <c r="R799" s="46"/>
      <c r="S799" s="123"/>
    </row>
    <row r="800">
      <c r="A800" s="110"/>
      <c r="C800" s="46"/>
      <c r="D800" s="46"/>
      <c r="J800" s="46"/>
      <c r="K800" s="118"/>
      <c r="L800" s="119"/>
      <c r="M800" s="46"/>
      <c r="N800" s="118"/>
      <c r="O800" s="92"/>
      <c r="P800" s="92"/>
      <c r="Q800" s="46"/>
      <c r="R800" s="46"/>
      <c r="S800" s="123"/>
    </row>
    <row r="801">
      <c r="A801" s="110"/>
      <c r="C801" s="46"/>
      <c r="D801" s="46"/>
      <c r="J801" s="46"/>
      <c r="K801" s="118"/>
      <c r="L801" s="119"/>
      <c r="M801" s="46"/>
      <c r="N801" s="118"/>
      <c r="O801" s="92"/>
      <c r="P801" s="92"/>
      <c r="Q801" s="46"/>
      <c r="R801" s="46"/>
      <c r="S801" s="123"/>
    </row>
    <row r="802">
      <c r="A802" s="110"/>
      <c r="C802" s="46"/>
      <c r="D802" s="46"/>
      <c r="J802" s="46"/>
      <c r="K802" s="118"/>
      <c r="L802" s="119"/>
      <c r="M802" s="46"/>
      <c r="N802" s="118"/>
      <c r="O802" s="92"/>
      <c r="P802" s="92"/>
      <c r="Q802" s="46"/>
      <c r="R802" s="46"/>
      <c r="S802" s="123"/>
    </row>
    <row r="803">
      <c r="A803" s="110"/>
      <c r="C803" s="46"/>
      <c r="D803" s="46"/>
      <c r="J803" s="46"/>
      <c r="K803" s="118"/>
      <c r="L803" s="119"/>
      <c r="M803" s="46"/>
      <c r="N803" s="118"/>
      <c r="O803" s="92"/>
      <c r="P803" s="92"/>
      <c r="Q803" s="46"/>
      <c r="R803" s="46"/>
      <c r="S803" s="123"/>
    </row>
    <row r="804">
      <c r="A804" s="110"/>
      <c r="C804" s="46"/>
      <c r="D804" s="46"/>
      <c r="J804" s="46"/>
      <c r="K804" s="118"/>
      <c r="L804" s="119"/>
      <c r="M804" s="46"/>
      <c r="N804" s="118"/>
      <c r="O804" s="92"/>
      <c r="P804" s="92"/>
      <c r="Q804" s="46"/>
      <c r="R804" s="46"/>
      <c r="S804" s="123"/>
    </row>
    <row r="805">
      <c r="A805" s="110"/>
      <c r="C805" s="46"/>
      <c r="D805" s="46"/>
      <c r="J805" s="46"/>
      <c r="K805" s="118"/>
      <c r="L805" s="119"/>
      <c r="M805" s="46"/>
      <c r="N805" s="118"/>
      <c r="O805" s="92"/>
      <c r="P805" s="92"/>
      <c r="Q805" s="46"/>
      <c r="R805" s="46"/>
      <c r="S805" s="123"/>
    </row>
    <row r="806">
      <c r="A806" s="110"/>
      <c r="C806" s="46"/>
      <c r="D806" s="46"/>
      <c r="J806" s="46"/>
      <c r="K806" s="118"/>
      <c r="L806" s="119"/>
      <c r="M806" s="46"/>
      <c r="N806" s="118"/>
      <c r="O806" s="92"/>
      <c r="P806" s="92"/>
      <c r="Q806" s="46"/>
      <c r="R806" s="46"/>
      <c r="S806" s="123"/>
    </row>
    <row r="807">
      <c r="A807" s="110"/>
      <c r="C807" s="46"/>
      <c r="D807" s="46"/>
      <c r="J807" s="46"/>
      <c r="K807" s="118"/>
      <c r="L807" s="119"/>
      <c r="M807" s="46"/>
      <c r="N807" s="118"/>
      <c r="O807" s="92"/>
      <c r="P807" s="92"/>
      <c r="Q807" s="46"/>
      <c r="R807" s="46"/>
      <c r="S807" s="123"/>
    </row>
    <row r="808">
      <c r="A808" s="110"/>
      <c r="C808" s="46"/>
      <c r="D808" s="46"/>
      <c r="J808" s="46"/>
      <c r="K808" s="118"/>
      <c r="L808" s="119"/>
      <c r="M808" s="46"/>
      <c r="N808" s="118"/>
      <c r="O808" s="92"/>
      <c r="P808" s="92"/>
      <c r="Q808" s="46"/>
      <c r="R808" s="46"/>
      <c r="S808" s="123"/>
    </row>
    <row r="809">
      <c r="A809" s="110"/>
      <c r="C809" s="46"/>
      <c r="D809" s="46"/>
      <c r="J809" s="46"/>
      <c r="K809" s="118"/>
      <c r="L809" s="119"/>
      <c r="M809" s="46"/>
      <c r="N809" s="118"/>
      <c r="O809" s="92"/>
      <c r="P809" s="92"/>
      <c r="Q809" s="46"/>
      <c r="R809" s="46"/>
      <c r="S809" s="123"/>
    </row>
    <row r="810">
      <c r="A810" s="110"/>
      <c r="C810" s="46"/>
      <c r="D810" s="46"/>
      <c r="J810" s="46"/>
      <c r="K810" s="118"/>
      <c r="L810" s="119"/>
      <c r="M810" s="46"/>
      <c r="N810" s="118"/>
      <c r="O810" s="92"/>
      <c r="P810" s="92"/>
      <c r="Q810" s="46"/>
      <c r="R810" s="46"/>
      <c r="S810" s="123"/>
    </row>
    <row r="811">
      <c r="A811" s="110"/>
      <c r="C811" s="46"/>
      <c r="D811" s="46"/>
      <c r="J811" s="46"/>
      <c r="K811" s="118"/>
      <c r="L811" s="119"/>
      <c r="M811" s="46"/>
      <c r="N811" s="118"/>
      <c r="O811" s="92"/>
      <c r="P811" s="92"/>
      <c r="Q811" s="46"/>
      <c r="R811" s="46"/>
      <c r="S811" s="123"/>
    </row>
    <row r="812">
      <c r="A812" s="110"/>
      <c r="C812" s="46"/>
      <c r="D812" s="46"/>
      <c r="J812" s="46"/>
      <c r="K812" s="118"/>
      <c r="L812" s="119"/>
      <c r="M812" s="46"/>
      <c r="N812" s="118"/>
      <c r="O812" s="92"/>
      <c r="P812" s="92"/>
      <c r="Q812" s="46"/>
      <c r="R812" s="46"/>
      <c r="S812" s="123"/>
    </row>
    <row r="813">
      <c r="A813" s="110"/>
      <c r="C813" s="46"/>
      <c r="D813" s="46"/>
      <c r="J813" s="46"/>
      <c r="K813" s="118"/>
      <c r="L813" s="119"/>
      <c r="M813" s="46"/>
      <c r="N813" s="118"/>
      <c r="O813" s="92"/>
      <c r="P813" s="92"/>
      <c r="Q813" s="46"/>
      <c r="R813" s="46"/>
      <c r="S813" s="123"/>
    </row>
    <row r="814">
      <c r="A814" s="110"/>
      <c r="C814" s="46"/>
      <c r="D814" s="46"/>
      <c r="J814" s="46"/>
      <c r="K814" s="118"/>
      <c r="L814" s="119"/>
      <c r="M814" s="46"/>
      <c r="N814" s="118"/>
      <c r="O814" s="92"/>
      <c r="P814" s="92"/>
      <c r="Q814" s="46"/>
      <c r="R814" s="46"/>
      <c r="S814" s="123"/>
    </row>
    <row r="815">
      <c r="A815" s="110"/>
      <c r="C815" s="46"/>
      <c r="D815" s="46"/>
      <c r="J815" s="46"/>
      <c r="K815" s="118"/>
      <c r="L815" s="119"/>
      <c r="M815" s="46"/>
      <c r="N815" s="118"/>
      <c r="O815" s="92"/>
      <c r="P815" s="92"/>
      <c r="Q815" s="46"/>
      <c r="R815" s="46"/>
      <c r="S815" s="123"/>
    </row>
    <row r="816">
      <c r="A816" s="110"/>
      <c r="C816" s="46"/>
      <c r="D816" s="46"/>
      <c r="J816" s="46"/>
      <c r="K816" s="118"/>
      <c r="L816" s="119"/>
      <c r="M816" s="46"/>
      <c r="N816" s="118"/>
      <c r="O816" s="92"/>
      <c r="P816" s="92"/>
      <c r="Q816" s="46"/>
      <c r="R816" s="46"/>
      <c r="S816" s="123"/>
    </row>
    <row r="817">
      <c r="A817" s="110"/>
      <c r="C817" s="46"/>
      <c r="D817" s="46"/>
      <c r="J817" s="46"/>
      <c r="K817" s="118"/>
      <c r="L817" s="119"/>
      <c r="M817" s="46"/>
      <c r="N817" s="118"/>
      <c r="O817" s="92"/>
      <c r="P817" s="92"/>
      <c r="Q817" s="46"/>
      <c r="R817" s="46"/>
      <c r="S817" s="123"/>
    </row>
    <row r="818">
      <c r="A818" s="110"/>
      <c r="C818" s="46"/>
      <c r="D818" s="46"/>
      <c r="J818" s="46"/>
      <c r="K818" s="118"/>
      <c r="L818" s="119"/>
      <c r="M818" s="46"/>
      <c r="N818" s="118"/>
      <c r="O818" s="92"/>
      <c r="P818" s="92"/>
      <c r="Q818" s="46"/>
      <c r="R818" s="46"/>
      <c r="S818" s="123"/>
    </row>
    <row r="819">
      <c r="A819" s="110"/>
      <c r="C819" s="46"/>
      <c r="D819" s="46"/>
      <c r="J819" s="46"/>
      <c r="K819" s="118"/>
      <c r="L819" s="119"/>
      <c r="M819" s="46"/>
      <c r="N819" s="118"/>
      <c r="O819" s="92"/>
      <c r="P819" s="92"/>
      <c r="Q819" s="46"/>
      <c r="R819" s="46"/>
      <c r="S819" s="123"/>
    </row>
    <row r="820">
      <c r="A820" s="110"/>
      <c r="C820" s="46"/>
      <c r="D820" s="46"/>
      <c r="J820" s="46"/>
      <c r="K820" s="118"/>
      <c r="L820" s="119"/>
      <c r="M820" s="46"/>
      <c r="N820" s="118"/>
      <c r="O820" s="92"/>
      <c r="P820" s="92"/>
      <c r="Q820" s="46"/>
      <c r="R820" s="46"/>
      <c r="S820" s="123"/>
    </row>
    <row r="821">
      <c r="A821" s="110"/>
      <c r="C821" s="46"/>
      <c r="D821" s="46"/>
      <c r="J821" s="46"/>
      <c r="K821" s="118"/>
      <c r="L821" s="119"/>
      <c r="M821" s="46"/>
      <c r="N821" s="118"/>
      <c r="O821" s="92"/>
      <c r="P821" s="92"/>
      <c r="Q821" s="46"/>
      <c r="R821" s="46"/>
      <c r="S821" s="123"/>
    </row>
    <row r="822">
      <c r="A822" s="110"/>
      <c r="C822" s="46"/>
      <c r="D822" s="46"/>
      <c r="J822" s="46"/>
      <c r="K822" s="118"/>
      <c r="L822" s="119"/>
      <c r="M822" s="46"/>
      <c r="N822" s="118"/>
      <c r="O822" s="92"/>
      <c r="P822" s="92"/>
      <c r="Q822" s="46"/>
      <c r="R822" s="46"/>
      <c r="S822" s="123"/>
    </row>
    <row r="823">
      <c r="A823" s="110"/>
      <c r="C823" s="46"/>
      <c r="D823" s="46"/>
      <c r="J823" s="46"/>
      <c r="K823" s="118"/>
      <c r="L823" s="119"/>
      <c r="M823" s="46"/>
      <c r="N823" s="118"/>
      <c r="O823" s="92"/>
      <c r="P823" s="92"/>
      <c r="Q823" s="46"/>
      <c r="R823" s="46"/>
      <c r="S823" s="123"/>
    </row>
    <row r="824">
      <c r="A824" s="110"/>
      <c r="C824" s="46"/>
      <c r="D824" s="46"/>
      <c r="J824" s="46"/>
      <c r="K824" s="118"/>
      <c r="L824" s="119"/>
      <c r="M824" s="46"/>
      <c r="N824" s="118"/>
      <c r="O824" s="92"/>
      <c r="P824" s="92"/>
      <c r="Q824" s="46"/>
      <c r="R824" s="46"/>
      <c r="S824" s="123"/>
    </row>
    <row r="825">
      <c r="A825" s="110"/>
      <c r="C825" s="46"/>
      <c r="D825" s="46"/>
      <c r="J825" s="46"/>
      <c r="K825" s="118"/>
      <c r="L825" s="119"/>
      <c r="M825" s="46"/>
      <c r="N825" s="118"/>
      <c r="O825" s="92"/>
      <c r="P825" s="92"/>
      <c r="Q825" s="46"/>
      <c r="R825" s="46"/>
      <c r="S825" s="123"/>
    </row>
    <row r="826">
      <c r="A826" s="110"/>
      <c r="C826" s="46"/>
      <c r="D826" s="46"/>
      <c r="J826" s="46"/>
      <c r="K826" s="118"/>
      <c r="L826" s="119"/>
      <c r="M826" s="46"/>
      <c r="N826" s="118"/>
      <c r="O826" s="92"/>
      <c r="P826" s="92"/>
      <c r="Q826" s="46"/>
      <c r="R826" s="46"/>
      <c r="S826" s="123"/>
    </row>
    <row r="827">
      <c r="A827" s="110"/>
      <c r="C827" s="46"/>
      <c r="D827" s="46"/>
      <c r="J827" s="46"/>
      <c r="K827" s="118"/>
      <c r="L827" s="119"/>
      <c r="M827" s="46"/>
      <c r="N827" s="118"/>
      <c r="O827" s="92"/>
      <c r="P827" s="92"/>
      <c r="Q827" s="46"/>
      <c r="R827" s="46"/>
      <c r="S827" s="123"/>
    </row>
    <row r="828">
      <c r="A828" s="110"/>
      <c r="C828" s="46"/>
      <c r="D828" s="46"/>
      <c r="J828" s="46"/>
      <c r="K828" s="118"/>
      <c r="L828" s="119"/>
      <c r="M828" s="46"/>
      <c r="N828" s="118"/>
      <c r="O828" s="92"/>
      <c r="P828" s="92"/>
      <c r="Q828" s="46"/>
      <c r="R828" s="46"/>
      <c r="S828" s="123"/>
    </row>
    <row r="829">
      <c r="A829" s="110"/>
      <c r="C829" s="46"/>
      <c r="D829" s="46"/>
      <c r="J829" s="46"/>
      <c r="K829" s="118"/>
      <c r="L829" s="119"/>
      <c r="M829" s="46"/>
      <c r="N829" s="118"/>
      <c r="O829" s="92"/>
      <c r="P829" s="92"/>
      <c r="Q829" s="46"/>
      <c r="R829" s="46"/>
      <c r="S829" s="123"/>
    </row>
    <row r="830">
      <c r="A830" s="110"/>
      <c r="C830" s="46"/>
      <c r="D830" s="46"/>
      <c r="J830" s="46"/>
      <c r="K830" s="118"/>
      <c r="L830" s="119"/>
      <c r="M830" s="46"/>
      <c r="N830" s="118"/>
      <c r="O830" s="92"/>
      <c r="P830" s="92"/>
      <c r="Q830" s="46"/>
      <c r="R830" s="46"/>
      <c r="S830" s="123"/>
    </row>
    <row r="831">
      <c r="A831" s="110"/>
      <c r="C831" s="46"/>
      <c r="D831" s="46"/>
      <c r="J831" s="46"/>
      <c r="K831" s="118"/>
      <c r="L831" s="119"/>
      <c r="M831" s="46"/>
      <c r="N831" s="118"/>
      <c r="O831" s="92"/>
      <c r="P831" s="92"/>
      <c r="Q831" s="46"/>
      <c r="R831" s="46"/>
      <c r="S831" s="123"/>
    </row>
    <row r="832">
      <c r="A832" s="110"/>
      <c r="C832" s="46"/>
      <c r="D832" s="46"/>
      <c r="J832" s="46"/>
      <c r="K832" s="118"/>
      <c r="L832" s="119"/>
      <c r="M832" s="46"/>
      <c r="N832" s="118"/>
      <c r="O832" s="92"/>
      <c r="P832" s="92"/>
      <c r="Q832" s="46"/>
      <c r="R832" s="46"/>
      <c r="S832" s="123"/>
    </row>
    <row r="833">
      <c r="A833" s="110"/>
      <c r="C833" s="46"/>
      <c r="D833" s="46"/>
      <c r="J833" s="46"/>
      <c r="K833" s="118"/>
      <c r="L833" s="119"/>
      <c r="M833" s="46"/>
      <c r="N833" s="118"/>
      <c r="O833" s="92"/>
      <c r="P833" s="92"/>
      <c r="Q833" s="46"/>
      <c r="R833" s="46"/>
      <c r="S833" s="123"/>
    </row>
    <row r="834">
      <c r="A834" s="110"/>
      <c r="C834" s="46"/>
      <c r="D834" s="46"/>
      <c r="J834" s="46"/>
      <c r="K834" s="118"/>
      <c r="L834" s="119"/>
      <c r="M834" s="46"/>
      <c r="N834" s="118"/>
      <c r="O834" s="92"/>
      <c r="P834" s="92"/>
      <c r="Q834" s="46"/>
      <c r="R834" s="46"/>
      <c r="S834" s="123"/>
    </row>
    <row r="835">
      <c r="A835" s="110"/>
      <c r="C835" s="46"/>
      <c r="D835" s="46"/>
      <c r="J835" s="46"/>
      <c r="K835" s="118"/>
      <c r="L835" s="119"/>
      <c r="M835" s="46"/>
      <c r="N835" s="118"/>
      <c r="O835" s="92"/>
      <c r="P835" s="92"/>
      <c r="Q835" s="46"/>
      <c r="R835" s="46"/>
      <c r="S835" s="123"/>
    </row>
    <row r="836">
      <c r="A836" s="110"/>
      <c r="C836" s="46"/>
      <c r="D836" s="46"/>
      <c r="J836" s="46"/>
      <c r="K836" s="118"/>
      <c r="L836" s="119"/>
      <c r="M836" s="46"/>
      <c r="N836" s="118"/>
      <c r="O836" s="92"/>
      <c r="P836" s="92"/>
      <c r="Q836" s="46"/>
      <c r="R836" s="46"/>
      <c r="S836" s="123"/>
    </row>
    <row r="837">
      <c r="A837" s="110"/>
      <c r="C837" s="46"/>
      <c r="D837" s="46"/>
      <c r="J837" s="46"/>
      <c r="K837" s="118"/>
      <c r="L837" s="119"/>
      <c r="M837" s="46"/>
      <c r="N837" s="118"/>
      <c r="O837" s="92"/>
      <c r="P837" s="92"/>
      <c r="Q837" s="46"/>
      <c r="R837" s="46"/>
      <c r="S837" s="123"/>
    </row>
    <row r="838">
      <c r="A838" s="110"/>
      <c r="C838" s="46"/>
      <c r="D838" s="46"/>
      <c r="J838" s="46"/>
      <c r="K838" s="118"/>
      <c r="L838" s="119"/>
      <c r="M838" s="46"/>
      <c r="N838" s="118"/>
      <c r="O838" s="92"/>
      <c r="P838" s="92"/>
      <c r="Q838" s="46"/>
      <c r="R838" s="46"/>
      <c r="S838" s="123"/>
    </row>
    <row r="839">
      <c r="A839" s="110"/>
      <c r="C839" s="46"/>
      <c r="D839" s="46"/>
      <c r="J839" s="46"/>
      <c r="K839" s="118"/>
      <c r="L839" s="119"/>
      <c r="M839" s="46"/>
      <c r="N839" s="118"/>
      <c r="O839" s="92"/>
      <c r="P839" s="92"/>
      <c r="Q839" s="46"/>
      <c r="R839" s="46"/>
      <c r="S839" s="123"/>
    </row>
    <row r="840">
      <c r="A840" s="110"/>
      <c r="C840" s="46"/>
      <c r="D840" s="46"/>
      <c r="J840" s="46"/>
      <c r="K840" s="118"/>
      <c r="L840" s="119"/>
      <c r="M840" s="46"/>
      <c r="N840" s="118"/>
      <c r="O840" s="92"/>
      <c r="P840" s="92"/>
      <c r="Q840" s="46"/>
      <c r="R840" s="46"/>
      <c r="S840" s="123"/>
    </row>
    <row r="841">
      <c r="A841" s="110"/>
      <c r="C841" s="46"/>
      <c r="D841" s="46"/>
      <c r="J841" s="46"/>
      <c r="K841" s="118"/>
      <c r="L841" s="119"/>
      <c r="M841" s="46"/>
      <c r="N841" s="118"/>
      <c r="O841" s="92"/>
      <c r="P841" s="92"/>
      <c r="Q841" s="46"/>
      <c r="R841" s="46"/>
      <c r="S841" s="123"/>
    </row>
    <row r="842">
      <c r="A842" s="110"/>
      <c r="C842" s="46"/>
      <c r="D842" s="46"/>
      <c r="J842" s="46"/>
      <c r="K842" s="118"/>
      <c r="L842" s="119"/>
      <c r="M842" s="46"/>
      <c r="N842" s="118"/>
      <c r="O842" s="92"/>
      <c r="P842" s="92"/>
      <c r="Q842" s="46"/>
      <c r="R842" s="46"/>
      <c r="S842" s="123"/>
    </row>
    <row r="843">
      <c r="A843" s="110"/>
      <c r="C843" s="46"/>
      <c r="D843" s="46"/>
      <c r="J843" s="46"/>
      <c r="K843" s="118"/>
      <c r="L843" s="119"/>
      <c r="M843" s="46"/>
      <c r="N843" s="118"/>
      <c r="O843" s="92"/>
      <c r="P843" s="92"/>
      <c r="Q843" s="46"/>
      <c r="R843" s="46"/>
      <c r="S843" s="123"/>
    </row>
    <row r="844">
      <c r="A844" s="110"/>
      <c r="C844" s="46"/>
      <c r="D844" s="46"/>
      <c r="J844" s="46"/>
      <c r="K844" s="118"/>
      <c r="L844" s="119"/>
      <c r="M844" s="46"/>
      <c r="N844" s="118"/>
      <c r="O844" s="92"/>
      <c r="P844" s="92"/>
      <c r="Q844" s="46"/>
      <c r="R844" s="46"/>
      <c r="S844" s="123"/>
    </row>
    <row r="845">
      <c r="A845" s="110"/>
      <c r="C845" s="46"/>
      <c r="D845" s="46"/>
      <c r="J845" s="46"/>
      <c r="K845" s="118"/>
      <c r="L845" s="119"/>
      <c r="M845" s="46"/>
      <c r="N845" s="118"/>
      <c r="O845" s="92"/>
      <c r="P845" s="92"/>
      <c r="Q845" s="46"/>
      <c r="R845" s="46"/>
      <c r="S845" s="123"/>
    </row>
    <row r="846">
      <c r="A846" s="110"/>
      <c r="C846" s="46"/>
      <c r="D846" s="46"/>
      <c r="J846" s="46"/>
      <c r="K846" s="118"/>
      <c r="L846" s="119"/>
      <c r="M846" s="46"/>
      <c r="N846" s="118"/>
      <c r="O846" s="92"/>
      <c r="P846" s="92"/>
      <c r="Q846" s="46"/>
      <c r="R846" s="46"/>
      <c r="S846" s="123"/>
    </row>
    <row r="847">
      <c r="A847" s="110"/>
      <c r="C847" s="46"/>
      <c r="D847" s="46"/>
      <c r="J847" s="46"/>
      <c r="K847" s="118"/>
      <c r="L847" s="119"/>
      <c r="M847" s="46"/>
      <c r="N847" s="118"/>
      <c r="O847" s="92"/>
      <c r="P847" s="92"/>
      <c r="Q847" s="46"/>
      <c r="R847" s="46"/>
      <c r="S847" s="123"/>
    </row>
    <row r="848">
      <c r="A848" s="110"/>
      <c r="C848" s="46"/>
      <c r="D848" s="46"/>
      <c r="J848" s="46"/>
      <c r="K848" s="118"/>
      <c r="L848" s="119"/>
      <c r="M848" s="46"/>
      <c r="N848" s="118"/>
      <c r="O848" s="92"/>
      <c r="P848" s="92"/>
      <c r="Q848" s="46"/>
      <c r="R848" s="46"/>
      <c r="S848" s="123"/>
    </row>
    <row r="849">
      <c r="A849" s="110"/>
      <c r="C849" s="46"/>
      <c r="D849" s="46"/>
      <c r="J849" s="46"/>
      <c r="K849" s="118"/>
      <c r="L849" s="119"/>
      <c r="M849" s="46"/>
      <c r="N849" s="118"/>
      <c r="O849" s="92"/>
      <c r="P849" s="92"/>
      <c r="Q849" s="46"/>
      <c r="R849" s="46"/>
      <c r="S849" s="123"/>
    </row>
    <row r="850">
      <c r="A850" s="110"/>
      <c r="C850" s="46"/>
      <c r="D850" s="46"/>
      <c r="J850" s="46"/>
      <c r="K850" s="118"/>
      <c r="L850" s="119"/>
      <c r="M850" s="46"/>
      <c r="N850" s="118"/>
      <c r="O850" s="92"/>
      <c r="P850" s="92"/>
      <c r="Q850" s="46"/>
      <c r="R850" s="46"/>
      <c r="S850" s="123"/>
    </row>
    <row r="851">
      <c r="A851" s="110"/>
      <c r="C851" s="46"/>
      <c r="D851" s="46"/>
      <c r="J851" s="46"/>
      <c r="K851" s="118"/>
      <c r="L851" s="119"/>
      <c r="M851" s="46"/>
      <c r="N851" s="118"/>
      <c r="O851" s="92"/>
      <c r="P851" s="92"/>
      <c r="Q851" s="46"/>
      <c r="R851" s="46"/>
      <c r="S851" s="123"/>
    </row>
    <row r="852">
      <c r="A852" s="110"/>
      <c r="C852" s="46"/>
      <c r="D852" s="46"/>
      <c r="J852" s="46"/>
      <c r="K852" s="118"/>
      <c r="L852" s="119"/>
      <c r="M852" s="46"/>
      <c r="N852" s="118"/>
      <c r="O852" s="92"/>
      <c r="P852" s="92"/>
      <c r="Q852" s="46"/>
      <c r="R852" s="46"/>
      <c r="S852" s="123"/>
    </row>
    <row r="853">
      <c r="A853" s="110"/>
      <c r="C853" s="46"/>
      <c r="D853" s="46"/>
      <c r="J853" s="46"/>
      <c r="K853" s="118"/>
      <c r="L853" s="119"/>
      <c r="M853" s="46"/>
      <c r="N853" s="118"/>
      <c r="O853" s="92"/>
      <c r="P853" s="92"/>
      <c r="Q853" s="46"/>
      <c r="R853" s="46"/>
      <c r="S853" s="123"/>
    </row>
    <row r="854">
      <c r="A854" s="110"/>
      <c r="C854" s="46"/>
      <c r="D854" s="46"/>
      <c r="J854" s="46"/>
      <c r="K854" s="118"/>
      <c r="L854" s="119"/>
      <c r="M854" s="46"/>
      <c r="N854" s="118"/>
      <c r="O854" s="92"/>
      <c r="P854" s="92"/>
      <c r="Q854" s="46"/>
      <c r="R854" s="46"/>
      <c r="S854" s="123"/>
    </row>
    <row r="855">
      <c r="A855" s="110"/>
      <c r="C855" s="46"/>
      <c r="D855" s="46"/>
      <c r="J855" s="46"/>
      <c r="K855" s="118"/>
      <c r="L855" s="119"/>
      <c r="M855" s="46"/>
      <c r="N855" s="118"/>
      <c r="O855" s="92"/>
      <c r="P855" s="92"/>
      <c r="Q855" s="46"/>
      <c r="R855" s="46"/>
      <c r="S855" s="123"/>
    </row>
    <row r="856">
      <c r="A856" s="110"/>
      <c r="C856" s="46"/>
      <c r="D856" s="46"/>
      <c r="J856" s="46"/>
      <c r="K856" s="118"/>
      <c r="L856" s="119"/>
      <c r="M856" s="46"/>
      <c r="N856" s="118"/>
      <c r="O856" s="92"/>
      <c r="P856" s="92"/>
      <c r="Q856" s="46"/>
      <c r="R856" s="46"/>
      <c r="S856" s="123"/>
    </row>
    <row r="857">
      <c r="A857" s="110"/>
      <c r="C857" s="46"/>
      <c r="D857" s="46"/>
      <c r="J857" s="46"/>
      <c r="K857" s="118"/>
      <c r="L857" s="119"/>
      <c r="M857" s="46"/>
      <c r="N857" s="118"/>
      <c r="O857" s="92"/>
      <c r="P857" s="92"/>
      <c r="Q857" s="46"/>
      <c r="R857" s="46"/>
      <c r="S857" s="123"/>
    </row>
    <row r="858">
      <c r="A858" s="110"/>
      <c r="C858" s="46"/>
      <c r="D858" s="46"/>
      <c r="J858" s="46"/>
      <c r="K858" s="118"/>
      <c r="L858" s="119"/>
      <c r="M858" s="46"/>
      <c r="N858" s="118"/>
      <c r="O858" s="92"/>
      <c r="P858" s="92"/>
      <c r="Q858" s="46"/>
      <c r="R858" s="46"/>
      <c r="S858" s="123"/>
    </row>
    <row r="859">
      <c r="A859" s="110"/>
      <c r="C859" s="46"/>
      <c r="D859" s="46"/>
      <c r="J859" s="46"/>
      <c r="K859" s="118"/>
      <c r="L859" s="119"/>
      <c r="M859" s="46"/>
      <c r="N859" s="118"/>
      <c r="O859" s="92"/>
      <c r="P859" s="92"/>
      <c r="Q859" s="46"/>
      <c r="R859" s="46"/>
      <c r="S859" s="123"/>
    </row>
    <row r="860">
      <c r="A860" s="110"/>
      <c r="C860" s="46"/>
      <c r="D860" s="46"/>
      <c r="J860" s="46"/>
      <c r="K860" s="118"/>
      <c r="L860" s="119"/>
      <c r="M860" s="46"/>
      <c r="N860" s="118"/>
      <c r="O860" s="92"/>
      <c r="P860" s="92"/>
      <c r="Q860" s="46"/>
      <c r="R860" s="46"/>
      <c r="S860" s="123"/>
    </row>
    <row r="861">
      <c r="A861" s="110"/>
      <c r="C861" s="46"/>
      <c r="D861" s="46"/>
      <c r="J861" s="46"/>
      <c r="K861" s="118"/>
      <c r="L861" s="119"/>
      <c r="M861" s="46"/>
      <c r="N861" s="118"/>
      <c r="O861" s="92"/>
      <c r="P861" s="92"/>
      <c r="Q861" s="46"/>
      <c r="R861" s="46"/>
      <c r="S861" s="123"/>
    </row>
    <row r="862">
      <c r="A862" s="110"/>
      <c r="C862" s="46"/>
      <c r="D862" s="46"/>
      <c r="J862" s="46"/>
      <c r="K862" s="118"/>
      <c r="L862" s="119"/>
      <c r="M862" s="46"/>
      <c r="N862" s="118"/>
      <c r="O862" s="92"/>
      <c r="P862" s="92"/>
      <c r="Q862" s="46"/>
      <c r="R862" s="46"/>
      <c r="S862" s="123"/>
    </row>
    <row r="863">
      <c r="A863" s="110"/>
      <c r="C863" s="46"/>
      <c r="D863" s="46"/>
      <c r="J863" s="46"/>
      <c r="K863" s="118"/>
      <c r="L863" s="119"/>
      <c r="M863" s="46"/>
      <c r="N863" s="118"/>
      <c r="O863" s="92"/>
      <c r="P863" s="92"/>
      <c r="Q863" s="46"/>
      <c r="R863" s="46"/>
      <c r="S863" s="123"/>
    </row>
    <row r="864">
      <c r="A864" s="110"/>
      <c r="C864" s="46"/>
      <c r="D864" s="46"/>
      <c r="J864" s="46"/>
      <c r="K864" s="118"/>
      <c r="L864" s="119"/>
      <c r="M864" s="46"/>
      <c r="N864" s="118"/>
      <c r="O864" s="92"/>
      <c r="P864" s="92"/>
      <c r="Q864" s="46"/>
      <c r="R864" s="46"/>
      <c r="S864" s="123"/>
    </row>
    <row r="865">
      <c r="A865" s="110"/>
      <c r="C865" s="46"/>
      <c r="D865" s="46"/>
      <c r="J865" s="46"/>
      <c r="K865" s="118"/>
      <c r="L865" s="119"/>
      <c r="M865" s="46"/>
      <c r="N865" s="118"/>
      <c r="O865" s="92"/>
      <c r="P865" s="92"/>
      <c r="Q865" s="46"/>
      <c r="R865" s="46"/>
      <c r="S865" s="123"/>
    </row>
    <row r="866">
      <c r="A866" s="110"/>
      <c r="C866" s="46"/>
      <c r="D866" s="46"/>
      <c r="J866" s="46"/>
      <c r="K866" s="118"/>
      <c r="L866" s="119"/>
      <c r="M866" s="46"/>
      <c r="N866" s="118"/>
      <c r="O866" s="92"/>
      <c r="P866" s="92"/>
      <c r="Q866" s="46"/>
      <c r="R866" s="46"/>
      <c r="S866" s="123"/>
    </row>
    <row r="867">
      <c r="A867" s="110"/>
      <c r="C867" s="46"/>
      <c r="D867" s="46"/>
      <c r="J867" s="46"/>
      <c r="K867" s="118"/>
      <c r="L867" s="119"/>
      <c r="M867" s="46"/>
      <c r="N867" s="118"/>
      <c r="O867" s="92"/>
      <c r="P867" s="92"/>
      <c r="Q867" s="46"/>
      <c r="R867" s="46"/>
      <c r="S867" s="123"/>
    </row>
    <row r="868">
      <c r="A868" s="110"/>
      <c r="C868" s="46"/>
      <c r="D868" s="46"/>
      <c r="J868" s="46"/>
      <c r="K868" s="118"/>
      <c r="L868" s="119"/>
      <c r="M868" s="46"/>
      <c r="N868" s="118"/>
      <c r="O868" s="92"/>
      <c r="P868" s="92"/>
      <c r="Q868" s="46"/>
      <c r="R868" s="46"/>
      <c r="S868" s="123"/>
    </row>
    <row r="869">
      <c r="A869" s="110"/>
      <c r="C869" s="46"/>
      <c r="D869" s="46"/>
      <c r="J869" s="46"/>
      <c r="K869" s="118"/>
      <c r="L869" s="119"/>
      <c r="M869" s="46"/>
      <c r="N869" s="118"/>
      <c r="O869" s="92"/>
      <c r="P869" s="92"/>
      <c r="Q869" s="46"/>
      <c r="R869" s="46"/>
      <c r="S869" s="123"/>
    </row>
    <row r="870">
      <c r="A870" s="110"/>
      <c r="C870" s="46"/>
      <c r="D870" s="46"/>
      <c r="J870" s="46"/>
      <c r="K870" s="118"/>
      <c r="L870" s="119"/>
      <c r="M870" s="46"/>
      <c r="N870" s="118"/>
      <c r="O870" s="92"/>
      <c r="P870" s="92"/>
      <c r="Q870" s="46"/>
      <c r="R870" s="46"/>
      <c r="S870" s="123"/>
    </row>
    <row r="871">
      <c r="A871" s="110"/>
      <c r="C871" s="46"/>
      <c r="D871" s="46"/>
      <c r="J871" s="46"/>
      <c r="K871" s="118"/>
      <c r="L871" s="119"/>
      <c r="M871" s="46"/>
      <c r="N871" s="118"/>
      <c r="O871" s="92"/>
      <c r="P871" s="92"/>
      <c r="Q871" s="46"/>
      <c r="R871" s="46"/>
      <c r="S871" s="123"/>
    </row>
    <row r="872">
      <c r="A872" s="110"/>
      <c r="C872" s="46"/>
      <c r="D872" s="46"/>
      <c r="J872" s="46"/>
      <c r="K872" s="118"/>
      <c r="L872" s="119"/>
      <c r="M872" s="46"/>
      <c r="N872" s="118"/>
      <c r="O872" s="92"/>
      <c r="P872" s="92"/>
      <c r="Q872" s="46"/>
      <c r="R872" s="46"/>
      <c r="S872" s="123"/>
    </row>
    <row r="873">
      <c r="A873" s="110"/>
      <c r="C873" s="46"/>
      <c r="D873" s="46"/>
      <c r="J873" s="46"/>
      <c r="K873" s="118"/>
      <c r="L873" s="119"/>
      <c r="M873" s="46"/>
      <c r="N873" s="118"/>
      <c r="O873" s="92"/>
      <c r="P873" s="92"/>
      <c r="Q873" s="46"/>
      <c r="R873" s="46"/>
      <c r="S873" s="123"/>
    </row>
    <row r="874">
      <c r="A874" s="110"/>
      <c r="C874" s="46"/>
      <c r="D874" s="46"/>
      <c r="J874" s="46"/>
      <c r="K874" s="118"/>
      <c r="L874" s="119"/>
      <c r="M874" s="46"/>
      <c r="N874" s="118"/>
      <c r="O874" s="92"/>
      <c r="P874" s="92"/>
      <c r="Q874" s="46"/>
      <c r="R874" s="46"/>
      <c r="S874" s="123"/>
    </row>
    <row r="875">
      <c r="A875" s="110"/>
      <c r="C875" s="46"/>
      <c r="D875" s="46"/>
      <c r="J875" s="46"/>
      <c r="K875" s="118"/>
      <c r="L875" s="119"/>
      <c r="M875" s="46"/>
      <c r="N875" s="118"/>
      <c r="O875" s="92"/>
      <c r="P875" s="92"/>
      <c r="Q875" s="46"/>
      <c r="R875" s="46"/>
      <c r="S875" s="123"/>
    </row>
    <row r="876">
      <c r="A876" s="110"/>
      <c r="C876" s="46"/>
      <c r="D876" s="46"/>
      <c r="J876" s="46"/>
      <c r="K876" s="118"/>
      <c r="L876" s="119"/>
      <c r="M876" s="46"/>
      <c r="N876" s="118"/>
      <c r="O876" s="92"/>
      <c r="P876" s="92"/>
      <c r="Q876" s="46"/>
      <c r="R876" s="46"/>
      <c r="S876" s="123"/>
    </row>
    <row r="877">
      <c r="A877" s="110"/>
      <c r="C877" s="46"/>
      <c r="D877" s="46"/>
      <c r="J877" s="46"/>
      <c r="K877" s="118"/>
      <c r="L877" s="119"/>
      <c r="M877" s="46"/>
      <c r="N877" s="118"/>
      <c r="O877" s="92"/>
      <c r="P877" s="92"/>
      <c r="Q877" s="46"/>
      <c r="R877" s="46"/>
      <c r="S877" s="123"/>
    </row>
    <row r="878">
      <c r="A878" s="110"/>
      <c r="C878" s="46"/>
      <c r="D878" s="46"/>
      <c r="J878" s="46"/>
      <c r="K878" s="118"/>
      <c r="L878" s="119"/>
      <c r="M878" s="46"/>
      <c r="N878" s="118"/>
      <c r="O878" s="92"/>
      <c r="P878" s="92"/>
      <c r="Q878" s="46"/>
      <c r="R878" s="46"/>
      <c r="S878" s="123"/>
    </row>
    <row r="879">
      <c r="A879" s="110"/>
      <c r="C879" s="46"/>
      <c r="D879" s="46"/>
      <c r="J879" s="46"/>
      <c r="K879" s="118"/>
      <c r="L879" s="119"/>
      <c r="M879" s="46"/>
      <c r="N879" s="118"/>
      <c r="O879" s="92"/>
      <c r="P879" s="92"/>
      <c r="Q879" s="46"/>
      <c r="R879" s="46"/>
      <c r="S879" s="123"/>
    </row>
    <row r="880">
      <c r="A880" s="110"/>
      <c r="C880" s="46"/>
      <c r="D880" s="46"/>
      <c r="J880" s="46"/>
      <c r="K880" s="118"/>
      <c r="L880" s="119"/>
      <c r="M880" s="46"/>
      <c r="N880" s="118"/>
      <c r="O880" s="92"/>
      <c r="P880" s="92"/>
      <c r="Q880" s="46"/>
      <c r="R880" s="46"/>
      <c r="S880" s="123"/>
    </row>
    <row r="881">
      <c r="A881" s="110"/>
      <c r="C881" s="46"/>
      <c r="D881" s="46"/>
      <c r="J881" s="46"/>
      <c r="K881" s="118"/>
      <c r="L881" s="119"/>
      <c r="M881" s="46"/>
      <c r="N881" s="118"/>
      <c r="O881" s="92"/>
      <c r="P881" s="92"/>
      <c r="Q881" s="46"/>
      <c r="R881" s="46"/>
      <c r="S881" s="123"/>
    </row>
    <row r="882">
      <c r="A882" s="110"/>
      <c r="C882" s="46"/>
      <c r="D882" s="46"/>
      <c r="J882" s="46"/>
      <c r="K882" s="118"/>
      <c r="L882" s="119"/>
      <c r="M882" s="46"/>
      <c r="N882" s="118"/>
      <c r="O882" s="92"/>
      <c r="P882" s="92"/>
      <c r="Q882" s="46"/>
      <c r="R882" s="46"/>
      <c r="S882" s="123"/>
    </row>
    <row r="883">
      <c r="A883" s="110"/>
      <c r="C883" s="46"/>
      <c r="D883" s="46"/>
      <c r="J883" s="46"/>
      <c r="K883" s="118"/>
      <c r="L883" s="119"/>
      <c r="M883" s="46"/>
      <c r="N883" s="118"/>
      <c r="O883" s="92"/>
      <c r="P883" s="92"/>
      <c r="Q883" s="46"/>
      <c r="R883" s="46"/>
      <c r="S883" s="123"/>
    </row>
    <row r="884">
      <c r="A884" s="110"/>
      <c r="C884" s="46"/>
      <c r="D884" s="46"/>
      <c r="J884" s="46"/>
      <c r="K884" s="118"/>
      <c r="L884" s="119"/>
      <c r="M884" s="46"/>
      <c r="N884" s="118"/>
      <c r="O884" s="92"/>
      <c r="P884" s="92"/>
      <c r="Q884" s="46"/>
      <c r="R884" s="46"/>
      <c r="S884" s="123"/>
    </row>
    <row r="885">
      <c r="A885" s="110"/>
      <c r="C885" s="46"/>
      <c r="D885" s="46"/>
      <c r="J885" s="46"/>
      <c r="K885" s="118"/>
      <c r="L885" s="119"/>
      <c r="M885" s="46"/>
      <c r="N885" s="118"/>
      <c r="O885" s="92"/>
      <c r="P885" s="92"/>
      <c r="Q885" s="46"/>
      <c r="R885" s="46"/>
      <c r="S885" s="123"/>
    </row>
    <row r="886">
      <c r="A886" s="110"/>
      <c r="C886" s="46"/>
      <c r="D886" s="46"/>
      <c r="J886" s="46"/>
      <c r="K886" s="118"/>
      <c r="L886" s="119"/>
      <c r="M886" s="46"/>
      <c r="N886" s="118"/>
      <c r="O886" s="92"/>
      <c r="P886" s="92"/>
      <c r="Q886" s="46"/>
      <c r="R886" s="46"/>
      <c r="S886" s="123"/>
    </row>
    <row r="887">
      <c r="A887" s="110"/>
      <c r="C887" s="46"/>
      <c r="D887" s="46"/>
      <c r="J887" s="46"/>
      <c r="K887" s="118"/>
      <c r="L887" s="119"/>
      <c r="M887" s="46"/>
      <c r="N887" s="118"/>
      <c r="O887" s="92"/>
      <c r="P887" s="92"/>
      <c r="Q887" s="46"/>
      <c r="R887" s="46"/>
      <c r="S887" s="123"/>
    </row>
    <row r="888">
      <c r="A888" s="110"/>
      <c r="C888" s="46"/>
      <c r="D888" s="46"/>
      <c r="J888" s="46"/>
      <c r="K888" s="118"/>
      <c r="L888" s="119"/>
      <c r="M888" s="46"/>
      <c r="N888" s="118"/>
      <c r="O888" s="92"/>
      <c r="P888" s="92"/>
      <c r="Q888" s="46"/>
      <c r="R888" s="46"/>
      <c r="S888" s="123"/>
    </row>
    <row r="889">
      <c r="A889" s="110"/>
      <c r="C889" s="46"/>
      <c r="D889" s="46"/>
      <c r="J889" s="46"/>
      <c r="K889" s="118"/>
      <c r="L889" s="119"/>
      <c r="M889" s="46"/>
      <c r="N889" s="118"/>
      <c r="O889" s="92"/>
      <c r="P889" s="92"/>
      <c r="Q889" s="46"/>
      <c r="R889" s="46"/>
      <c r="S889" s="123"/>
    </row>
    <row r="890">
      <c r="A890" s="110"/>
      <c r="C890" s="46"/>
      <c r="D890" s="46"/>
      <c r="J890" s="46"/>
      <c r="K890" s="118"/>
      <c r="L890" s="119"/>
      <c r="M890" s="46"/>
      <c r="N890" s="118"/>
      <c r="O890" s="92"/>
      <c r="P890" s="92"/>
      <c r="Q890" s="46"/>
      <c r="R890" s="46"/>
      <c r="S890" s="123"/>
    </row>
    <row r="891">
      <c r="A891" s="110"/>
      <c r="C891" s="46"/>
      <c r="D891" s="46"/>
      <c r="J891" s="46"/>
      <c r="K891" s="118"/>
      <c r="L891" s="119"/>
      <c r="M891" s="46"/>
      <c r="N891" s="118"/>
      <c r="O891" s="92"/>
      <c r="P891" s="92"/>
      <c r="Q891" s="46"/>
      <c r="R891" s="46"/>
      <c r="S891" s="123"/>
    </row>
    <row r="892">
      <c r="A892" s="110"/>
      <c r="C892" s="46"/>
      <c r="D892" s="46"/>
      <c r="J892" s="46"/>
      <c r="K892" s="118"/>
      <c r="L892" s="119"/>
      <c r="M892" s="46"/>
      <c r="N892" s="118"/>
      <c r="O892" s="92"/>
      <c r="P892" s="92"/>
      <c r="Q892" s="46"/>
      <c r="R892" s="46"/>
      <c r="S892" s="123"/>
    </row>
    <row r="893">
      <c r="A893" s="110"/>
      <c r="C893" s="46"/>
      <c r="D893" s="46"/>
      <c r="J893" s="46"/>
      <c r="K893" s="118"/>
      <c r="L893" s="119"/>
      <c r="M893" s="46"/>
      <c r="N893" s="118"/>
      <c r="O893" s="92"/>
      <c r="P893" s="92"/>
      <c r="Q893" s="46"/>
      <c r="R893" s="46"/>
      <c r="S893" s="123"/>
    </row>
    <row r="894">
      <c r="A894" s="110"/>
      <c r="C894" s="46"/>
      <c r="D894" s="46"/>
      <c r="J894" s="46"/>
      <c r="K894" s="118"/>
      <c r="L894" s="119"/>
      <c r="M894" s="46"/>
      <c r="N894" s="118"/>
      <c r="O894" s="92"/>
      <c r="P894" s="92"/>
      <c r="Q894" s="46"/>
      <c r="R894" s="46"/>
      <c r="S894" s="123"/>
    </row>
    <row r="895">
      <c r="A895" s="110"/>
      <c r="C895" s="46"/>
      <c r="D895" s="46"/>
      <c r="J895" s="46"/>
      <c r="K895" s="118"/>
      <c r="L895" s="119"/>
      <c r="M895" s="46"/>
      <c r="N895" s="118"/>
      <c r="O895" s="92"/>
      <c r="P895" s="92"/>
      <c r="Q895" s="46"/>
      <c r="R895" s="46"/>
      <c r="S895" s="123"/>
    </row>
    <row r="896">
      <c r="A896" s="110"/>
      <c r="C896" s="46"/>
      <c r="D896" s="46"/>
      <c r="J896" s="46"/>
      <c r="K896" s="118"/>
      <c r="L896" s="119"/>
      <c r="M896" s="46"/>
      <c r="N896" s="118"/>
      <c r="O896" s="92"/>
      <c r="P896" s="92"/>
      <c r="Q896" s="46"/>
      <c r="R896" s="46"/>
      <c r="S896" s="123"/>
    </row>
    <row r="897">
      <c r="A897" s="110"/>
      <c r="C897" s="46"/>
      <c r="D897" s="46"/>
      <c r="J897" s="46"/>
      <c r="K897" s="118"/>
      <c r="L897" s="119"/>
      <c r="M897" s="46"/>
      <c r="N897" s="118"/>
      <c r="O897" s="92"/>
      <c r="P897" s="92"/>
      <c r="Q897" s="46"/>
      <c r="R897" s="46"/>
      <c r="S897" s="123"/>
    </row>
    <row r="898">
      <c r="A898" s="110"/>
      <c r="C898" s="46"/>
      <c r="D898" s="46"/>
      <c r="J898" s="46"/>
      <c r="K898" s="118"/>
      <c r="L898" s="119"/>
      <c r="M898" s="46"/>
      <c r="N898" s="118"/>
      <c r="O898" s="92"/>
      <c r="P898" s="92"/>
      <c r="Q898" s="46"/>
      <c r="R898" s="46"/>
      <c r="S898" s="123"/>
    </row>
    <row r="899">
      <c r="A899" s="110"/>
      <c r="C899" s="46"/>
      <c r="D899" s="46"/>
      <c r="J899" s="46"/>
      <c r="K899" s="118"/>
      <c r="L899" s="119"/>
      <c r="M899" s="46"/>
      <c r="N899" s="118"/>
      <c r="O899" s="92"/>
      <c r="P899" s="92"/>
      <c r="Q899" s="46"/>
      <c r="R899" s="46"/>
      <c r="S899" s="123"/>
    </row>
    <row r="900">
      <c r="A900" s="110"/>
      <c r="C900" s="46"/>
      <c r="D900" s="46"/>
      <c r="J900" s="46"/>
      <c r="K900" s="118"/>
      <c r="L900" s="119"/>
      <c r="M900" s="46"/>
      <c r="N900" s="118"/>
      <c r="O900" s="92"/>
      <c r="P900" s="92"/>
      <c r="Q900" s="46"/>
      <c r="R900" s="46"/>
      <c r="S900" s="123"/>
    </row>
    <row r="901">
      <c r="A901" s="110"/>
      <c r="C901" s="46"/>
      <c r="D901" s="46"/>
      <c r="J901" s="46"/>
      <c r="K901" s="118"/>
      <c r="L901" s="119"/>
      <c r="M901" s="46"/>
      <c r="N901" s="118"/>
      <c r="O901" s="92"/>
      <c r="P901" s="92"/>
      <c r="Q901" s="46"/>
      <c r="R901" s="46"/>
      <c r="S901" s="123"/>
    </row>
    <row r="902">
      <c r="A902" s="110"/>
      <c r="C902" s="46"/>
      <c r="D902" s="46"/>
      <c r="J902" s="46"/>
      <c r="K902" s="118"/>
      <c r="L902" s="119"/>
      <c r="M902" s="46"/>
      <c r="N902" s="118"/>
      <c r="O902" s="92"/>
      <c r="P902" s="92"/>
      <c r="Q902" s="46"/>
      <c r="R902" s="46"/>
      <c r="S902" s="123"/>
    </row>
    <row r="903">
      <c r="A903" s="110"/>
      <c r="C903" s="46"/>
      <c r="D903" s="46"/>
      <c r="J903" s="46"/>
      <c r="K903" s="118"/>
      <c r="L903" s="119"/>
      <c r="M903" s="46"/>
      <c r="N903" s="118"/>
      <c r="O903" s="92"/>
      <c r="P903" s="92"/>
      <c r="Q903" s="46"/>
      <c r="R903" s="46"/>
      <c r="S903" s="123"/>
    </row>
    <row r="904">
      <c r="A904" s="110"/>
      <c r="C904" s="46"/>
      <c r="D904" s="46"/>
      <c r="J904" s="46"/>
      <c r="K904" s="118"/>
      <c r="L904" s="119"/>
      <c r="M904" s="46"/>
      <c r="N904" s="118"/>
      <c r="O904" s="92"/>
      <c r="P904" s="92"/>
      <c r="Q904" s="46"/>
      <c r="R904" s="46"/>
      <c r="S904" s="123"/>
    </row>
    <row r="905">
      <c r="A905" s="110"/>
      <c r="C905" s="46"/>
      <c r="D905" s="46"/>
      <c r="J905" s="46"/>
      <c r="K905" s="118"/>
      <c r="L905" s="119"/>
      <c r="M905" s="46"/>
      <c r="N905" s="118"/>
      <c r="O905" s="92"/>
      <c r="P905" s="92"/>
      <c r="Q905" s="46"/>
      <c r="R905" s="46"/>
      <c r="S905" s="123"/>
    </row>
    <row r="906">
      <c r="A906" s="110"/>
      <c r="C906" s="46"/>
      <c r="D906" s="46"/>
      <c r="J906" s="46"/>
      <c r="K906" s="118"/>
      <c r="L906" s="119"/>
      <c r="M906" s="46"/>
      <c r="N906" s="118"/>
      <c r="O906" s="92"/>
      <c r="P906" s="92"/>
      <c r="Q906" s="46"/>
      <c r="R906" s="46"/>
      <c r="S906" s="123"/>
    </row>
    <row r="907">
      <c r="A907" s="110"/>
      <c r="C907" s="46"/>
      <c r="D907" s="46"/>
      <c r="J907" s="46"/>
      <c r="K907" s="118"/>
      <c r="L907" s="119"/>
      <c r="M907" s="46"/>
      <c r="N907" s="118"/>
      <c r="O907" s="92"/>
      <c r="P907" s="92"/>
      <c r="Q907" s="46"/>
      <c r="R907" s="46"/>
      <c r="S907" s="123"/>
    </row>
    <row r="908">
      <c r="A908" s="110"/>
      <c r="C908" s="46"/>
      <c r="D908" s="46"/>
      <c r="J908" s="46"/>
      <c r="K908" s="118"/>
      <c r="L908" s="119"/>
      <c r="M908" s="46"/>
      <c r="N908" s="118"/>
      <c r="O908" s="92"/>
      <c r="P908" s="92"/>
      <c r="Q908" s="46"/>
      <c r="R908" s="46"/>
      <c r="S908" s="123"/>
    </row>
    <row r="909">
      <c r="A909" s="110"/>
      <c r="C909" s="46"/>
      <c r="D909" s="46"/>
      <c r="J909" s="46"/>
      <c r="K909" s="118"/>
      <c r="L909" s="119"/>
      <c r="M909" s="46"/>
      <c r="N909" s="118"/>
      <c r="O909" s="92"/>
      <c r="P909" s="92"/>
      <c r="Q909" s="46"/>
      <c r="R909" s="46"/>
      <c r="S909" s="123"/>
    </row>
    <row r="910">
      <c r="A910" s="110"/>
      <c r="C910" s="46"/>
      <c r="D910" s="46"/>
      <c r="J910" s="46"/>
      <c r="K910" s="118"/>
      <c r="L910" s="119"/>
      <c r="M910" s="46"/>
      <c r="N910" s="118"/>
      <c r="O910" s="92"/>
      <c r="P910" s="92"/>
      <c r="Q910" s="46"/>
      <c r="R910" s="46"/>
      <c r="S910" s="123"/>
    </row>
    <row r="911">
      <c r="A911" s="110"/>
      <c r="C911" s="46"/>
      <c r="D911" s="46"/>
      <c r="J911" s="46"/>
      <c r="K911" s="118"/>
      <c r="L911" s="119"/>
      <c r="M911" s="46"/>
      <c r="N911" s="118"/>
      <c r="O911" s="92"/>
      <c r="P911" s="92"/>
      <c r="Q911" s="46"/>
      <c r="R911" s="46"/>
      <c r="S911" s="123"/>
    </row>
    <row r="912">
      <c r="A912" s="110"/>
      <c r="C912" s="46"/>
      <c r="D912" s="46"/>
      <c r="J912" s="46"/>
      <c r="K912" s="118"/>
      <c r="L912" s="119"/>
      <c r="M912" s="46"/>
      <c r="N912" s="118"/>
      <c r="O912" s="92"/>
      <c r="P912" s="92"/>
      <c r="Q912" s="46"/>
      <c r="R912" s="46"/>
      <c r="S912" s="123"/>
    </row>
    <row r="913">
      <c r="A913" s="110"/>
      <c r="C913" s="46"/>
      <c r="D913" s="46"/>
      <c r="J913" s="46"/>
      <c r="K913" s="118"/>
      <c r="L913" s="119"/>
      <c r="M913" s="46"/>
      <c r="N913" s="118"/>
      <c r="O913" s="92"/>
      <c r="P913" s="92"/>
      <c r="Q913" s="46"/>
      <c r="R913" s="46"/>
      <c r="S913" s="123"/>
    </row>
    <row r="914">
      <c r="A914" s="110"/>
      <c r="C914" s="46"/>
      <c r="D914" s="46"/>
      <c r="J914" s="46"/>
      <c r="K914" s="118"/>
      <c r="L914" s="119"/>
      <c r="M914" s="46"/>
      <c r="N914" s="118"/>
      <c r="O914" s="92"/>
      <c r="P914" s="92"/>
      <c r="Q914" s="46"/>
      <c r="R914" s="46"/>
      <c r="S914" s="123"/>
    </row>
    <row r="915">
      <c r="A915" s="110"/>
      <c r="C915" s="46"/>
      <c r="D915" s="46"/>
      <c r="J915" s="46"/>
      <c r="K915" s="118"/>
      <c r="L915" s="119"/>
      <c r="M915" s="46"/>
      <c r="N915" s="118"/>
      <c r="O915" s="92"/>
      <c r="P915" s="92"/>
      <c r="Q915" s="46"/>
      <c r="R915" s="46"/>
      <c r="S915" s="123"/>
    </row>
    <row r="916">
      <c r="A916" s="110"/>
      <c r="C916" s="46"/>
      <c r="D916" s="46"/>
      <c r="J916" s="46"/>
      <c r="K916" s="118"/>
      <c r="L916" s="119"/>
      <c r="M916" s="46"/>
      <c r="N916" s="118"/>
      <c r="O916" s="92"/>
      <c r="P916" s="92"/>
      <c r="Q916" s="46"/>
      <c r="R916" s="46"/>
      <c r="S916" s="123"/>
    </row>
    <row r="917">
      <c r="A917" s="110"/>
      <c r="C917" s="46"/>
      <c r="D917" s="46"/>
      <c r="J917" s="46"/>
      <c r="K917" s="118"/>
      <c r="L917" s="119"/>
      <c r="M917" s="46"/>
      <c r="N917" s="118"/>
      <c r="O917" s="92"/>
      <c r="P917" s="92"/>
      <c r="Q917" s="46"/>
      <c r="R917" s="46"/>
      <c r="S917" s="123"/>
    </row>
    <row r="918">
      <c r="A918" s="110"/>
      <c r="C918" s="46"/>
      <c r="D918" s="46"/>
      <c r="J918" s="46"/>
      <c r="K918" s="118"/>
      <c r="L918" s="119"/>
      <c r="M918" s="46"/>
      <c r="N918" s="118"/>
      <c r="O918" s="92"/>
      <c r="P918" s="92"/>
      <c r="Q918" s="46"/>
      <c r="R918" s="46"/>
      <c r="S918" s="123"/>
    </row>
    <row r="919">
      <c r="A919" s="110"/>
      <c r="C919" s="46"/>
      <c r="D919" s="46"/>
      <c r="J919" s="46"/>
      <c r="K919" s="118"/>
      <c r="L919" s="119"/>
      <c r="M919" s="46"/>
      <c r="N919" s="118"/>
      <c r="O919" s="92"/>
      <c r="P919" s="92"/>
      <c r="Q919" s="46"/>
      <c r="R919" s="46"/>
      <c r="S919" s="123"/>
    </row>
    <row r="920">
      <c r="A920" s="110"/>
      <c r="C920" s="46"/>
      <c r="D920" s="46"/>
      <c r="J920" s="46"/>
      <c r="K920" s="118"/>
      <c r="L920" s="119"/>
      <c r="M920" s="46"/>
      <c r="N920" s="118"/>
      <c r="O920" s="92"/>
      <c r="P920" s="92"/>
      <c r="Q920" s="46"/>
      <c r="R920" s="46"/>
      <c r="S920" s="123"/>
    </row>
    <row r="921">
      <c r="A921" s="110"/>
      <c r="C921" s="46"/>
      <c r="D921" s="46"/>
      <c r="J921" s="46"/>
      <c r="K921" s="118"/>
      <c r="L921" s="119"/>
      <c r="M921" s="46"/>
      <c r="N921" s="118"/>
      <c r="O921" s="92"/>
      <c r="P921" s="92"/>
      <c r="Q921" s="46"/>
      <c r="R921" s="46"/>
      <c r="S921" s="123"/>
    </row>
    <row r="922">
      <c r="A922" s="110"/>
      <c r="C922" s="46"/>
      <c r="D922" s="46"/>
      <c r="J922" s="46"/>
      <c r="K922" s="118"/>
      <c r="L922" s="119"/>
      <c r="M922" s="46"/>
      <c r="N922" s="118"/>
      <c r="O922" s="92"/>
      <c r="P922" s="92"/>
      <c r="Q922" s="46"/>
      <c r="R922" s="46"/>
      <c r="S922" s="123"/>
    </row>
    <row r="923">
      <c r="A923" s="110"/>
      <c r="C923" s="46"/>
      <c r="D923" s="46"/>
      <c r="J923" s="46"/>
      <c r="K923" s="118"/>
      <c r="L923" s="119"/>
      <c r="M923" s="46"/>
      <c r="N923" s="118"/>
      <c r="O923" s="92"/>
      <c r="P923" s="92"/>
      <c r="Q923" s="46"/>
      <c r="R923" s="46"/>
      <c r="S923" s="123"/>
    </row>
    <row r="924">
      <c r="A924" s="110"/>
      <c r="C924" s="46"/>
      <c r="D924" s="46"/>
      <c r="J924" s="46"/>
      <c r="K924" s="118"/>
      <c r="L924" s="119"/>
      <c r="M924" s="46"/>
      <c r="N924" s="118"/>
      <c r="O924" s="92"/>
      <c r="P924" s="92"/>
      <c r="Q924" s="46"/>
      <c r="R924" s="46"/>
      <c r="S924" s="123"/>
    </row>
    <row r="925">
      <c r="A925" s="110"/>
      <c r="C925" s="46"/>
      <c r="D925" s="46"/>
      <c r="J925" s="46"/>
      <c r="K925" s="118"/>
      <c r="L925" s="119"/>
      <c r="M925" s="46"/>
      <c r="N925" s="118"/>
      <c r="O925" s="92"/>
      <c r="P925" s="92"/>
      <c r="Q925" s="46"/>
      <c r="R925" s="46"/>
      <c r="S925" s="123"/>
    </row>
    <row r="926">
      <c r="A926" s="110"/>
      <c r="C926" s="46"/>
      <c r="D926" s="46"/>
      <c r="J926" s="46"/>
      <c r="K926" s="118"/>
      <c r="L926" s="119"/>
      <c r="M926" s="46"/>
      <c r="N926" s="118"/>
      <c r="O926" s="92"/>
      <c r="P926" s="92"/>
      <c r="Q926" s="46"/>
      <c r="R926" s="46"/>
      <c r="S926" s="123"/>
    </row>
    <row r="927">
      <c r="A927" s="110"/>
      <c r="C927" s="46"/>
      <c r="D927" s="46"/>
      <c r="J927" s="46"/>
      <c r="K927" s="118"/>
      <c r="L927" s="119"/>
      <c r="M927" s="46"/>
      <c r="N927" s="118"/>
      <c r="O927" s="92"/>
      <c r="P927" s="92"/>
      <c r="Q927" s="46"/>
      <c r="R927" s="46"/>
      <c r="S927" s="123"/>
    </row>
    <row r="928">
      <c r="A928" s="110"/>
      <c r="C928" s="46"/>
      <c r="D928" s="46"/>
      <c r="J928" s="46"/>
      <c r="K928" s="118"/>
      <c r="L928" s="119"/>
      <c r="M928" s="46"/>
      <c r="N928" s="118"/>
      <c r="O928" s="92"/>
      <c r="P928" s="92"/>
      <c r="Q928" s="46"/>
      <c r="R928" s="46"/>
      <c r="S928" s="123"/>
    </row>
    <row r="929">
      <c r="A929" s="110"/>
      <c r="C929" s="46"/>
      <c r="D929" s="46"/>
      <c r="J929" s="46"/>
      <c r="K929" s="118"/>
      <c r="L929" s="119"/>
      <c r="M929" s="46"/>
      <c r="N929" s="118"/>
      <c r="O929" s="92"/>
      <c r="P929" s="92"/>
      <c r="Q929" s="46"/>
      <c r="R929" s="46"/>
      <c r="S929" s="123"/>
    </row>
    <row r="930">
      <c r="A930" s="110"/>
      <c r="C930" s="46"/>
      <c r="D930" s="46"/>
      <c r="J930" s="46"/>
      <c r="K930" s="118"/>
      <c r="L930" s="119"/>
      <c r="M930" s="46"/>
      <c r="N930" s="118"/>
      <c r="O930" s="92"/>
      <c r="P930" s="92"/>
      <c r="Q930" s="46"/>
      <c r="R930" s="46"/>
      <c r="S930" s="123"/>
    </row>
    <row r="931">
      <c r="A931" s="110"/>
      <c r="C931" s="46"/>
      <c r="D931" s="46"/>
      <c r="J931" s="46"/>
      <c r="K931" s="118"/>
      <c r="L931" s="119"/>
      <c r="M931" s="46"/>
      <c r="N931" s="118"/>
      <c r="O931" s="92"/>
      <c r="P931" s="92"/>
      <c r="Q931" s="46"/>
      <c r="R931" s="46"/>
      <c r="S931" s="123"/>
    </row>
    <row r="932">
      <c r="A932" s="110"/>
      <c r="C932" s="46"/>
      <c r="D932" s="46"/>
      <c r="J932" s="46"/>
      <c r="K932" s="118"/>
      <c r="L932" s="119"/>
      <c r="M932" s="46"/>
      <c r="N932" s="118"/>
      <c r="O932" s="92"/>
      <c r="P932" s="92"/>
      <c r="Q932" s="46"/>
      <c r="R932" s="46"/>
      <c r="S932" s="123"/>
    </row>
    <row r="933">
      <c r="A933" s="110"/>
      <c r="C933" s="46"/>
      <c r="D933" s="46"/>
      <c r="J933" s="46"/>
      <c r="K933" s="118"/>
      <c r="L933" s="119"/>
      <c r="M933" s="46"/>
      <c r="N933" s="118"/>
      <c r="O933" s="92"/>
      <c r="P933" s="92"/>
      <c r="Q933" s="46"/>
      <c r="R933" s="46"/>
      <c r="S933" s="123"/>
    </row>
    <row r="934">
      <c r="A934" s="110"/>
      <c r="C934" s="46"/>
      <c r="D934" s="46"/>
      <c r="J934" s="46"/>
      <c r="K934" s="118"/>
      <c r="L934" s="119"/>
      <c r="M934" s="46"/>
      <c r="N934" s="118"/>
      <c r="O934" s="92"/>
      <c r="P934" s="92"/>
      <c r="Q934" s="46"/>
      <c r="R934" s="46"/>
      <c r="S934" s="123"/>
    </row>
    <row r="935">
      <c r="A935" s="110"/>
      <c r="C935" s="46"/>
      <c r="D935" s="46"/>
      <c r="J935" s="46"/>
      <c r="K935" s="118"/>
      <c r="L935" s="119"/>
      <c r="M935" s="46"/>
      <c r="N935" s="118"/>
      <c r="O935" s="92"/>
      <c r="P935" s="92"/>
      <c r="Q935" s="46"/>
      <c r="R935" s="46"/>
      <c r="S935" s="123"/>
    </row>
    <row r="936">
      <c r="A936" s="110"/>
      <c r="C936" s="46"/>
      <c r="D936" s="46"/>
      <c r="J936" s="46"/>
      <c r="K936" s="118"/>
      <c r="L936" s="119"/>
      <c r="M936" s="46"/>
      <c r="N936" s="118"/>
      <c r="O936" s="92"/>
      <c r="P936" s="92"/>
      <c r="Q936" s="46"/>
      <c r="R936" s="46"/>
      <c r="S936" s="123"/>
    </row>
    <row r="937">
      <c r="A937" s="110"/>
      <c r="C937" s="46"/>
      <c r="D937" s="46"/>
      <c r="J937" s="46"/>
      <c r="K937" s="118"/>
      <c r="L937" s="119"/>
      <c r="M937" s="46"/>
      <c r="N937" s="118"/>
      <c r="O937" s="92"/>
      <c r="P937" s="92"/>
      <c r="Q937" s="46"/>
      <c r="R937" s="46"/>
      <c r="S937" s="123"/>
    </row>
    <row r="938">
      <c r="A938" s="110"/>
      <c r="C938" s="46"/>
      <c r="D938" s="46"/>
      <c r="J938" s="46"/>
      <c r="K938" s="118"/>
      <c r="L938" s="119"/>
      <c r="M938" s="46"/>
      <c r="N938" s="118"/>
      <c r="O938" s="92"/>
      <c r="P938" s="92"/>
      <c r="Q938" s="46"/>
      <c r="R938" s="46"/>
      <c r="S938" s="123"/>
    </row>
    <row r="939">
      <c r="A939" s="110"/>
      <c r="C939" s="46"/>
      <c r="D939" s="46"/>
      <c r="J939" s="46"/>
      <c r="K939" s="118"/>
      <c r="L939" s="119"/>
      <c r="M939" s="46"/>
      <c r="N939" s="118"/>
      <c r="O939" s="92"/>
      <c r="P939" s="92"/>
      <c r="Q939" s="46"/>
      <c r="R939" s="46"/>
      <c r="S939" s="123"/>
    </row>
    <row r="940">
      <c r="A940" s="110"/>
      <c r="C940" s="46"/>
      <c r="D940" s="46"/>
      <c r="J940" s="46"/>
      <c r="K940" s="118"/>
      <c r="L940" s="119"/>
      <c r="M940" s="46"/>
      <c r="N940" s="118"/>
      <c r="O940" s="92"/>
      <c r="P940" s="92"/>
      <c r="Q940" s="46"/>
      <c r="R940" s="46"/>
      <c r="S940" s="123"/>
    </row>
    <row r="941">
      <c r="A941" s="110"/>
      <c r="C941" s="46"/>
      <c r="D941" s="46"/>
      <c r="J941" s="46"/>
      <c r="K941" s="118"/>
      <c r="L941" s="119"/>
      <c r="M941" s="46"/>
      <c r="N941" s="118"/>
      <c r="O941" s="92"/>
      <c r="P941" s="92"/>
      <c r="Q941" s="46"/>
      <c r="R941" s="46"/>
      <c r="S941" s="123"/>
    </row>
    <row r="942">
      <c r="A942" s="110"/>
      <c r="C942" s="46"/>
      <c r="D942" s="46"/>
      <c r="J942" s="46"/>
      <c r="K942" s="118"/>
      <c r="L942" s="119"/>
      <c r="M942" s="46"/>
      <c r="N942" s="118"/>
      <c r="O942" s="92"/>
      <c r="P942" s="92"/>
      <c r="Q942" s="46"/>
      <c r="R942" s="46"/>
      <c r="S942" s="123"/>
    </row>
    <row r="943">
      <c r="A943" s="110"/>
      <c r="C943" s="46"/>
      <c r="D943" s="46"/>
      <c r="J943" s="46"/>
      <c r="K943" s="118"/>
      <c r="L943" s="119"/>
      <c r="M943" s="46"/>
      <c r="N943" s="118"/>
      <c r="O943" s="92"/>
      <c r="P943" s="92"/>
      <c r="Q943" s="46"/>
      <c r="R943" s="46"/>
      <c r="S943" s="123"/>
    </row>
    <row r="944">
      <c r="A944" s="110"/>
      <c r="C944" s="46"/>
      <c r="D944" s="46"/>
      <c r="J944" s="46"/>
      <c r="K944" s="118"/>
      <c r="L944" s="119"/>
      <c r="M944" s="46"/>
      <c r="N944" s="118"/>
      <c r="O944" s="92"/>
      <c r="P944" s="92"/>
      <c r="Q944" s="46"/>
      <c r="R944" s="46"/>
      <c r="S944" s="123"/>
    </row>
    <row r="945">
      <c r="A945" s="110"/>
      <c r="C945" s="46"/>
      <c r="D945" s="46"/>
      <c r="J945" s="46"/>
      <c r="K945" s="118"/>
      <c r="L945" s="119"/>
      <c r="M945" s="46"/>
      <c r="N945" s="118"/>
      <c r="O945" s="92"/>
      <c r="P945" s="92"/>
      <c r="Q945" s="46"/>
      <c r="R945" s="46"/>
      <c r="S945" s="123"/>
    </row>
    <row r="946">
      <c r="A946" s="110"/>
      <c r="C946" s="46"/>
      <c r="D946" s="46"/>
      <c r="J946" s="46"/>
      <c r="K946" s="118"/>
      <c r="L946" s="119"/>
      <c r="M946" s="46"/>
      <c r="N946" s="118"/>
      <c r="O946" s="92"/>
      <c r="P946" s="92"/>
      <c r="Q946" s="46"/>
      <c r="R946" s="46"/>
      <c r="S946" s="123"/>
    </row>
    <row r="947">
      <c r="A947" s="110"/>
      <c r="C947" s="46"/>
      <c r="D947" s="46"/>
      <c r="J947" s="46"/>
      <c r="K947" s="118"/>
      <c r="L947" s="119"/>
      <c r="M947" s="46"/>
      <c r="N947" s="118"/>
      <c r="O947" s="92"/>
      <c r="P947" s="92"/>
      <c r="Q947" s="46"/>
      <c r="R947" s="46"/>
      <c r="S947" s="123"/>
    </row>
    <row r="948">
      <c r="A948" s="110"/>
      <c r="C948" s="46"/>
      <c r="D948" s="46"/>
      <c r="J948" s="46"/>
      <c r="K948" s="118"/>
      <c r="L948" s="119"/>
      <c r="M948" s="46"/>
      <c r="N948" s="118"/>
      <c r="O948" s="92"/>
      <c r="P948" s="92"/>
      <c r="Q948" s="46"/>
      <c r="R948" s="46"/>
      <c r="S948" s="123"/>
    </row>
    <row r="949">
      <c r="A949" s="110"/>
      <c r="C949" s="46"/>
      <c r="D949" s="46"/>
      <c r="J949" s="46"/>
      <c r="K949" s="118"/>
      <c r="L949" s="119"/>
      <c r="M949" s="46"/>
      <c r="N949" s="118"/>
      <c r="O949" s="92"/>
      <c r="P949" s="92"/>
      <c r="Q949" s="46"/>
      <c r="R949" s="46"/>
      <c r="S949" s="123"/>
    </row>
    <row r="950">
      <c r="A950" s="110"/>
      <c r="C950" s="46"/>
      <c r="D950" s="46"/>
      <c r="J950" s="46"/>
      <c r="K950" s="118"/>
      <c r="L950" s="119"/>
      <c r="M950" s="46"/>
      <c r="N950" s="118"/>
      <c r="O950" s="92"/>
      <c r="P950" s="92"/>
      <c r="Q950" s="46"/>
      <c r="R950" s="46"/>
      <c r="S950" s="123"/>
    </row>
    <row r="951">
      <c r="A951" s="110"/>
      <c r="C951" s="46"/>
      <c r="D951" s="46"/>
      <c r="J951" s="46"/>
      <c r="K951" s="118"/>
      <c r="L951" s="119"/>
      <c r="M951" s="46"/>
      <c r="N951" s="118"/>
      <c r="O951" s="92"/>
      <c r="P951" s="92"/>
      <c r="Q951" s="46"/>
      <c r="R951" s="46"/>
      <c r="S951" s="123"/>
    </row>
    <row r="952">
      <c r="A952" s="110"/>
      <c r="C952" s="46"/>
      <c r="D952" s="46"/>
      <c r="J952" s="46"/>
      <c r="K952" s="118"/>
      <c r="L952" s="119"/>
      <c r="M952" s="46"/>
      <c r="N952" s="118"/>
      <c r="O952" s="92"/>
      <c r="P952" s="92"/>
      <c r="Q952" s="46"/>
      <c r="R952" s="46"/>
      <c r="S952" s="123"/>
    </row>
    <row r="953">
      <c r="A953" s="110"/>
      <c r="C953" s="46"/>
      <c r="D953" s="46"/>
      <c r="J953" s="46"/>
      <c r="K953" s="118"/>
      <c r="L953" s="119"/>
      <c r="M953" s="46"/>
      <c r="N953" s="118"/>
      <c r="O953" s="92"/>
      <c r="P953" s="92"/>
      <c r="Q953" s="46"/>
      <c r="R953" s="46"/>
      <c r="S953" s="123"/>
    </row>
    <row r="954">
      <c r="A954" s="110"/>
      <c r="C954" s="46"/>
      <c r="D954" s="46"/>
      <c r="J954" s="46"/>
      <c r="K954" s="118"/>
      <c r="L954" s="119"/>
      <c r="M954" s="46"/>
      <c r="N954" s="118"/>
      <c r="O954" s="92"/>
      <c r="P954" s="92"/>
      <c r="Q954" s="46"/>
      <c r="R954" s="46"/>
      <c r="S954" s="123"/>
    </row>
    <row r="955">
      <c r="A955" s="110"/>
      <c r="C955" s="46"/>
      <c r="D955" s="46"/>
      <c r="J955" s="46"/>
      <c r="K955" s="118"/>
      <c r="L955" s="119"/>
      <c r="M955" s="46"/>
      <c r="N955" s="118"/>
      <c r="O955" s="92"/>
      <c r="P955" s="92"/>
      <c r="Q955" s="46"/>
      <c r="R955" s="46"/>
      <c r="S955" s="123"/>
    </row>
    <row r="956">
      <c r="A956" s="110"/>
      <c r="C956" s="46"/>
      <c r="D956" s="46"/>
      <c r="J956" s="46"/>
      <c r="K956" s="118"/>
      <c r="L956" s="119"/>
      <c r="M956" s="46"/>
      <c r="N956" s="118"/>
      <c r="O956" s="92"/>
      <c r="P956" s="92"/>
      <c r="Q956" s="46"/>
      <c r="R956" s="46"/>
      <c r="S956" s="123"/>
    </row>
    <row r="957">
      <c r="A957" s="110"/>
      <c r="C957" s="46"/>
      <c r="D957" s="46"/>
      <c r="J957" s="46"/>
      <c r="K957" s="118"/>
      <c r="L957" s="119"/>
      <c r="M957" s="46"/>
      <c r="N957" s="118"/>
      <c r="O957" s="92"/>
      <c r="P957" s="92"/>
      <c r="Q957" s="46"/>
      <c r="R957" s="46"/>
      <c r="S957" s="123"/>
    </row>
    <row r="958">
      <c r="A958" s="110"/>
      <c r="C958" s="46"/>
      <c r="D958" s="46"/>
      <c r="J958" s="46"/>
      <c r="K958" s="118"/>
      <c r="L958" s="119"/>
      <c r="M958" s="46"/>
      <c r="N958" s="118"/>
      <c r="O958" s="92"/>
      <c r="P958" s="92"/>
      <c r="Q958" s="46"/>
      <c r="R958" s="46"/>
      <c r="S958" s="123"/>
    </row>
    <row r="959">
      <c r="A959" s="110"/>
      <c r="C959" s="46"/>
      <c r="D959" s="46"/>
      <c r="J959" s="46"/>
      <c r="K959" s="118"/>
      <c r="L959" s="119"/>
      <c r="M959" s="46"/>
      <c r="N959" s="118"/>
      <c r="O959" s="92"/>
      <c r="P959" s="92"/>
      <c r="Q959" s="46"/>
      <c r="R959" s="46"/>
      <c r="S959" s="123"/>
    </row>
    <row r="960">
      <c r="A960" s="110"/>
      <c r="C960" s="46"/>
      <c r="D960" s="46"/>
      <c r="J960" s="46"/>
      <c r="K960" s="118"/>
      <c r="L960" s="119"/>
      <c r="M960" s="46"/>
      <c r="N960" s="118"/>
      <c r="O960" s="92"/>
      <c r="P960" s="92"/>
      <c r="Q960" s="46"/>
      <c r="R960" s="46"/>
      <c r="S960" s="123"/>
    </row>
    <row r="961">
      <c r="A961" s="110"/>
      <c r="C961" s="46"/>
      <c r="D961" s="46"/>
      <c r="J961" s="46"/>
      <c r="K961" s="118"/>
      <c r="L961" s="119"/>
      <c r="M961" s="46"/>
      <c r="N961" s="118"/>
      <c r="O961" s="92"/>
      <c r="P961" s="92"/>
      <c r="Q961" s="46"/>
      <c r="R961" s="46"/>
      <c r="S961" s="123"/>
    </row>
    <row r="962">
      <c r="A962" s="110"/>
      <c r="C962" s="46"/>
      <c r="D962" s="46"/>
      <c r="J962" s="46"/>
      <c r="K962" s="118"/>
      <c r="L962" s="119"/>
      <c r="M962" s="46"/>
      <c r="N962" s="118"/>
      <c r="O962" s="92"/>
      <c r="P962" s="92"/>
      <c r="Q962" s="46"/>
      <c r="R962" s="46"/>
      <c r="S962" s="123"/>
    </row>
    <row r="963">
      <c r="A963" s="110"/>
      <c r="C963" s="46"/>
      <c r="D963" s="46"/>
      <c r="J963" s="46"/>
      <c r="K963" s="118"/>
      <c r="L963" s="119"/>
      <c r="M963" s="46"/>
      <c r="N963" s="118"/>
      <c r="O963" s="92"/>
      <c r="P963" s="92"/>
      <c r="Q963" s="46"/>
      <c r="R963" s="46"/>
      <c r="S963" s="123"/>
    </row>
    <row r="964">
      <c r="A964" s="110"/>
      <c r="C964" s="46"/>
      <c r="D964" s="46"/>
      <c r="J964" s="46"/>
      <c r="K964" s="118"/>
      <c r="L964" s="119"/>
      <c r="M964" s="46"/>
      <c r="N964" s="118"/>
      <c r="O964" s="92"/>
      <c r="P964" s="92"/>
      <c r="Q964" s="46"/>
      <c r="R964" s="46"/>
      <c r="S964" s="123"/>
    </row>
    <row r="965">
      <c r="A965" s="110"/>
      <c r="C965" s="46"/>
      <c r="D965" s="46"/>
      <c r="J965" s="46"/>
      <c r="K965" s="118"/>
      <c r="L965" s="119"/>
      <c r="M965" s="46"/>
      <c r="N965" s="118"/>
      <c r="O965" s="92"/>
      <c r="P965" s="92"/>
      <c r="Q965" s="46"/>
      <c r="R965" s="46"/>
      <c r="S965" s="123"/>
    </row>
    <row r="966">
      <c r="A966" s="110"/>
      <c r="C966" s="46"/>
      <c r="D966" s="46"/>
      <c r="J966" s="46"/>
      <c r="K966" s="118"/>
      <c r="L966" s="119"/>
      <c r="M966" s="46"/>
      <c r="N966" s="118"/>
      <c r="O966" s="92"/>
      <c r="P966" s="92"/>
      <c r="Q966" s="46"/>
      <c r="R966" s="46"/>
      <c r="S966" s="123"/>
    </row>
    <row r="967">
      <c r="A967" s="110"/>
      <c r="C967" s="46"/>
      <c r="D967" s="46"/>
      <c r="J967" s="46"/>
      <c r="K967" s="118"/>
      <c r="L967" s="119"/>
      <c r="M967" s="46"/>
      <c r="N967" s="118"/>
      <c r="O967" s="92"/>
      <c r="P967" s="92"/>
      <c r="Q967" s="46"/>
      <c r="R967" s="46"/>
      <c r="S967" s="123"/>
    </row>
    <row r="968">
      <c r="A968" s="110"/>
      <c r="C968" s="46"/>
      <c r="D968" s="46"/>
      <c r="J968" s="46"/>
      <c r="K968" s="118"/>
      <c r="L968" s="119"/>
      <c r="M968" s="46"/>
      <c r="N968" s="118"/>
      <c r="O968" s="92"/>
      <c r="P968" s="92"/>
      <c r="Q968" s="46"/>
      <c r="R968" s="46"/>
      <c r="S968" s="123"/>
    </row>
    <row r="969">
      <c r="A969" s="110"/>
      <c r="C969" s="46"/>
      <c r="D969" s="46"/>
      <c r="J969" s="46"/>
      <c r="K969" s="118"/>
      <c r="L969" s="119"/>
      <c r="M969" s="46"/>
      <c r="N969" s="118"/>
      <c r="O969" s="92"/>
      <c r="P969" s="92"/>
      <c r="Q969" s="46"/>
      <c r="R969" s="46"/>
      <c r="S969" s="123"/>
    </row>
    <row r="970">
      <c r="A970" s="110"/>
      <c r="C970" s="46"/>
      <c r="D970" s="46"/>
      <c r="J970" s="46"/>
      <c r="K970" s="118"/>
      <c r="L970" s="119"/>
      <c r="M970" s="46"/>
      <c r="N970" s="118"/>
      <c r="O970" s="92"/>
      <c r="P970" s="92"/>
      <c r="Q970" s="46"/>
      <c r="R970" s="46"/>
      <c r="S970" s="123"/>
    </row>
    <row r="971">
      <c r="A971" s="110"/>
      <c r="C971" s="46"/>
      <c r="D971" s="46"/>
      <c r="J971" s="46"/>
      <c r="K971" s="118"/>
      <c r="L971" s="119"/>
      <c r="M971" s="46"/>
      <c r="N971" s="118"/>
      <c r="O971" s="92"/>
      <c r="P971" s="92"/>
      <c r="Q971" s="46"/>
      <c r="R971" s="46"/>
      <c r="S971" s="123"/>
    </row>
    <row r="972">
      <c r="A972" s="110"/>
      <c r="C972" s="46"/>
      <c r="D972" s="46"/>
      <c r="J972" s="46"/>
      <c r="K972" s="118"/>
      <c r="L972" s="119"/>
      <c r="M972" s="46"/>
      <c r="N972" s="118"/>
      <c r="O972" s="92"/>
      <c r="P972" s="92"/>
      <c r="Q972" s="46"/>
      <c r="R972" s="46"/>
      <c r="S972" s="123"/>
    </row>
    <row r="973">
      <c r="A973" s="110"/>
      <c r="C973" s="46"/>
      <c r="D973" s="46"/>
      <c r="J973" s="46"/>
      <c r="K973" s="118"/>
      <c r="L973" s="119"/>
      <c r="M973" s="46"/>
      <c r="N973" s="118"/>
      <c r="O973" s="92"/>
      <c r="P973" s="92"/>
      <c r="Q973" s="46"/>
      <c r="R973" s="46"/>
      <c r="S973" s="123"/>
    </row>
    <row r="974">
      <c r="A974" s="110"/>
      <c r="C974" s="46"/>
      <c r="D974" s="46"/>
      <c r="J974" s="46"/>
      <c r="K974" s="118"/>
      <c r="L974" s="119"/>
      <c r="M974" s="46"/>
      <c r="N974" s="118"/>
      <c r="O974" s="92"/>
      <c r="P974" s="92"/>
      <c r="Q974" s="46"/>
      <c r="R974" s="46"/>
      <c r="S974" s="123"/>
    </row>
    <row r="975">
      <c r="A975" s="110"/>
      <c r="C975" s="46"/>
      <c r="D975" s="46"/>
      <c r="J975" s="46"/>
      <c r="K975" s="118"/>
      <c r="L975" s="119"/>
      <c r="M975" s="46"/>
      <c r="N975" s="118"/>
      <c r="O975" s="92"/>
      <c r="P975" s="92"/>
      <c r="Q975" s="46"/>
      <c r="R975" s="46"/>
      <c r="S975" s="123"/>
    </row>
    <row r="976">
      <c r="A976" s="110"/>
      <c r="C976" s="46"/>
      <c r="D976" s="46"/>
      <c r="J976" s="46"/>
      <c r="K976" s="118"/>
      <c r="L976" s="119"/>
      <c r="M976" s="46"/>
      <c r="N976" s="118"/>
      <c r="O976" s="92"/>
      <c r="P976" s="92"/>
      <c r="Q976" s="46"/>
      <c r="R976" s="46"/>
      <c r="S976" s="123"/>
    </row>
    <row r="977">
      <c r="A977" s="110"/>
      <c r="C977" s="46"/>
      <c r="D977" s="46"/>
      <c r="J977" s="46"/>
      <c r="K977" s="118"/>
      <c r="L977" s="119"/>
      <c r="M977" s="46"/>
      <c r="N977" s="118"/>
      <c r="O977" s="92"/>
      <c r="P977" s="92"/>
      <c r="Q977" s="46"/>
      <c r="R977" s="46"/>
      <c r="S977" s="123"/>
    </row>
    <row r="978">
      <c r="A978" s="110"/>
      <c r="C978" s="46"/>
      <c r="D978" s="46"/>
      <c r="J978" s="46"/>
      <c r="K978" s="118"/>
      <c r="L978" s="119"/>
      <c r="M978" s="46"/>
      <c r="N978" s="118"/>
      <c r="O978" s="92"/>
      <c r="P978" s="92"/>
      <c r="Q978" s="46"/>
      <c r="R978" s="46"/>
      <c r="S978" s="123"/>
    </row>
    <row r="979">
      <c r="A979" s="110"/>
      <c r="C979" s="46"/>
      <c r="D979" s="46"/>
      <c r="J979" s="46"/>
      <c r="K979" s="118"/>
      <c r="L979" s="119"/>
      <c r="M979" s="46"/>
      <c r="N979" s="118"/>
      <c r="O979" s="92"/>
      <c r="P979" s="92"/>
      <c r="Q979" s="46"/>
      <c r="R979" s="46"/>
      <c r="S979" s="123"/>
    </row>
    <row r="980">
      <c r="A980" s="110"/>
      <c r="C980" s="46"/>
      <c r="D980" s="46"/>
      <c r="J980" s="46"/>
      <c r="K980" s="118"/>
      <c r="L980" s="119"/>
      <c r="M980" s="46"/>
      <c r="N980" s="118"/>
      <c r="O980" s="92"/>
      <c r="P980" s="92"/>
      <c r="Q980" s="46"/>
      <c r="R980" s="46"/>
      <c r="S980" s="123"/>
    </row>
    <row r="981">
      <c r="A981" s="110"/>
      <c r="C981" s="46"/>
      <c r="D981" s="46"/>
      <c r="J981" s="46"/>
      <c r="K981" s="118"/>
      <c r="L981" s="119"/>
      <c r="M981" s="46"/>
      <c r="N981" s="118"/>
      <c r="O981" s="92"/>
      <c r="P981" s="92"/>
      <c r="Q981" s="46"/>
      <c r="R981" s="46"/>
      <c r="S981" s="123"/>
    </row>
    <row r="982">
      <c r="A982" s="110"/>
      <c r="C982" s="46"/>
      <c r="D982" s="46"/>
      <c r="J982" s="46"/>
      <c r="K982" s="118"/>
      <c r="L982" s="119"/>
      <c r="M982" s="46"/>
      <c r="N982" s="118"/>
      <c r="O982" s="92"/>
      <c r="P982" s="92"/>
      <c r="Q982" s="46"/>
      <c r="R982" s="46"/>
      <c r="S982" s="123"/>
    </row>
    <row r="983">
      <c r="A983" s="110"/>
      <c r="C983" s="46"/>
      <c r="D983" s="46"/>
      <c r="J983" s="46"/>
      <c r="K983" s="118"/>
      <c r="L983" s="119"/>
      <c r="M983" s="46"/>
      <c r="N983" s="118"/>
      <c r="O983" s="92"/>
      <c r="P983" s="92"/>
      <c r="Q983" s="46"/>
      <c r="R983" s="46"/>
      <c r="S983" s="123"/>
    </row>
    <row r="984">
      <c r="A984" s="110"/>
      <c r="C984" s="46"/>
      <c r="D984" s="46"/>
      <c r="J984" s="46"/>
      <c r="K984" s="118"/>
      <c r="L984" s="119"/>
      <c r="M984" s="46"/>
      <c r="N984" s="118"/>
      <c r="O984" s="92"/>
      <c r="P984" s="92"/>
      <c r="Q984" s="46"/>
      <c r="R984" s="46"/>
      <c r="S984" s="123"/>
    </row>
    <row r="985">
      <c r="A985" s="110"/>
      <c r="C985" s="46"/>
      <c r="D985" s="46"/>
      <c r="J985" s="46"/>
      <c r="K985" s="118"/>
      <c r="L985" s="119"/>
      <c r="M985" s="46"/>
      <c r="N985" s="118"/>
      <c r="O985" s="92"/>
      <c r="P985" s="92"/>
      <c r="Q985" s="46"/>
      <c r="R985" s="46"/>
      <c r="S985" s="123"/>
    </row>
    <row r="986">
      <c r="A986" s="110"/>
      <c r="C986" s="46"/>
      <c r="D986" s="46"/>
      <c r="J986" s="46"/>
      <c r="K986" s="118"/>
      <c r="L986" s="119"/>
      <c r="M986" s="46"/>
      <c r="N986" s="118"/>
      <c r="O986" s="92"/>
      <c r="P986" s="92"/>
      <c r="Q986" s="46"/>
      <c r="R986" s="46"/>
      <c r="S986" s="123"/>
    </row>
    <row r="987">
      <c r="A987" s="110"/>
      <c r="C987" s="46"/>
      <c r="D987" s="46"/>
      <c r="J987" s="46"/>
      <c r="K987" s="118"/>
      <c r="L987" s="119"/>
      <c r="M987" s="46"/>
      <c r="N987" s="118"/>
      <c r="O987" s="92"/>
      <c r="P987" s="92"/>
      <c r="Q987" s="46"/>
      <c r="R987" s="46"/>
      <c r="S987" s="123"/>
    </row>
    <row r="988">
      <c r="A988" s="110"/>
      <c r="C988" s="46"/>
      <c r="D988" s="46"/>
      <c r="J988" s="46"/>
      <c r="K988" s="118"/>
      <c r="L988" s="119"/>
      <c r="M988" s="46"/>
      <c r="N988" s="118"/>
      <c r="O988" s="92"/>
      <c r="P988" s="92"/>
      <c r="Q988" s="46"/>
      <c r="R988" s="46"/>
      <c r="S988" s="123"/>
    </row>
    <row r="989">
      <c r="A989" s="110"/>
      <c r="C989" s="46"/>
      <c r="D989" s="46"/>
      <c r="J989" s="46"/>
      <c r="K989" s="118"/>
      <c r="L989" s="119"/>
      <c r="M989" s="46"/>
      <c r="N989" s="118"/>
      <c r="O989" s="92"/>
      <c r="P989" s="92"/>
      <c r="Q989" s="46"/>
      <c r="R989" s="46"/>
      <c r="S989" s="123"/>
    </row>
    <row r="990">
      <c r="A990" s="110"/>
      <c r="C990" s="46"/>
      <c r="D990" s="46"/>
      <c r="J990" s="46"/>
      <c r="K990" s="118"/>
      <c r="L990" s="119"/>
      <c r="M990" s="46"/>
      <c r="N990" s="118"/>
      <c r="O990" s="92"/>
      <c r="P990" s="92"/>
      <c r="Q990" s="46"/>
      <c r="R990" s="46"/>
      <c r="S990" s="123"/>
    </row>
    <row r="991">
      <c r="A991" s="110"/>
      <c r="C991" s="46"/>
      <c r="D991" s="46"/>
      <c r="J991" s="46"/>
      <c r="K991" s="118"/>
      <c r="L991" s="119"/>
      <c r="M991" s="46"/>
      <c r="N991" s="118"/>
      <c r="O991" s="92"/>
      <c r="P991" s="92"/>
      <c r="Q991" s="46"/>
      <c r="R991" s="46"/>
      <c r="S991" s="123"/>
    </row>
    <row r="992">
      <c r="A992" s="110"/>
      <c r="C992" s="46"/>
      <c r="D992" s="46"/>
      <c r="J992" s="46"/>
      <c r="K992" s="118"/>
      <c r="L992" s="119"/>
      <c r="M992" s="46"/>
      <c r="N992" s="118"/>
      <c r="O992" s="92"/>
      <c r="P992" s="92"/>
      <c r="Q992" s="46"/>
      <c r="R992" s="46"/>
      <c r="S992" s="123"/>
    </row>
    <row r="993">
      <c r="A993" s="110"/>
      <c r="C993" s="46"/>
      <c r="D993" s="46"/>
      <c r="J993" s="46"/>
      <c r="K993" s="118"/>
      <c r="L993" s="119"/>
      <c r="M993" s="46"/>
      <c r="N993" s="118"/>
      <c r="O993" s="92"/>
      <c r="P993" s="92"/>
      <c r="Q993" s="46"/>
      <c r="R993" s="46"/>
      <c r="S993" s="123"/>
    </row>
    <row r="994">
      <c r="A994" s="110"/>
      <c r="C994" s="46"/>
      <c r="D994" s="46"/>
      <c r="J994" s="46"/>
      <c r="K994" s="118"/>
      <c r="L994" s="119"/>
      <c r="M994" s="46"/>
      <c r="N994" s="118"/>
      <c r="O994" s="92"/>
      <c r="P994" s="92"/>
      <c r="Q994" s="46"/>
      <c r="R994" s="46"/>
      <c r="S994" s="123"/>
    </row>
    <row r="995">
      <c r="A995" s="110"/>
      <c r="C995" s="46"/>
      <c r="D995" s="46"/>
      <c r="J995" s="46"/>
      <c r="K995" s="118"/>
      <c r="L995" s="119"/>
      <c r="M995" s="46"/>
      <c r="N995" s="118"/>
      <c r="O995" s="92"/>
      <c r="P995" s="92"/>
      <c r="Q995" s="46"/>
      <c r="R995" s="46"/>
      <c r="S995" s="123"/>
    </row>
    <row r="996">
      <c r="A996" s="110"/>
      <c r="C996" s="46"/>
      <c r="D996" s="46"/>
      <c r="J996" s="46"/>
      <c r="K996" s="118"/>
      <c r="L996" s="119"/>
      <c r="M996" s="46"/>
      <c r="N996" s="118"/>
      <c r="O996" s="92"/>
      <c r="P996" s="92"/>
      <c r="Q996" s="46"/>
      <c r="R996" s="46"/>
      <c r="S996" s="123"/>
    </row>
    <row r="997">
      <c r="A997" s="110"/>
      <c r="C997" s="46"/>
      <c r="D997" s="46"/>
      <c r="J997" s="46"/>
      <c r="K997" s="118"/>
      <c r="L997" s="119"/>
      <c r="M997" s="46"/>
      <c r="N997" s="118"/>
      <c r="O997" s="92"/>
      <c r="P997" s="92"/>
      <c r="Q997" s="46"/>
      <c r="R997" s="46"/>
      <c r="S997" s="123"/>
    </row>
    <row r="998">
      <c r="A998" s="110"/>
      <c r="C998" s="46"/>
      <c r="D998" s="46"/>
      <c r="J998" s="46"/>
      <c r="K998" s="118"/>
      <c r="L998" s="119"/>
      <c r="M998" s="46"/>
      <c r="N998" s="118"/>
      <c r="O998" s="92"/>
      <c r="P998" s="92"/>
      <c r="Q998" s="46"/>
      <c r="R998" s="46"/>
      <c r="S998" s="123"/>
    </row>
    <row r="999">
      <c r="A999" s="110"/>
      <c r="C999" s="46"/>
      <c r="D999" s="46"/>
      <c r="J999" s="46"/>
      <c r="K999" s="118"/>
      <c r="L999" s="119"/>
      <c r="M999" s="46"/>
      <c r="N999" s="118"/>
      <c r="O999" s="92"/>
      <c r="P999" s="92"/>
      <c r="Q999" s="46"/>
      <c r="R999" s="46"/>
      <c r="S999" s="123"/>
    </row>
    <row r="1000">
      <c r="A1000" s="110"/>
      <c r="C1000" s="46"/>
      <c r="D1000" s="46"/>
      <c r="J1000" s="46"/>
      <c r="K1000" s="118"/>
      <c r="L1000" s="119"/>
      <c r="M1000" s="46"/>
      <c r="N1000" s="118"/>
      <c r="O1000" s="92"/>
      <c r="P1000" s="92"/>
      <c r="Q1000" s="46"/>
      <c r="R1000" s="46"/>
      <c r="S1000" s="123"/>
    </row>
  </sheetData>
  <autoFilter ref="$A$1:$S$108">
    <filterColumn colId="4">
      <filters>
        <filter val="1"/>
        <filter val="2"/>
        <filter val="3"/>
        <filter val="4"/>
      </filters>
    </filterColumn>
    <filterColumn colId="3">
      <filters>
        <filter val="Variable"/>
        <filter val="Night"/>
        <filter val="Evening"/>
        <filter val="Day"/>
      </filters>
    </filterColumn>
  </autoFilter>
  <mergeCells count="1">
    <mergeCell ref="T1:U1"/>
  </mergeCells>
  <conditionalFormatting sqref="E1:E1000">
    <cfRule type="cellIs" dxfId="7" priority="1" operator="equal">
      <formula>1</formula>
    </cfRule>
  </conditionalFormatting>
  <conditionalFormatting sqref="E1:E1000">
    <cfRule type="cellIs" dxfId="8" priority="2" operator="equal">
      <formula>2</formula>
    </cfRule>
  </conditionalFormatting>
  <conditionalFormatting sqref="E1:E1000">
    <cfRule type="cellIs" dxfId="9" priority="3" operator="equal">
      <formula>3</formula>
    </cfRule>
  </conditionalFormatting>
  <conditionalFormatting sqref="E1:E1000">
    <cfRule type="cellIs" dxfId="10" priority="4" operator="equal">
      <formula>4</formula>
    </cfRule>
  </conditionalFormatting>
  <conditionalFormatting sqref="D1:D1000">
    <cfRule type="cellIs" dxfId="11" priority="5" operator="equal">
      <formula>"Day"</formula>
    </cfRule>
  </conditionalFormatting>
  <conditionalFormatting sqref="D1:D1000">
    <cfRule type="cellIs" dxfId="12" priority="6" operator="equal">
      <formula>"Evening"</formula>
    </cfRule>
  </conditionalFormatting>
  <conditionalFormatting sqref="D1:D1000">
    <cfRule type="cellIs" dxfId="13" priority="7" operator="equal">
      <formula>"Night"</formula>
    </cfRule>
  </conditionalFormatting>
  <conditionalFormatting sqref="D1:D1000">
    <cfRule type="cellIs" dxfId="14" priority="8" operator="equal">
      <formula>"Variable"</formula>
    </cfRule>
  </conditionalFormatting>
  <conditionalFormatting sqref="C1:C1000">
    <cfRule type="cellIs" dxfId="15" priority="9" operator="equal">
      <formula>"English"</formula>
    </cfRule>
  </conditionalFormatting>
  <conditionalFormatting sqref="C1:C1000">
    <cfRule type="cellIs" dxfId="16" priority="10" operator="equal">
      <formula>"French"</formula>
    </cfRule>
  </conditionalFormatting>
  <conditionalFormatting sqref="C1:C1000">
    <cfRule type="cellIs" dxfId="17" priority="11" operator="equal">
      <formula>"Bilingual-French"</formula>
    </cfRule>
  </conditionalFormatting>
  <conditionalFormatting sqref="C1:C1000">
    <cfRule type="cellIs" dxfId="17" priority="12" operator="equal">
      <formula>"Bilingual-English"</formula>
    </cfRule>
  </conditionalFormatting>
  <conditionalFormatting sqref="Q1:R1000">
    <cfRule type="cellIs" dxfId="18" priority="13" operator="equal">
      <formula>1</formula>
    </cfRule>
  </conditionalFormatting>
  <conditionalFormatting sqref="Q1:R1000">
    <cfRule type="cellIs" dxfId="19" priority="14" operator="equal">
      <formula>2</formula>
    </cfRule>
  </conditionalFormatting>
  <conditionalFormatting sqref="Q1:R1000">
    <cfRule type="cellIs" dxfId="20" priority="15" operator="equal">
      <formula>3</formula>
    </cfRule>
  </conditionalFormatting>
  <conditionalFormatting sqref="Q1:R1000">
    <cfRule type="cellIs" dxfId="21" priority="16" operator="equal">
      <formula>0</formula>
    </cfRule>
  </conditionalFormatting>
  <conditionalFormatting sqref="S1:S1000">
    <cfRule type="containsBlanks" dxfId="22" priority="17">
      <formula>LEN(TRIM(S1))=0</formula>
    </cfRule>
  </conditionalFormatting>
  <conditionalFormatting sqref="S1:S1000">
    <cfRule type="cellIs" dxfId="1" priority="18" operator="lessThan">
      <formula>5</formula>
    </cfRule>
  </conditionalFormatting>
  <conditionalFormatting sqref="O1:O1000 L1:L1000 M1:M1000 P1:P1000">
    <cfRule type="containsBlanks" dxfId="21" priority="19">
      <formula>LEN(TRIM(O1))=0</formula>
    </cfRule>
  </conditionalFormatting>
  <conditionalFormatting sqref="O1:O1000 L1:L1000 M1:M1000 P1:P1000">
    <cfRule type="cellIs" dxfId="21" priority="20" operator="equal">
      <formula>0</formula>
    </cfRule>
  </conditionalFormatting>
  <conditionalFormatting sqref="O1:O1000 L1:L1000 M1:M1000 P1:P1000">
    <cfRule type="cellIs" dxfId="23" priority="21" operator="greaterThanOrEqual">
      <formula>0.75</formula>
    </cfRule>
  </conditionalFormatting>
  <conditionalFormatting sqref="O1:O1000 L1:L1000 M1:M1000 P1:P1000">
    <cfRule type="cellIs" dxfId="23" priority="22" operator="lessThanOrEqual">
      <formula>0.25</formula>
    </cfRule>
  </conditionalFormatting>
  <conditionalFormatting sqref="O1:O1000 L1:L1000 M1:M1000 P1:P1000">
    <cfRule type="cellIs" dxfId="24" priority="23" operator="between">
      <formula>0.25</formula>
      <formula>0.4</formula>
    </cfRule>
  </conditionalFormatting>
  <conditionalFormatting sqref="O1:O1000 L1:L1000 M1:M1000 P1:P1000">
    <cfRule type="cellIs" dxfId="24" priority="24" operator="between">
      <formula>0.6</formula>
      <formula>0.75</formula>
    </cfRule>
  </conditionalFormatting>
  <conditionalFormatting sqref="O1:O1000 L1:L1000 M1:M1000 P1:P1000">
    <cfRule type="cellIs" dxfId="25" priority="25" operator="between">
      <formula>0.4</formula>
      <formula>0.6</formula>
    </cfRule>
  </conditionalFormatting>
  <conditionalFormatting sqref="K1:K1000 N1:N1000">
    <cfRule type="containsBlanks" dxfId="21" priority="26">
      <formula>LEN(TRIM(K1))=0</formula>
    </cfRule>
  </conditionalFormatting>
  <conditionalFormatting sqref="K1:K1000 N1:N1000">
    <cfRule type="containsBlanks" dxfId="21" priority="27">
      <formula>LEN(TRIM(K1))=0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3" width="5.88"/>
    <col customWidth="1" min="4" max="4" width="10.75"/>
    <col customWidth="1" min="5" max="5" width="6.88"/>
    <col customWidth="1" min="6" max="6" width="27.5"/>
    <col customWidth="1" min="7" max="7" width="4.38"/>
    <col customWidth="1" min="8" max="8" width="6.13"/>
    <col customWidth="1" min="9" max="9" width="10.75"/>
    <col customWidth="1" min="10" max="10" width="6.88"/>
    <col customWidth="1" min="11" max="11" width="23.75"/>
    <col customWidth="1" min="12" max="12" width="5.63"/>
    <col customWidth="1" min="13" max="13" width="6.13"/>
    <col customWidth="1" min="14" max="14" width="6.88"/>
    <col customWidth="1" min="15" max="15" width="22.88"/>
    <col customWidth="1" min="17" max="17" width="6.88"/>
    <col customWidth="1" min="18" max="18" width="6.63"/>
    <col customWidth="1" min="19" max="19" width="6.5"/>
  </cols>
  <sheetData>
    <row r="1" ht="19.5" customHeight="1">
      <c r="A1" s="149" t="s">
        <v>1533</v>
      </c>
      <c r="B1" s="150"/>
      <c r="C1" s="150"/>
      <c r="D1" s="150"/>
      <c r="E1" s="151"/>
      <c r="F1" s="152" t="s">
        <v>1534</v>
      </c>
      <c r="G1" s="153" t="str">
        <f>Dashboard!T1</f>
        <v>Updated: Apr 30th 2026</v>
      </c>
      <c r="L1" s="154"/>
      <c r="M1" s="154"/>
      <c r="N1" s="154"/>
      <c r="O1" s="152" t="s">
        <v>1534</v>
      </c>
      <c r="P1" s="154"/>
      <c r="Q1" s="154"/>
      <c r="R1" s="154"/>
      <c r="S1" s="154"/>
      <c r="T1" s="154"/>
      <c r="U1" s="154"/>
      <c r="V1" s="154"/>
      <c r="W1" s="154"/>
      <c r="X1" s="154"/>
      <c r="Y1" s="154"/>
    </row>
    <row r="2" ht="14.25" customHeight="1">
      <c r="A2" s="155"/>
      <c r="B2" s="156"/>
      <c r="C2" s="156"/>
      <c r="D2" s="156"/>
      <c r="E2" s="157"/>
      <c r="F2" s="158" t="s">
        <v>1534</v>
      </c>
      <c r="G2" s="159" t="s">
        <v>1535</v>
      </c>
      <c r="I2" s="160">
        <f>Current_Stats!B3</f>
        <v>46113</v>
      </c>
      <c r="L2" s="161"/>
      <c r="M2" s="154"/>
      <c r="N2" s="154"/>
      <c r="O2" s="158" t="s">
        <v>1534</v>
      </c>
      <c r="P2" s="154"/>
      <c r="Q2" s="154"/>
      <c r="R2" s="154"/>
      <c r="S2" s="154"/>
      <c r="T2" s="154"/>
      <c r="U2" s="154"/>
      <c r="V2" s="154"/>
      <c r="W2" s="154"/>
      <c r="X2" s="154"/>
      <c r="Y2" s="154"/>
    </row>
    <row r="3">
      <c r="A3" s="154"/>
      <c r="B3" s="154"/>
      <c r="C3" s="154"/>
      <c r="D3" s="154"/>
      <c r="E3" s="154"/>
      <c r="N3" s="46"/>
      <c r="Q3" s="46"/>
      <c r="R3" s="46"/>
      <c r="S3" s="46"/>
    </row>
    <row r="4" ht="25.5" customHeight="1">
      <c r="A4" s="162" t="s">
        <v>1536</v>
      </c>
      <c r="B4" s="150"/>
      <c r="C4" s="150"/>
      <c r="D4" s="150"/>
      <c r="E4" s="151"/>
      <c r="F4" s="163" t="s">
        <v>1537</v>
      </c>
      <c r="G4" s="150"/>
      <c r="H4" s="150"/>
      <c r="I4" s="150"/>
      <c r="J4" s="151"/>
      <c r="K4" s="164" t="s">
        <v>1538</v>
      </c>
      <c r="L4" s="150"/>
      <c r="M4" s="150"/>
      <c r="N4" s="151"/>
      <c r="O4" s="165" t="s">
        <v>1539</v>
      </c>
      <c r="P4" s="150"/>
      <c r="Q4" s="150"/>
      <c r="R4" s="150"/>
      <c r="S4" s="151"/>
    </row>
    <row r="5">
      <c r="A5" s="166" t="s">
        <v>1511</v>
      </c>
      <c r="B5" s="167" t="s">
        <v>1512</v>
      </c>
      <c r="C5" s="168" t="s">
        <v>1540</v>
      </c>
      <c r="D5" s="167" t="s">
        <v>1517</v>
      </c>
      <c r="E5" s="169" t="s">
        <v>1541</v>
      </c>
      <c r="F5" s="170" t="s">
        <v>1511</v>
      </c>
      <c r="G5" s="171" t="s">
        <v>1512</v>
      </c>
      <c r="H5" s="172" t="s">
        <v>1540</v>
      </c>
      <c r="I5" s="171" t="s">
        <v>1517</v>
      </c>
      <c r="J5" s="173" t="s">
        <v>1541</v>
      </c>
      <c r="K5" s="174" t="s">
        <v>1511</v>
      </c>
      <c r="L5" s="175" t="s">
        <v>1519</v>
      </c>
      <c r="M5" s="175" t="s">
        <v>1542</v>
      </c>
      <c r="N5" s="176" t="s">
        <v>1541</v>
      </c>
      <c r="O5" s="177" t="s">
        <v>1511</v>
      </c>
      <c r="P5" s="178" t="s">
        <v>1515</v>
      </c>
      <c r="Q5" s="178" t="s">
        <v>1541</v>
      </c>
      <c r="R5" s="178" t="s">
        <v>1522</v>
      </c>
      <c r="S5" s="179" t="s">
        <v>1543</v>
      </c>
    </row>
    <row r="6">
      <c r="A6" s="180" t="str">
        <f>IFERROR(__xludf.DUMMYFUNCTION("Filter(RedFlagHooks!J4:J40,RedFlagHooks!M4:M40 &gt;= 5)"),"Borromeo, Ronadell")</f>
        <v>Borromeo, Ronadell</v>
      </c>
      <c r="B6" s="181">
        <f>IFERROR(VLOOKUP(A6, RedFlagHooks!J4:P40, 2, FALSE), "")</f>
        <v>0.839</v>
      </c>
      <c r="C6" s="181">
        <f>IFERROR(VLOOKUP(A6, RedFlagHooks!J4:P40, 3, FALSE), "")</f>
        <v>0.829</v>
      </c>
      <c r="D6" s="182">
        <f>IFERROR(VLOOKUP(A6, RedFlagHooks!J4:P40, 7, FALSE), "")</f>
        <v>0.6802973978</v>
      </c>
      <c r="E6" s="183">
        <f>IFERROR(VLOOKUP(A6, RedFlagHooks!J4:P40, 4, FALSE), "")</f>
        <v>14</v>
      </c>
      <c r="F6" s="184" t="str">
        <f>IFERROR(__xludf.DUMMYFUNCTION("FILTER(
  RedFlagHooks!B4:B40,
  RedFlagHooks!E4:E40 &gt;= 5,
  COUNTIF(RedFlagHooks!J4:J40, RedFlagHooks!B4:B40) = 0)"),"Aidoud, Nabil")</f>
        <v>Aidoud, Nabil</v>
      </c>
      <c r="G6" s="185">
        <f>IFERROR(VLOOKUP(F6, RedFlagHooks!B4:H40, 2, FALSE), "")</f>
        <v>0.803</v>
      </c>
      <c r="H6" s="186">
        <f>IFERROR(VLOOKUP(F6, RedFlagHooks!B4:H40, 3, FALSE), "")</f>
        <v>0.699</v>
      </c>
      <c r="I6" s="186">
        <f>IFERROR(VLOOKUP(F6, RedFlagHooks!B4:H40, 7, FALSE), "")</f>
        <v>0.3386363636</v>
      </c>
      <c r="J6" s="187">
        <f>IFERROR(VLOOKUP(F6, RedFlagHooks!B4:H40, 4, FALSE), "")</f>
        <v>14</v>
      </c>
      <c r="K6" s="188" t="str">
        <f>IFERROR(__xludf.DUMMYFUNCTION("Filter(RedFlagHooks!J44:J88,RedFlagHooks!M44:M88 &gt;= 5)"),"Cerdas Calvo, Deyanira")</f>
        <v>Cerdas Calvo, Deyanira</v>
      </c>
      <c r="L6" s="189">
        <f>IFERROR(VLOOKUP(K6, RedFlagHooks!J44:P88, 2, FALSE), "")</f>
        <v>0.787</v>
      </c>
      <c r="M6" s="190">
        <f>IFERROR(VLOOKUP(K6, RedFlagHooks!J44:P88, 3, FALSE), "")</f>
        <v>0.811</v>
      </c>
      <c r="N6" s="191">
        <f>IFERROR(VLOOKUP(K6, RedFlagHooks!J44:P88, 4, FALSE), "")</f>
        <v>16</v>
      </c>
      <c r="O6" s="192" t="str">
        <f>IFERROR(__xludf.DUMMYFUNCTION("Filter(RedFlagHooks!J92:J120,RedFlagHooks!K92:K120 &gt;= 5)"),"Gil Cervino, Henrique Alexandre")</f>
        <v>Gil Cervino, Henrique Alexandre</v>
      </c>
      <c r="P6" s="193">
        <f>IFERROR(VLOOKUP(O6, RedFlagHooks!J92:P120, 3, FALSE), "")</f>
        <v>123</v>
      </c>
      <c r="Q6" s="193">
        <f>IFERROR(VLOOKUP(O6, RedFlagHooks!J92:P120, 2, FALSE), "")</f>
        <v>9</v>
      </c>
      <c r="R6" s="193" t="str">
        <f>IFERROR(VLOOKUP(O6, RedFlagHooks!J92:P120, 6, FALSE), "")</f>
        <v>3</v>
      </c>
      <c r="S6" s="194" t="str">
        <f>IFERROR(VLOOKUP(O6, RedFlagHooks!J92:P120, 7, FALSE), "")</f>
        <v>3</v>
      </c>
    </row>
    <row r="7">
      <c r="A7" s="180" t="str">
        <f>IFERROR(__xludf.DUMMYFUNCTION("""COMPUTED_VALUE"""),"Ndjiapanda, Arlette")</f>
        <v>Ndjiapanda, Arlette</v>
      </c>
      <c r="B7" s="181">
        <f>IFERROR(VLOOKUP(A7, RedFlagHooks!J5:P41, 2, FALSE), "")</f>
        <v>0.835</v>
      </c>
      <c r="C7" s="181">
        <f>IFERROR(VLOOKUP(A7, RedFlagHooks!J5:P41, 3, FALSE), "")</f>
        <v>0.773</v>
      </c>
      <c r="D7" s="182">
        <f>IFERROR(VLOOKUP(A7, RedFlagHooks!J5:P41, 7, FALSE), "")</f>
        <v>0.5098522167</v>
      </c>
      <c r="E7" s="183">
        <f>IFERROR(VLOOKUP(A7, RedFlagHooks!J5:P41, 4, FALSE), "")</f>
        <v>14</v>
      </c>
      <c r="F7" s="184" t="str">
        <f>IFERROR(__xludf.DUMMYFUNCTION("""COMPUTED_VALUE"""),"Audet, Dominic")</f>
        <v>Audet, Dominic</v>
      </c>
      <c r="G7" s="185">
        <f>IFERROR(VLOOKUP(F7, RedFlagHooks!B5:H41, 2, FALSE), "")</f>
        <v>0.921</v>
      </c>
      <c r="H7" s="186">
        <f>IFERROR(VLOOKUP(F7, RedFlagHooks!B5:H41, 3, FALSE), "")</f>
        <v>0.906</v>
      </c>
      <c r="I7" s="186">
        <f>IFERROR(VLOOKUP(F7, RedFlagHooks!B5:H41, 7, FALSE), "")</f>
        <v>0.1059602649</v>
      </c>
      <c r="J7" s="187">
        <f>IFERROR(VLOOKUP(F7, RedFlagHooks!B5:H41, 4, FALSE), "")</f>
        <v>22</v>
      </c>
      <c r="K7" s="188" t="str">
        <f>IFERROR(__xludf.DUMMYFUNCTION("""COMPUTED_VALUE"""),"Young, Helen")</f>
        <v>Young, Helen</v>
      </c>
      <c r="L7" s="189">
        <f>IFERROR(VLOOKUP(K7, RedFlagHooks!J45:P89, 2, FALSE), "")</f>
        <v>0.845</v>
      </c>
      <c r="M7" s="190">
        <f>IFERROR(VLOOKUP(K7, RedFlagHooks!J45:P89, 3, FALSE), "")</f>
        <v>0.672</v>
      </c>
      <c r="N7" s="191">
        <f>IFERROR(VLOOKUP(K7, RedFlagHooks!J45:P89, 4, FALSE), "")</f>
        <v>8</v>
      </c>
      <c r="O7" s="192" t="str">
        <f>IFERROR(__xludf.DUMMYFUNCTION("""COMPUTED_VALUE"""),"Tredwell, Chris")</f>
        <v>Tredwell, Chris</v>
      </c>
      <c r="P7" s="193">
        <f>IFERROR(VLOOKUP(O7, RedFlagHooks!J93:P121, 3, FALSE), "")</f>
        <v>526</v>
      </c>
      <c r="Q7" s="193">
        <f>IFERROR(VLOOKUP(O7, RedFlagHooks!J93:P121, 2, FALSE), "")</f>
        <v>12</v>
      </c>
      <c r="R7" s="193" t="str">
        <f>IFERROR(VLOOKUP(O7, RedFlagHooks!J93:P121, 6, FALSE), "")</f>
        <v>3</v>
      </c>
      <c r="S7" s="194" t="str">
        <f>IFERROR(VLOOKUP(O7, RedFlagHooks!J93:P121, 7, FALSE), "")</f>
        <v>2</v>
      </c>
    </row>
    <row r="8">
      <c r="A8" s="180" t="str">
        <f>IFERROR(__xludf.DUMMYFUNCTION("""COMPUTED_VALUE"""),"Senechal, Manon")</f>
        <v>Senechal, Manon</v>
      </c>
      <c r="B8" s="181">
        <f>IFERROR(VLOOKUP(A8, RedFlagHooks!J6:P42, 2, FALSE), "")</f>
        <v>0.879</v>
      </c>
      <c r="C8" s="181">
        <f>IFERROR(VLOOKUP(A8, RedFlagHooks!J6:P42, 3, FALSE), "")</f>
        <v>0.909</v>
      </c>
      <c r="D8" s="182">
        <f>IFERROR(VLOOKUP(A8, RedFlagHooks!J6:P42, 7, FALSE), "")</f>
        <v>0.5844806008</v>
      </c>
      <c r="E8" s="183">
        <f>IFERROR(VLOOKUP(A8, RedFlagHooks!J6:P42, 4, FALSE), "")</f>
        <v>13</v>
      </c>
      <c r="F8" s="184" t="str">
        <f>IFERROR(__xludf.DUMMYFUNCTION("""COMPUTED_VALUE"""),"Carvajal Yiptong, Diego Armando")</f>
        <v>Carvajal Yiptong, Diego Armando</v>
      </c>
      <c r="G8" s="185">
        <f>IFERROR(VLOOKUP(F8, RedFlagHooks!B6:H42, 2, FALSE), "")</f>
        <v>0.857</v>
      </c>
      <c r="H8" s="186">
        <f>IFERROR(VLOOKUP(F8, RedFlagHooks!B6:H42, 3, FALSE), "")</f>
        <v>0.937</v>
      </c>
      <c r="I8" s="186">
        <f>IFERROR(VLOOKUP(F8, RedFlagHooks!B6:H42, 7, FALSE), "")</f>
        <v>0.4308411215</v>
      </c>
      <c r="J8" s="187">
        <f>IFERROR(VLOOKUP(F8, RedFlagHooks!B6:H42, 4, FALSE), "")</f>
        <v>13</v>
      </c>
      <c r="K8" s="188"/>
      <c r="L8" s="189" t="str">
        <f>IFERROR(VLOOKUP(K8, RedFlagHooks!J46:P90, 2, FALSE), "")</f>
        <v/>
      </c>
      <c r="M8" s="190" t="str">
        <f>IFERROR(VLOOKUP(K8, RedFlagHooks!J46:P90, 3, FALSE), "")</f>
        <v/>
      </c>
      <c r="N8" s="191" t="str">
        <f>IFERROR(VLOOKUP(K8, RedFlagHooks!J46:P90, 4, FALSE), "")</f>
        <v/>
      </c>
      <c r="O8" s="192" t="str">
        <f>IFERROR(__xludf.DUMMYFUNCTION("""COMPUTED_VALUE"""),"Flanagan-Fortin, Shawn")</f>
        <v>Flanagan-Fortin, Shawn</v>
      </c>
      <c r="P8" s="193">
        <f>IFERROR(VLOOKUP(O8, RedFlagHooks!J94:P122, 3, FALSE), "")</f>
        <v>314</v>
      </c>
      <c r="Q8" s="193">
        <f>IFERROR(VLOOKUP(O8, RedFlagHooks!J94:P122, 2, FALSE), "")</f>
        <v>7</v>
      </c>
      <c r="R8" s="193" t="str">
        <f>IFERROR(VLOOKUP(O8, RedFlagHooks!J94:P122, 6, FALSE), "")</f>
        <v>3</v>
      </c>
      <c r="S8" s="194" t="str">
        <f>IFERROR(VLOOKUP(O8, RedFlagHooks!J94:P122, 7, FALSE), "")</f>
        <v>3</v>
      </c>
    </row>
    <row r="9">
      <c r="A9" s="180"/>
      <c r="B9" s="181" t="str">
        <f>IFERROR(VLOOKUP(A9, RedFlagHooks!J7:P43, 2, FALSE), "")</f>
        <v/>
      </c>
      <c r="C9" s="181" t="str">
        <f>IFERROR(VLOOKUP(A9, RedFlagHooks!J7:P43, 3, FALSE), "")</f>
        <v/>
      </c>
      <c r="D9" s="182" t="str">
        <f>IFERROR(VLOOKUP(A9, RedFlagHooks!J7:P43, 7, FALSE), "")</f>
        <v/>
      </c>
      <c r="E9" s="183" t="str">
        <f>IFERROR(VLOOKUP(A9, RedFlagHooks!J7:P43, 4, FALSE), "")</f>
        <v/>
      </c>
      <c r="F9" s="184" t="str">
        <f>IFERROR(__xludf.DUMMYFUNCTION("""COMPUTED_VALUE"""),"Desjardins, Lucie")</f>
        <v>Desjardins, Lucie</v>
      </c>
      <c r="G9" s="185">
        <f>IFERROR(VLOOKUP(F9, RedFlagHooks!B7:H43, 2, FALSE), "")</f>
        <v>0.887</v>
      </c>
      <c r="H9" s="186">
        <f>IFERROR(VLOOKUP(F9, RedFlagHooks!B7:H43, 3, FALSE), "")</f>
        <v>0.936</v>
      </c>
      <c r="I9" s="186">
        <f>IFERROR(VLOOKUP(F9, RedFlagHooks!B7:H43, 7, FALSE), "")</f>
        <v>0.05683355886</v>
      </c>
      <c r="J9" s="187">
        <f>IFERROR(VLOOKUP(F9, RedFlagHooks!B7:H43, 4, FALSE), "")</f>
        <v>19</v>
      </c>
      <c r="K9" s="188"/>
      <c r="L9" s="189" t="str">
        <f>IFERROR(VLOOKUP(K9, RedFlagHooks!J47:P91, 2, FALSE), "")</f>
        <v/>
      </c>
      <c r="M9" s="190" t="str">
        <f>IFERROR(VLOOKUP(K9, RedFlagHooks!J47:P91, 3, FALSE), "")</f>
        <v/>
      </c>
      <c r="N9" s="191" t="str">
        <f>IFERROR(VLOOKUP(K9, RedFlagHooks!J47:P91, 4, FALSE), "")</f>
        <v/>
      </c>
      <c r="O9" s="192" t="str">
        <f>IFERROR(__xludf.DUMMYFUNCTION("""COMPUTED_VALUE"""),"Sivoravong, Kanitha")</f>
        <v>Sivoravong, Kanitha</v>
      </c>
      <c r="P9" s="193">
        <f>IFERROR(VLOOKUP(O9, RedFlagHooks!J95:P123, 3, FALSE), "")</f>
        <v>534</v>
      </c>
      <c r="Q9" s="193">
        <f>IFERROR(VLOOKUP(O9, RedFlagHooks!J95:P123, 2, FALSE), "")</f>
        <v>16</v>
      </c>
      <c r="R9" s="193" t="str">
        <f>IFERROR(VLOOKUP(O9, RedFlagHooks!J95:P123, 6, FALSE), "")</f>
        <v>3</v>
      </c>
      <c r="S9" s="194" t="str">
        <f>IFERROR(VLOOKUP(O9, RedFlagHooks!J95:P123, 7, FALSE), "")</f>
        <v>3</v>
      </c>
    </row>
    <row r="10">
      <c r="A10" s="180"/>
      <c r="B10" s="181" t="str">
        <f>IFERROR(VLOOKUP(A10, RedFlagHooks!J8:P44, 2, FALSE), "")</f>
        <v/>
      </c>
      <c r="C10" s="181" t="str">
        <f>IFERROR(VLOOKUP(A10, RedFlagHooks!J8:P44, 3, FALSE), "")</f>
        <v/>
      </c>
      <c r="D10" s="182" t="str">
        <f>IFERROR(VLOOKUP(A10, RedFlagHooks!J8:P44, 7, FALSE), "")</f>
        <v/>
      </c>
      <c r="E10" s="183" t="str">
        <f>IFERROR(VLOOKUP(A10, RedFlagHooks!J8:P44, 4, FALSE), "")</f>
        <v/>
      </c>
      <c r="F10" s="184" t="str">
        <f>IFERROR(__xludf.DUMMYFUNCTION("""COMPUTED_VALUE"""),"Dupuis, Joanie")</f>
        <v>Dupuis, Joanie</v>
      </c>
      <c r="G10" s="185">
        <f>IFERROR(VLOOKUP(F10, RedFlagHooks!B8:H44, 2, FALSE), "")</f>
        <v>0.919</v>
      </c>
      <c r="H10" s="186">
        <f>IFERROR(VLOOKUP(F10, RedFlagHooks!B8:H44, 3, FALSE), "")</f>
        <v>0.867</v>
      </c>
      <c r="I10" s="186">
        <f>IFERROR(VLOOKUP(F10, RedFlagHooks!B8:H44, 7, FALSE), "")</f>
        <v>0.3709923664</v>
      </c>
      <c r="J10" s="187">
        <f>IFERROR(VLOOKUP(F10, RedFlagHooks!B8:H44, 4, FALSE), "")</f>
        <v>8</v>
      </c>
      <c r="K10" s="188"/>
      <c r="L10" s="189" t="str">
        <f>IFERROR(VLOOKUP(K10, RedFlagHooks!J48:P92, 2, FALSE), "")</f>
        <v/>
      </c>
      <c r="M10" s="190" t="str">
        <f>IFERROR(VLOOKUP(K10, RedFlagHooks!J48:P92, 3, FALSE), "")</f>
        <v/>
      </c>
      <c r="N10" s="191" t="str">
        <f>IFERROR(VLOOKUP(K10, RedFlagHooks!J48:P92, 4, FALSE), "")</f>
        <v/>
      </c>
      <c r="O10" s="195"/>
      <c r="P10" s="193" t="str">
        <f>IFERROR(VLOOKUP(O10, RedFlagHooks!J96:P124, 3, FALSE), "")</f>
        <v/>
      </c>
      <c r="Q10" s="193" t="str">
        <f>IFERROR(VLOOKUP(O10, RedFlagHooks!J96:P124, 2, FALSE), "")</f>
        <v/>
      </c>
      <c r="R10" s="193" t="str">
        <f>IFERROR(VLOOKUP(O10, RedFlagHooks!J96:P124, 6, FALSE), "")</f>
        <v/>
      </c>
      <c r="S10" s="194" t="str">
        <f>IFERROR(VLOOKUP(O10, RedFlagHooks!J96:P124, 7, FALSE), "")</f>
        <v/>
      </c>
    </row>
    <row r="11">
      <c r="A11" s="180"/>
      <c r="B11" s="181" t="str">
        <f>IFERROR(VLOOKUP(A11, RedFlagHooks!J9:P45, 2, FALSE), "")</f>
        <v/>
      </c>
      <c r="C11" s="181" t="str">
        <f>IFERROR(VLOOKUP(A11, RedFlagHooks!J9:P45, 3, FALSE), "")</f>
        <v/>
      </c>
      <c r="D11" s="182" t="str">
        <f>IFERROR(VLOOKUP(A11, RedFlagHooks!J9:P45, 7, FALSE), "")</f>
        <v/>
      </c>
      <c r="E11" s="183" t="str">
        <f>IFERROR(VLOOKUP(A11, RedFlagHooks!J9:P45, 4, FALSE), "")</f>
        <v/>
      </c>
      <c r="F11" s="184" t="str">
        <f>IFERROR(__xludf.DUMMYFUNCTION("""COMPUTED_VALUE"""),"Fakhfakh, Souleymen")</f>
        <v>Fakhfakh, Souleymen</v>
      </c>
      <c r="G11" s="185">
        <f>IFERROR(VLOOKUP(F11, RedFlagHooks!B9:H45, 2, FALSE), "")</f>
        <v>0.964</v>
      </c>
      <c r="H11" s="186">
        <f>IFERROR(VLOOKUP(F11, RedFlagHooks!B9:H45, 3, FALSE), "")</f>
        <v>0.948</v>
      </c>
      <c r="I11" s="186">
        <f>IFERROR(VLOOKUP(F11, RedFlagHooks!B9:H45, 7, FALSE), "")</f>
        <v>0.2983293556</v>
      </c>
      <c r="J11" s="187">
        <f>IFERROR(VLOOKUP(F11, RedFlagHooks!B9:H45, 4, FALSE), "")</f>
        <v>18</v>
      </c>
      <c r="K11" s="188"/>
      <c r="L11" s="189" t="str">
        <f>IFERROR(VLOOKUP(K11, RedFlagHooks!J49:P93, 2, FALSE), "")</f>
        <v/>
      </c>
      <c r="M11" s="190" t="str">
        <f>IFERROR(VLOOKUP(K11, RedFlagHooks!J49:P93, 3, FALSE), "")</f>
        <v/>
      </c>
      <c r="N11" s="191" t="str">
        <f>IFERROR(VLOOKUP(K11, RedFlagHooks!J49:P93, 4, FALSE), "")</f>
        <v/>
      </c>
      <c r="O11" s="195"/>
      <c r="P11" s="193" t="str">
        <f>IFERROR(VLOOKUP(O11, RedFlagHooks!J97:P125, 3, FALSE), "")</f>
        <v/>
      </c>
      <c r="Q11" s="193" t="str">
        <f>IFERROR(VLOOKUP(O11, RedFlagHooks!J97:P125, 2, FALSE), "")</f>
        <v/>
      </c>
      <c r="R11" s="193" t="str">
        <f>IFERROR(VLOOKUP(O11, RedFlagHooks!J97:P125, 6, FALSE), "")</f>
        <v/>
      </c>
      <c r="S11" s="194" t="str">
        <f>IFERROR(VLOOKUP(O11, RedFlagHooks!J97:P125, 7, FALSE), "")</f>
        <v/>
      </c>
    </row>
    <row r="12">
      <c r="A12" s="180"/>
      <c r="B12" s="181" t="str">
        <f>IFERROR(VLOOKUP(A12, RedFlagHooks!J10:P46, 2, FALSE), "")</f>
        <v/>
      </c>
      <c r="C12" s="181" t="str">
        <f>IFERROR(VLOOKUP(A12, RedFlagHooks!J10:P46, 3, FALSE), "")</f>
        <v/>
      </c>
      <c r="D12" s="182" t="str">
        <f>IFERROR(VLOOKUP(A12, RedFlagHooks!J10:P46, 7, FALSE), "")</f>
        <v/>
      </c>
      <c r="E12" s="183" t="str">
        <f>IFERROR(VLOOKUP(A12, RedFlagHooks!J10:P46, 4, FALSE), "")</f>
        <v/>
      </c>
      <c r="F12" s="184" t="str">
        <f>IFERROR(__xludf.DUMMYFUNCTION("""COMPUTED_VALUE"""),"Gabriel, Gamelyn")</f>
        <v>Gabriel, Gamelyn</v>
      </c>
      <c r="G12" s="185">
        <f>IFERROR(VLOOKUP(F12, RedFlagHooks!B10:H46, 2, FALSE), "")</f>
        <v>0.829</v>
      </c>
      <c r="H12" s="186">
        <f>IFERROR(VLOOKUP(F12, RedFlagHooks!B10:H46, 3, FALSE), "")</f>
        <v>0.868</v>
      </c>
      <c r="I12" s="186">
        <f>IFERROR(VLOOKUP(F12, RedFlagHooks!B10:H46, 7, FALSE), "")</f>
        <v>0.2378640777</v>
      </c>
      <c r="J12" s="187">
        <f>IFERROR(VLOOKUP(F12, RedFlagHooks!B10:H46, 4, FALSE), "")</f>
        <v>9</v>
      </c>
      <c r="K12" s="188"/>
      <c r="L12" s="189" t="str">
        <f>IFERROR(VLOOKUP(K12, RedFlagHooks!J50:P94, 2, FALSE), "")</f>
        <v/>
      </c>
      <c r="M12" s="190" t="str">
        <f>IFERROR(VLOOKUP(K12, RedFlagHooks!J50:P94, 3, FALSE), "")</f>
        <v/>
      </c>
      <c r="N12" s="191" t="str">
        <f>IFERROR(VLOOKUP(K12, RedFlagHooks!J50:P94, 4, FALSE), "")</f>
        <v/>
      </c>
      <c r="O12" s="195"/>
      <c r="P12" s="193" t="str">
        <f>IFERROR(VLOOKUP(O12, RedFlagHooks!J98:P126, 3, FALSE), "")</f>
        <v/>
      </c>
      <c r="Q12" s="193" t="str">
        <f>IFERROR(VLOOKUP(O12, RedFlagHooks!J98:P126, 2, FALSE), "")</f>
        <v/>
      </c>
      <c r="R12" s="193" t="str">
        <f>IFERROR(VLOOKUP(O12, RedFlagHooks!J98:P126, 6, FALSE), "")</f>
        <v/>
      </c>
      <c r="S12" s="194" t="str">
        <f>IFERROR(VLOOKUP(O12, RedFlagHooks!J98:P126, 7, FALSE), "")</f>
        <v/>
      </c>
    </row>
    <row r="13">
      <c r="A13" s="180"/>
      <c r="B13" s="181" t="str">
        <f>IFERROR(VLOOKUP(A13, RedFlagHooks!J11:P47, 2, FALSE), "")</f>
        <v/>
      </c>
      <c r="C13" s="181" t="str">
        <f>IFERROR(VLOOKUP(A13, RedFlagHooks!J11:P47, 3, FALSE), "")</f>
        <v/>
      </c>
      <c r="D13" s="182" t="str">
        <f>IFERROR(VLOOKUP(A13, RedFlagHooks!J11:P47, 7, FALSE), "")</f>
        <v/>
      </c>
      <c r="E13" s="183" t="str">
        <f>IFERROR(VLOOKUP(A13, RedFlagHooks!J11:P47, 4, FALSE), "")</f>
        <v/>
      </c>
      <c r="F13" s="184" t="str">
        <f>IFERROR(__xludf.DUMMYFUNCTION("""COMPUTED_VALUE"""),"Gagnon, Nancy")</f>
        <v>Gagnon, Nancy</v>
      </c>
      <c r="G13" s="185">
        <f>IFERROR(VLOOKUP(F13, RedFlagHooks!B11:H47, 2, FALSE), "")</f>
        <v>0.765</v>
      </c>
      <c r="H13" s="186">
        <f>IFERROR(VLOOKUP(F13, RedFlagHooks!B11:H47, 3, FALSE), "")</f>
        <v>0.693</v>
      </c>
      <c r="I13" s="186">
        <f>IFERROR(VLOOKUP(F13, RedFlagHooks!B11:H47, 7, FALSE), "")</f>
        <v>0.2235722965</v>
      </c>
      <c r="J13" s="187">
        <f>IFERROR(VLOOKUP(F13, RedFlagHooks!B11:H47, 4, FALSE), "")</f>
        <v>18</v>
      </c>
      <c r="K13" s="188"/>
      <c r="L13" s="189" t="str">
        <f>IFERROR(VLOOKUP(K13, RedFlagHooks!J51:P95, 2, FALSE), "")</f>
        <v/>
      </c>
      <c r="M13" s="190" t="str">
        <f>IFERROR(VLOOKUP(K13, RedFlagHooks!J51:P95, 3, FALSE), "")</f>
        <v/>
      </c>
      <c r="N13" s="191" t="str">
        <f>IFERROR(VLOOKUP(K13, RedFlagHooks!J51:P95, 4, FALSE), "")</f>
        <v/>
      </c>
      <c r="O13" s="195"/>
      <c r="P13" s="193" t="str">
        <f>IFERROR(VLOOKUP(O13, RedFlagHooks!J99:P127, 3, FALSE), "")</f>
        <v/>
      </c>
      <c r="Q13" s="193" t="str">
        <f>IFERROR(VLOOKUP(O13, RedFlagHooks!J99:P127, 2, FALSE), "")</f>
        <v/>
      </c>
      <c r="R13" s="193" t="str">
        <f>IFERROR(VLOOKUP(O13, RedFlagHooks!J99:P127, 6, FALSE), "")</f>
        <v/>
      </c>
      <c r="S13" s="194" t="str">
        <f>IFERROR(VLOOKUP(O13, RedFlagHooks!J99:P127, 7, FALSE), "")</f>
        <v/>
      </c>
    </row>
    <row r="14">
      <c r="A14" s="180"/>
      <c r="B14" s="181" t="str">
        <f>IFERROR(VLOOKUP(A14, RedFlagHooks!J12:P48, 2, FALSE), "")</f>
        <v/>
      </c>
      <c r="C14" s="181" t="str">
        <f>IFERROR(VLOOKUP(A14, RedFlagHooks!J12:P48, 3, FALSE), "")</f>
        <v/>
      </c>
      <c r="D14" s="182" t="str">
        <f>IFERROR(VLOOKUP(A14, RedFlagHooks!J12:P48, 7, FALSE), "")</f>
        <v/>
      </c>
      <c r="E14" s="183" t="str">
        <f>IFERROR(VLOOKUP(A14, RedFlagHooks!J12:P48, 4, FALSE), "")</f>
        <v/>
      </c>
      <c r="F14" s="184" t="str">
        <f>IFERROR(__xludf.DUMMYFUNCTION("""COMPUTED_VALUE"""),"Gil Cervino, Henrique Alexandre")</f>
        <v>Gil Cervino, Henrique Alexandre</v>
      </c>
      <c r="G14" s="185">
        <f>IFERROR(VLOOKUP(F14, RedFlagHooks!B12:H48, 2, FALSE), "")</f>
        <v>0.845</v>
      </c>
      <c r="H14" s="186">
        <f>IFERROR(VLOOKUP(F14, RedFlagHooks!B12:H48, 3, FALSE), "")</f>
        <v>0.855</v>
      </c>
      <c r="I14" s="186">
        <f>IFERROR(VLOOKUP(F14, RedFlagHooks!B12:H48, 7, FALSE), "")</f>
        <v>0.2032520325</v>
      </c>
      <c r="J14" s="187">
        <f>IFERROR(VLOOKUP(F14, RedFlagHooks!B12:H48, 4, FALSE), "")</f>
        <v>9</v>
      </c>
      <c r="K14" s="188"/>
      <c r="L14" s="189" t="str">
        <f>IFERROR(VLOOKUP(K14, RedFlagHooks!J52:P96, 2, FALSE), "")</f>
        <v/>
      </c>
      <c r="M14" s="190" t="str">
        <f>IFERROR(VLOOKUP(K14, RedFlagHooks!J52:P96, 3, FALSE), "")</f>
        <v/>
      </c>
      <c r="N14" s="191" t="str">
        <f>IFERROR(VLOOKUP(K14, RedFlagHooks!J52:P96, 4, FALSE), "")</f>
        <v/>
      </c>
      <c r="O14" s="195"/>
      <c r="P14" s="193" t="str">
        <f>IFERROR(VLOOKUP(O14, RedFlagHooks!J100:P128, 3, FALSE), "")</f>
        <v/>
      </c>
      <c r="Q14" s="193" t="str">
        <f>IFERROR(VLOOKUP(O14, RedFlagHooks!J100:P128, 2, FALSE), "")</f>
        <v/>
      </c>
      <c r="R14" s="193" t="str">
        <f>IFERROR(VLOOKUP(O14, RedFlagHooks!J100:P128, 6, FALSE), "")</f>
        <v/>
      </c>
      <c r="S14" s="194" t="str">
        <f>IFERROR(VLOOKUP(O14, RedFlagHooks!J100:P128, 7, FALSE), "")</f>
        <v/>
      </c>
    </row>
    <row r="15">
      <c r="A15" s="180"/>
      <c r="B15" s="181" t="str">
        <f>IFERROR(VLOOKUP(A15, RedFlagHooks!J13:P49, 2, FALSE), "")</f>
        <v/>
      </c>
      <c r="C15" s="181" t="str">
        <f>IFERROR(VLOOKUP(A15, RedFlagHooks!J13:P49, 3, FALSE), "")</f>
        <v/>
      </c>
      <c r="D15" s="182" t="str">
        <f>IFERROR(VLOOKUP(A15, RedFlagHooks!J13:P49, 7, FALSE), "")</f>
        <v/>
      </c>
      <c r="E15" s="183" t="str">
        <f>IFERROR(VLOOKUP(A15, RedFlagHooks!J13:P49, 4, FALSE), "")</f>
        <v/>
      </c>
      <c r="F15" s="184" t="str">
        <f>IFERROR(__xludf.DUMMYFUNCTION("""COMPUTED_VALUE"""),"Goddard, Adrien")</f>
        <v>Goddard, Adrien</v>
      </c>
      <c r="G15" s="185">
        <f>IFERROR(VLOOKUP(F15, RedFlagHooks!B13:H49, 2, FALSE), "")</f>
        <v>1</v>
      </c>
      <c r="H15" s="186">
        <f>IFERROR(VLOOKUP(F15, RedFlagHooks!B13:H49, 3, FALSE), "")</f>
        <v>1</v>
      </c>
      <c r="I15" s="186">
        <f>IFERROR(VLOOKUP(F15, RedFlagHooks!B13:H49, 7, FALSE), "")</f>
        <v>0.1432506887</v>
      </c>
      <c r="J15" s="187">
        <f>IFERROR(VLOOKUP(F15, RedFlagHooks!B13:H49, 4, FALSE), "")</f>
        <v>12</v>
      </c>
      <c r="K15" s="188"/>
      <c r="L15" s="189" t="str">
        <f>IFERROR(VLOOKUP(K15, RedFlagHooks!J53:P97, 2, FALSE), "")</f>
        <v/>
      </c>
      <c r="M15" s="190" t="str">
        <f>IFERROR(VLOOKUP(K15, RedFlagHooks!J53:P97, 3, FALSE), "")</f>
        <v/>
      </c>
      <c r="N15" s="191" t="str">
        <f>IFERROR(VLOOKUP(K15, RedFlagHooks!J53:P97, 4, FALSE), "")</f>
        <v/>
      </c>
      <c r="O15" s="195"/>
      <c r="P15" s="193" t="str">
        <f>IFERROR(VLOOKUP(O15, RedFlagHooks!J101:P129, 3, FALSE), "")</f>
        <v/>
      </c>
      <c r="Q15" s="193" t="str">
        <f>IFERROR(VLOOKUP(O15, RedFlagHooks!J101:P129, 2, FALSE), "")</f>
        <v/>
      </c>
      <c r="R15" s="193" t="str">
        <f>IFERROR(VLOOKUP(O15, RedFlagHooks!J101:P129, 6, FALSE), "")</f>
        <v/>
      </c>
      <c r="S15" s="194" t="str">
        <f>IFERROR(VLOOKUP(O15, RedFlagHooks!J101:P129, 7, FALSE), "")</f>
        <v/>
      </c>
    </row>
    <row r="16">
      <c r="A16" s="180"/>
      <c r="B16" s="181" t="str">
        <f>IFERROR(VLOOKUP(A16, RedFlagHooks!J14:P50, 2, FALSE), "")</f>
        <v/>
      </c>
      <c r="C16" s="181" t="str">
        <f>IFERROR(VLOOKUP(A16, RedFlagHooks!J14:P50, 3, FALSE), "")</f>
        <v/>
      </c>
      <c r="D16" s="182" t="str">
        <f>IFERROR(VLOOKUP(A16, RedFlagHooks!J14:P50, 7, FALSE), "")</f>
        <v/>
      </c>
      <c r="E16" s="183" t="str">
        <f>IFERROR(VLOOKUP(A16, RedFlagHooks!J14:P50, 4, FALSE), "")</f>
        <v/>
      </c>
      <c r="F16" s="184" t="str">
        <f>IFERROR(__xludf.DUMMYFUNCTION("""COMPUTED_VALUE"""),"Kaur, Manpreet")</f>
        <v>Kaur, Manpreet</v>
      </c>
      <c r="G16" s="185">
        <f>IFERROR(VLOOKUP(F16, RedFlagHooks!B14:H50, 2, FALSE), "")</f>
        <v>0.84</v>
      </c>
      <c r="H16" s="186">
        <f>IFERROR(VLOOKUP(F16, RedFlagHooks!B14:H50, 3, FALSE), "")</f>
        <v>0.833</v>
      </c>
      <c r="I16" s="186">
        <f>IFERROR(VLOOKUP(F16, RedFlagHooks!B14:H50, 7, FALSE), "")</f>
        <v>0.3169877408</v>
      </c>
      <c r="J16" s="187">
        <f>IFERROR(VLOOKUP(F16, RedFlagHooks!B14:H50, 4, FALSE), "")</f>
        <v>21</v>
      </c>
      <c r="K16" s="188"/>
      <c r="L16" s="189" t="str">
        <f>IFERROR(VLOOKUP(K16, RedFlagHooks!J54:P98, 2, FALSE), "")</f>
        <v/>
      </c>
      <c r="M16" s="190" t="str">
        <f>IFERROR(VLOOKUP(K16, RedFlagHooks!J54:P98, 3, FALSE), "")</f>
        <v/>
      </c>
      <c r="N16" s="191" t="str">
        <f>IFERROR(VLOOKUP(K16, RedFlagHooks!J54:P98, 4, FALSE), "")</f>
        <v/>
      </c>
      <c r="O16" s="195"/>
      <c r="P16" s="193" t="str">
        <f>IFERROR(VLOOKUP(O16, RedFlagHooks!J102:P130, 3, FALSE), "")</f>
        <v/>
      </c>
      <c r="Q16" s="193" t="str">
        <f>IFERROR(VLOOKUP(O16, RedFlagHooks!J102:P130, 2, FALSE), "")</f>
        <v/>
      </c>
      <c r="R16" s="193" t="str">
        <f>IFERROR(VLOOKUP(O16, RedFlagHooks!J102:P130, 6, FALSE), "")</f>
        <v/>
      </c>
      <c r="S16" s="194" t="str">
        <f>IFERROR(VLOOKUP(O16, RedFlagHooks!J102:P130, 7, FALSE), "")</f>
        <v/>
      </c>
    </row>
    <row r="17">
      <c r="A17" s="180"/>
      <c r="B17" s="181" t="str">
        <f>IFERROR(VLOOKUP(A17, RedFlagHooks!J15:P51, 2, FALSE), "")</f>
        <v/>
      </c>
      <c r="C17" s="181" t="str">
        <f>IFERROR(VLOOKUP(A17, RedFlagHooks!J15:P51, 3, FALSE), "")</f>
        <v/>
      </c>
      <c r="D17" s="182" t="str">
        <f>IFERROR(VLOOKUP(A17, RedFlagHooks!J15:P51, 7, FALSE), "")</f>
        <v/>
      </c>
      <c r="E17" s="183" t="str">
        <f>IFERROR(VLOOKUP(A17, RedFlagHooks!J15:P51, 4, FALSE), "")</f>
        <v/>
      </c>
      <c r="F17" s="184" t="str">
        <f>IFERROR(__xludf.DUMMYFUNCTION("""COMPUTED_VALUE"""),"Khattabi, Mohammed Najib")</f>
        <v>Khattabi, Mohammed Najib</v>
      </c>
      <c r="G17" s="185">
        <f>IFERROR(VLOOKUP(F17, RedFlagHooks!B15:H51, 2, FALSE), "")</f>
        <v>0.93</v>
      </c>
      <c r="H17" s="186">
        <f>IFERROR(VLOOKUP(F17, RedFlagHooks!B15:H51, 3, FALSE), "")</f>
        <v>0.894</v>
      </c>
      <c r="I17" s="186">
        <f>IFERROR(VLOOKUP(F17, RedFlagHooks!B15:H51, 7, FALSE), "")</f>
        <v>0.3031887088</v>
      </c>
      <c r="J17" s="187">
        <f>IFERROR(VLOOKUP(F17, RedFlagHooks!B15:H51, 4, FALSE), "")</f>
        <v>24</v>
      </c>
      <c r="K17" s="188"/>
      <c r="L17" s="189" t="str">
        <f>IFERROR(VLOOKUP(K17, RedFlagHooks!J55:P99, 2, FALSE), "")</f>
        <v/>
      </c>
      <c r="M17" s="190" t="str">
        <f>IFERROR(VLOOKUP(K17, RedFlagHooks!J55:P99, 3, FALSE), "")</f>
        <v/>
      </c>
      <c r="N17" s="191" t="str">
        <f>IFERROR(VLOOKUP(K17, RedFlagHooks!J55:P99, 4, FALSE), "")</f>
        <v/>
      </c>
      <c r="O17" s="195"/>
      <c r="P17" s="193" t="str">
        <f>IFERROR(VLOOKUP(O17, RedFlagHooks!J103:P131, 3, FALSE), "")</f>
        <v/>
      </c>
      <c r="Q17" s="193" t="str">
        <f>IFERROR(VLOOKUP(O17, RedFlagHooks!J103:P131, 2, FALSE), "")</f>
        <v/>
      </c>
      <c r="R17" s="193" t="str">
        <f>IFERROR(VLOOKUP(O17, RedFlagHooks!J103:P131, 6, FALSE), "")</f>
        <v/>
      </c>
      <c r="S17" s="194" t="str">
        <f>IFERROR(VLOOKUP(O17, RedFlagHooks!J103:P131, 7, FALSE), "")</f>
        <v/>
      </c>
    </row>
    <row r="18">
      <c r="A18" s="180"/>
      <c r="B18" s="181" t="str">
        <f>IFERROR(VLOOKUP(A18, RedFlagHooks!J16:P52, 2, FALSE), "")</f>
        <v/>
      </c>
      <c r="C18" s="181" t="str">
        <f>IFERROR(VLOOKUP(A18, RedFlagHooks!J16:P52, 3, FALSE), "")</f>
        <v/>
      </c>
      <c r="D18" s="182" t="str">
        <f>IFERROR(VLOOKUP(A18, RedFlagHooks!J16:P52, 7, FALSE), "")</f>
        <v/>
      </c>
      <c r="E18" s="183" t="str">
        <f>IFERROR(VLOOKUP(A18, RedFlagHooks!J16:P52, 4, FALSE), "")</f>
        <v/>
      </c>
      <c r="F18" s="184" t="str">
        <f>IFERROR(__xludf.DUMMYFUNCTION("""COMPUTED_VALUE"""),"Mann, Talwinder")</f>
        <v>Mann, Talwinder</v>
      </c>
      <c r="G18" s="185">
        <f>IFERROR(VLOOKUP(F18, RedFlagHooks!B16:H52, 2, FALSE), "")</f>
        <v>0.769</v>
      </c>
      <c r="H18" s="186">
        <f>IFERROR(VLOOKUP(F18, RedFlagHooks!B16:H52, 3, FALSE), "")</f>
        <v>0.837</v>
      </c>
      <c r="I18" s="186">
        <f>IFERROR(VLOOKUP(F18, RedFlagHooks!B16:H52, 7, FALSE), "")</f>
        <v>0.4877650897</v>
      </c>
      <c r="J18" s="187">
        <f>IFERROR(VLOOKUP(F18, RedFlagHooks!B16:H52, 4, FALSE), "")</f>
        <v>8</v>
      </c>
      <c r="K18" s="188"/>
      <c r="L18" s="189" t="str">
        <f>IFERROR(VLOOKUP(K18, RedFlagHooks!J56:P100, 2, FALSE), "")</f>
        <v/>
      </c>
      <c r="M18" s="190" t="str">
        <f>IFERROR(VLOOKUP(K18, RedFlagHooks!J56:P100, 3, FALSE), "")</f>
        <v/>
      </c>
      <c r="N18" s="191" t="str">
        <f>IFERROR(VLOOKUP(K18, RedFlagHooks!J56:P100, 4, FALSE), "")</f>
        <v/>
      </c>
      <c r="O18" s="195"/>
      <c r="P18" s="193" t="str">
        <f>IFERROR(VLOOKUP(O18, RedFlagHooks!J104:P132, 3, FALSE), "")</f>
        <v/>
      </c>
      <c r="Q18" s="193" t="str">
        <f>IFERROR(VLOOKUP(O18, RedFlagHooks!J104:P132, 2, FALSE), "")</f>
        <v/>
      </c>
      <c r="R18" s="193" t="str">
        <f>IFERROR(VLOOKUP(O18, RedFlagHooks!J104:P132, 6, FALSE), "")</f>
        <v/>
      </c>
      <c r="S18" s="194" t="str">
        <f>IFERROR(VLOOKUP(O18, RedFlagHooks!J104:P132, 7, FALSE), "")</f>
        <v/>
      </c>
    </row>
    <row r="19">
      <c r="A19" s="180"/>
      <c r="B19" s="181" t="str">
        <f>IFERROR(VLOOKUP(A19, RedFlagHooks!J17:P53, 2, FALSE), "")</f>
        <v/>
      </c>
      <c r="C19" s="181" t="str">
        <f>IFERROR(VLOOKUP(A19, RedFlagHooks!J17:P53, 3, FALSE), "")</f>
        <v/>
      </c>
      <c r="D19" s="182" t="str">
        <f>IFERROR(VLOOKUP(A19, RedFlagHooks!J17:P53, 7, FALSE), "")</f>
        <v/>
      </c>
      <c r="E19" s="183" t="str">
        <f>IFERROR(VLOOKUP(A19, RedFlagHooks!J17:P53, 4, FALSE), "")</f>
        <v/>
      </c>
      <c r="F19" s="184" t="str">
        <f>IFERROR(__xludf.DUMMYFUNCTION("""COMPUTED_VALUE"""),"Miclisse-Polat, Lorenzo Misael")</f>
        <v>Miclisse-Polat, Lorenzo Misael</v>
      </c>
      <c r="G19" s="185">
        <f>IFERROR(VLOOKUP(F19, RedFlagHooks!B17:H53, 2, FALSE), "")</f>
        <v>0.867</v>
      </c>
      <c r="H19" s="186">
        <f>IFERROR(VLOOKUP(F19, RedFlagHooks!B17:H53, 3, FALSE), "")</f>
        <v>0.909</v>
      </c>
      <c r="I19" s="186">
        <f>IFERROR(VLOOKUP(F19, RedFlagHooks!B17:H53, 7, FALSE), "")</f>
        <v>0.2231282431</v>
      </c>
      <c r="J19" s="187">
        <f>IFERROR(VLOOKUP(F19, RedFlagHooks!B17:H53, 4, FALSE), "")</f>
        <v>16</v>
      </c>
      <c r="K19" s="188"/>
      <c r="L19" s="189" t="str">
        <f>IFERROR(VLOOKUP(K19, RedFlagHooks!J57:P101, 2, FALSE), "")</f>
        <v/>
      </c>
      <c r="M19" s="190" t="str">
        <f>IFERROR(VLOOKUP(K19, RedFlagHooks!J57:P101, 3, FALSE), "")</f>
        <v/>
      </c>
      <c r="N19" s="191" t="str">
        <f>IFERROR(VLOOKUP(K19, RedFlagHooks!J57:P101, 4, FALSE), "")</f>
        <v/>
      </c>
      <c r="O19" s="195"/>
      <c r="P19" s="193" t="str">
        <f>IFERROR(VLOOKUP(O19, RedFlagHooks!J105:P133, 3, FALSE), "")</f>
        <v/>
      </c>
      <c r="Q19" s="193" t="str">
        <f>IFERROR(VLOOKUP(O19, RedFlagHooks!J105:P133, 2, FALSE), "")</f>
        <v/>
      </c>
      <c r="R19" s="193" t="str">
        <f>IFERROR(VLOOKUP(O19, RedFlagHooks!J105:P133, 6, FALSE), "")</f>
        <v/>
      </c>
      <c r="S19" s="194" t="str">
        <f>IFERROR(VLOOKUP(O19, RedFlagHooks!J105:P133, 7, FALSE), "")</f>
        <v/>
      </c>
    </row>
    <row r="20">
      <c r="A20" s="180"/>
      <c r="B20" s="181" t="str">
        <f>IFERROR(VLOOKUP(A20, RedFlagHooks!J18:P54, 2, FALSE), "")</f>
        <v/>
      </c>
      <c r="C20" s="181" t="str">
        <f>IFERROR(VLOOKUP(A20, RedFlagHooks!J18:P54, 3, FALSE), "")</f>
        <v/>
      </c>
      <c r="D20" s="182" t="str">
        <f>IFERROR(VLOOKUP(A20, RedFlagHooks!J18:P54, 7, FALSE), "")</f>
        <v/>
      </c>
      <c r="E20" s="183" t="str">
        <f>IFERROR(VLOOKUP(A20, RedFlagHooks!J18:P54, 4, FALSE), "")</f>
        <v/>
      </c>
      <c r="F20" s="184" t="str">
        <f>IFERROR(__xludf.DUMMYFUNCTION("""COMPUTED_VALUE"""),"Ndihokubwayo, Twahiba Kashe")</f>
        <v>Ndihokubwayo, Twahiba Kashe</v>
      </c>
      <c r="G20" s="185">
        <f>IFERROR(VLOOKUP(F20, RedFlagHooks!B18:H54, 2, FALSE), "")</f>
        <v>0.917</v>
      </c>
      <c r="H20" s="186">
        <f>IFERROR(VLOOKUP(F20, RedFlagHooks!B18:H54, 3, FALSE), "")</f>
        <v>0.96</v>
      </c>
      <c r="I20" s="186">
        <f>IFERROR(VLOOKUP(F20, RedFlagHooks!B18:H54, 7, FALSE), "")</f>
        <v>0.4052863436</v>
      </c>
      <c r="J20" s="187">
        <f>IFERROR(VLOOKUP(F20, RedFlagHooks!B18:H54, 4, FALSE), "")</f>
        <v>14</v>
      </c>
      <c r="K20" s="188"/>
      <c r="L20" s="189" t="str">
        <f>IFERROR(VLOOKUP(K20, RedFlagHooks!J58:P102, 2, FALSE), "")</f>
        <v/>
      </c>
      <c r="M20" s="190" t="str">
        <f>IFERROR(VLOOKUP(K20, RedFlagHooks!J58:P102, 3, FALSE), "")</f>
        <v/>
      </c>
      <c r="N20" s="191" t="str">
        <f>IFERROR(VLOOKUP(K20, RedFlagHooks!J58:P102, 4, FALSE), "")</f>
        <v/>
      </c>
      <c r="O20" s="195"/>
      <c r="P20" s="193" t="str">
        <f>IFERROR(VLOOKUP(O20, RedFlagHooks!J106:P134, 3, FALSE), "")</f>
        <v/>
      </c>
      <c r="Q20" s="193" t="str">
        <f>IFERROR(VLOOKUP(O20, RedFlagHooks!J106:P134, 2, FALSE), "")</f>
        <v/>
      </c>
      <c r="R20" s="193" t="str">
        <f>IFERROR(VLOOKUP(O20, RedFlagHooks!J106:P134, 6, FALSE), "")</f>
        <v/>
      </c>
      <c r="S20" s="194" t="str">
        <f>IFERROR(VLOOKUP(O20, RedFlagHooks!J106:P134, 7, FALSE), "")</f>
        <v/>
      </c>
    </row>
    <row r="21">
      <c r="A21" s="180"/>
      <c r="B21" s="181" t="str">
        <f>IFERROR(VLOOKUP(A21, RedFlagHooks!J19:P55, 2, FALSE), "")</f>
        <v/>
      </c>
      <c r="C21" s="181" t="str">
        <f>IFERROR(VLOOKUP(A21, RedFlagHooks!J19:P55, 3, FALSE), "")</f>
        <v/>
      </c>
      <c r="D21" s="182" t="str">
        <f>IFERROR(VLOOKUP(A21, RedFlagHooks!J19:P55, 7, FALSE), "")</f>
        <v/>
      </c>
      <c r="E21" s="183" t="str">
        <f>IFERROR(VLOOKUP(A21, RedFlagHooks!J19:P55, 4, FALSE), "")</f>
        <v/>
      </c>
      <c r="F21" s="184" t="str">
        <f>IFERROR(__xludf.DUMMYFUNCTION("""COMPUTED_VALUE"""),"Ouchchane, Myriam")</f>
        <v>Ouchchane, Myriam</v>
      </c>
      <c r="G21" s="185">
        <f>IFERROR(VLOOKUP(F21, RedFlagHooks!B19:H55, 2, FALSE), "")</f>
        <v>0.959</v>
      </c>
      <c r="H21" s="186">
        <f>IFERROR(VLOOKUP(F21, RedFlagHooks!B19:H55, 3, FALSE), "")</f>
        <v>0.954</v>
      </c>
      <c r="I21" s="186">
        <f>IFERROR(VLOOKUP(F21, RedFlagHooks!B19:H55, 7, FALSE), "")</f>
        <v>0.2172915073</v>
      </c>
      <c r="J21" s="187">
        <f>IFERROR(VLOOKUP(F21, RedFlagHooks!B19:H55, 4, FALSE), "")</f>
        <v>24</v>
      </c>
      <c r="K21" s="188"/>
      <c r="L21" s="189" t="str">
        <f>IFERROR(VLOOKUP(K21, RedFlagHooks!J59:P103, 2, FALSE), "")</f>
        <v/>
      </c>
      <c r="M21" s="190" t="str">
        <f>IFERROR(VLOOKUP(K21, RedFlagHooks!J59:P103, 3, FALSE), "")</f>
        <v/>
      </c>
      <c r="N21" s="191" t="str">
        <f>IFERROR(VLOOKUP(K21, RedFlagHooks!J59:P103, 4, FALSE), "")</f>
        <v/>
      </c>
      <c r="O21" s="195"/>
      <c r="P21" s="193" t="str">
        <f>IFERROR(VLOOKUP(O21, RedFlagHooks!J107:P135, 3, FALSE), "")</f>
        <v/>
      </c>
      <c r="Q21" s="193" t="str">
        <f>IFERROR(VLOOKUP(O21, RedFlagHooks!J107:P135, 2, FALSE), "")</f>
        <v/>
      </c>
      <c r="R21" s="193" t="str">
        <f>IFERROR(VLOOKUP(O21, RedFlagHooks!J107:P135, 6, FALSE), "")</f>
        <v/>
      </c>
      <c r="S21" s="194" t="str">
        <f>IFERROR(VLOOKUP(O21, RedFlagHooks!J107:P135, 7, FALSE), "")</f>
        <v/>
      </c>
    </row>
    <row r="22">
      <c r="A22" s="180"/>
      <c r="B22" s="181" t="str">
        <f>IFERROR(VLOOKUP(A22, RedFlagHooks!J20:P56, 2, FALSE), "")</f>
        <v/>
      </c>
      <c r="C22" s="181" t="str">
        <f>IFERROR(VLOOKUP(A22, RedFlagHooks!J20:P56, 3, FALSE), "")</f>
        <v/>
      </c>
      <c r="D22" s="182" t="str">
        <f>IFERROR(VLOOKUP(A22, RedFlagHooks!J20:P56, 7, FALSE), "")</f>
        <v/>
      </c>
      <c r="E22" s="183" t="str">
        <f>IFERROR(VLOOKUP(A22, RedFlagHooks!J20:P56, 4, FALSE), "")</f>
        <v/>
      </c>
      <c r="F22" s="184" t="str">
        <f>IFERROR(__xludf.DUMMYFUNCTION("""COMPUTED_VALUE"""),"Paquette, Adam")</f>
        <v>Paquette, Adam</v>
      </c>
      <c r="G22" s="185">
        <f>IFERROR(VLOOKUP(F22, RedFlagHooks!B20:H56, 2, FALSE), "")</f>
        <v>0.916</v>
      </c>
      <c r="H22" s="186">
        <f>IFERROR(VLOOKUP(F22, RedFlagHooks!B20:H56, 3, FALSE), "")</f>
        <v>0.958</v>
      </c>
      <c r="I22" s="186">
        <f>IFERROR(VLOOKUP(F22, RedFlagHooks!B20:H56, 7, FALSE), "")</f>
        <v>0.2057416268</v>
      </c>
      <c r="J22" s="187">
        <f>IFERROR(VLOOKUP(F22, RedFlagHooks!B20:H56, 4, FALSE), "")</f>
        <v>15</v>
      </c>
      <c r="K22" s="188"/>
      <c r="L22" s="189" t="str">
        <f>IFERROR(VLOOKUP(K22, RedFlagHooks!J60:P104, 2, FALSE), "")</f>
        <v/>
      </c>
      <c r="M22" s="190" t="str">
        <f>IFERROR(VLOOKUP(K22, RedFlagHooks!J60:P104, 3, FALSE), "")</f>
        <v/>
      </c>
      <c r="N22" s="191" t="str">
        <f>IFERROR(VLOOKUP(K22, RedFlagHooks!J60:P104, 4, FALSE), "")</f>
        <v/>
      </c>
      <c r="O22" s="195"/>
      <c r="P22" s="193" t="str">
        <f>IFERROR(VLOOKUP(O22, RedFlagHooks!J108:P136, 3, FALSE), "")</f>
        <v/>
      </c>
      <c r="Q22" s="193" t="str">
        <f>IFERROR(VLOOKUP(O22, RedFlagHooks!J108:P136, 2, FALSE), "")</f>
        <v/>
      </c>
      <c r="R22" s="193" t="str">
        <f>IFERROR(VLOOKUP(O22, RedFlagHooks!J108:P136, 6, FALSE), "")</f>
        <v/>
      </c>
      <c r="S22" s="194" t="str">
        <f>IFERROR(VLOOKUP(O22, RedFlagHooks!J108:P136, 7, FALSE), "")</f>
        <v/>
      </c>
    </row>
    <row r="23">
      <c r="A23" s="180"/>
      <c r="B23" s="181" t="str">
        <f>IFERROR(VLOOKUP(A23, RedFlagHooks!J21:P57, 2, FALSE), "")</f>
        <v/>
      </c>
      <c r="C23" s="181" t="str">
        <f>IFERROR(VLOOKUP(A23, RedFlagHooks!J21:P57, 3, FALSE), "")</f>
        <v/>
      </c>
      <c r="D23" s="182" t="str">
        <f>IFERROR(VLOOKUP(A23, RedFlagHooks!J21:P57, 7, FALSE), "")</f>
        <v/>
      </c>
      <c r="E23" s="183" t="str">
        <f>IFERROR(VLOOKUP(A23, RedFlagHooks!J21:P57, 4, FALSE), "")</f>
        <v/>
      </c>
      <c r="F23" s="184" t="str">
        <f>IFERROR(__xludf.DUMMYFUNCTION("""COMPUTED_VALUE"""),"Pierre, Christopher")</f>
        <v>Pierre, Christopher</v>
      </c>
      <c r="G23" s="185">
        <f>IFERROR(VLOOKUP(F23, RedFlagHooks!B21:H57, 2, FALSE), "")</f>
        <v>0.756</v>
      </c>
      <c r="H23" s="186">
        <f>IFERROR(VLOOKUP(F23, RedFlagHooks!B21:H57, 3, FALSE), "")</f>
        <v>0.813</v>
      </c>
      <c r="I23" s="186">
        <f>IFERROR(VLOOKUP(F23, RedFlagHooks!B21:H57, 7, FALSE), "")</f>
        <v>0.1740941274</v>
      </c>
      <c r="J23" s="187">
        <f>IFERROR(VLOOKUP(F23, RedFlagHooks!B21:H57, 4, FALSE), "")</f>
        <v>16</v>
      </c>
      <c r="K23" s="188"/>
      <c r="L23" s="189" t="str">
        <f>IFERROR(VLOOKUP(K23, RedFlagHooks!J61:P105, 2, FALSE), "")</f>
        <v/>
      </c>
      <c r="M23" s="190" t="str">
        <f>IFERROR(VLOOKUP(K23, RedFlagHooks!J61:P105, 3, FALSE), "")</f>
        <v/>
      </c>
      <c r="N23" s="191" t="str">
        <f>IFERROR(VLOOKUP(K23, RedFlagHooks!J61:P105, 4, FALSE), "")</f>
        <v/>
      </c>
      <c r="O23" s="195"/>
      <c r="P23" s="193" t="str">
        <f>IFERROR(VLOOKUP(O23, RedFlagHooks!J109:P137, 3, FALSE), "")</f>
        <v/>
      </c>
      <c r="Q23" s="193" t="str">
        <f>IFERROR(VLOOKUP(O23, RedFlagHooks!J109:P137, 2, FALSE), "")</f>
        <v/>
      </c>
      <c r="R23" s="193" t="str">
        <f>IFERROR(VLOOKUP(O23, RedFlagHooks!J109:P137, 6, FALSE), "")</f>
        <v/>
      </c>
      <c r="S23" s="194" t="str">
        <f>IFERROR(VLOOKUP(O23, RedFlagHooks!J109:P137, 7, FALSE), "")</f>
        <v/>
      </c>
    </row>
    <row r="24">
      <c r="A24" s="180"/>
      <c r="B24" s="181" t="str">
        <f>IFERROR(VLOOKUP(A24, RedFlagHooks!J22:P58, 2, FALSE), "")</f>
        <v/>
      </c>
      <c r="C24" s="181" t="str">
        <f>IFERROR(VLOOKUP(A24, RedFlagHooks!J22:P58, 3, FALSE), "")</f>
        <v/>
      </c>
      <c r="D24" s="182" t="str">
        <f>IFERROR(VLOOKUP(A24, RedFlagHooks!J22:P58, 7, FALSE), "")</f>
        <v/>
      </c>
      <c r="E24" s="183" t="str">
        <f>IFERROR(VLOOKUP(A24, RedFlagHooks!J22:P58, 4, FALSE), "")</f>
        <v/>
      </c>
      <c r="F24" s="184" t="str">
        <f>IFERROR(__xludf.DUMMYFUNCTION("""COMPUTED_VALUE"""),"Popovic, Jessica")</f>
        <v>Popovic, Jessica</v>
      </c>
      <c r="G24" s="185">
        <f>IFERROR(VLOOKUP(F24, RedFlagHooks!B22:H58, 2, FALSE), "")</f>
        <v>0.823</v>
      </c>
      <c r="H24" s="186">
        <f>IFERROR(VLOOKUP(F24, RedFlagHooks!B22:H58, 3, FALSE), "")</f>
        <v>0.887</v>
      </c>
      <c r="I24" s="186">
        <f>IFERROR(VLOOKUP(F24, RedFlagHooks!B22:H58, 7, FALSE), "")</f>
        <v>0.3299145299</v>
      </c>
      <c r="J24" s="187">
        <f>IFERROR(VLOOKUP(F24, RedFlagHooks!B22:H58, 4, FALSE), "")</f>
        <v>16</v>
      </c>
      <c r="K24" s="188"/>
      <c r="L24" s="189" t="str">
        <f>IFERROR(VLOOKUP(K24, RedFlagHooks!J62:P106, 2, FALSE), "")</f>
        <v/>
      </c>
      <c r="M24" s="190" t="str">
        <f>IFERROR(VLOOKUP(K24, RedFlagHooks!J62:P106, 3, FALSE), "")</f>
        <v/>
      </c>
      <c r="N24" s="191" t="str">
        <f>IFERROR(VLOOKUP(K24, RedFlagHooks!J62:P106, 4, FALSE), "")</f>
        <v/>
      </c>
      <c r="O24" s="195"/>
      <c r="P24" s="193" t="str">
        <f>IFERROR(VLOOKUP(O24, RedFlagHooks!J110:P138, 3, FALSE), "")</f>
        <v/>
      </c>
      <c r="Q24" s="193" t="str">
        <f>IFERROR(VLOOKUP(O24, RedFlagHooks!J110:P138, 2, FALSE), "")</f>
        <v/>
      </c>
      <c r="R24" s="193" t="str">
        <f>IFERROR(VLOOKUP(O24, RedFlagHooks!J110:P138, 6, FALSE), "")</f>
        <v/>
      </c>
      <c r="S24" s="194" t="str">
        <f>IFERROR(VLOOKUP(O24, RedFlagHooks!J110:P138, 7, FALSE), "")</f>
        <v/>
      </c>
    </row>
    <row r="25">
      <c r="A25" s="180"/>
      <c r="B25" s="181" t="str">
        <f>IFERROR(VLOOKUP(A25, RedFlagHooks!J23:P59, 2, FALSE), "")</f>
        <v/>
      </c>
      <c r="C25" s="181" t="str">
        <f>IFERROR(VLOOKUP(A25, RedFlagHooks!J23:P59, 3, FALSE), "")</f>
        <v/>
      </c>
      <c r="D25" s="182" t="str">
        <f>IFERROR(VLOOKUP(A25, RedFlagHooks!J23:P59, 7, FALSE), "")</f>
        <v/>
      </c>
      <c r="E25" s="183" t="str">
        <f>IFERROR(VLOOKUP(A25, RedFlagHooks!J23:P59, 4, FALSE), "")</f>
        <v/>
      </c>
      <c r="F25" s="184" t="str">
        <f>IFERROR(__xludf.DUMMYFUNCTION("""COMPUTED_VALUE"""),"Rea, Shannon")</f>
        <v>Rea, Shannon</v>
      </c>
      <c r="G25" s="185">
        <f>IFERROR(VLOOKUP(F25, RedFlagHooks!B23:H59, 2, FALSE), "")</f>
        <v>0.832</v>
      </c>
      <c r="H25" s="186">
        <f>IFERROR(VLOOKUP(F25, RedFlagHooks!B23:H59, 3, FALSE), "")</f>
        <v>0.778</v>
      </c>
      <c r="I25" s="186">
        <f>IFERROR(VLOOKUP(F25, RedFlagHooks!B23:H59, 7, FALSE), "")</f>
        <v>0.1562696912</v>
      </c>
      <c r="J25" s="187">
        <f>IFERROR(VLOOKUP(F25, RedFlagHooks!B23:H59, 4, FALSE), "")</f>
        <v>16</v>
      </c>
      <c r="K25" s="188"/>
      <c r="L25" s="189" t="str">
        <f>IFERROR(VLOOKUP(K25, RedFlagHooks!J63:P107, 2, FALSE), "")</f>
        <v/>
      </c>
      <c r="M25" s="190" t="str">
        <f>IFERROR(VLOOKUP(K25, RedFlagHooks!J63:P107, 3, FALSE), "")</f>
        <v/>
      </c>
      <c r="N25" s="191" t="str">
        <f>IFERROR(VLOOKUP(K25, RedFlagHooks!J63:P107, 4, FALSE), "")</f>
        <v/>
      </c>
      <c r="O25" s="195"/>
      <c r="P25" s="193" t="str">
        <f>IFERROR(VLOOKUP(O25, RedFlagHooks!J111:P139, 3, FALSE), "")</f>
        <v/>
      </c>
      <c r="Q25" s="193" t="str">
        <f>IFERROR(VLOOKUP(O25, RedFlagHooks!J111:P139, 2, FALSE), "")</f>
        <v/>
      </c>
      <c r="R25" s="193" t="str">
        <f>IFERROR(VLOOKUP(O25, RedFlagHooks!J111:P139, 6, FALSE), "")</f>
        <v/>
      </c>
      <c r="S25" s="194" t="str">
        <f>IFERROR(VLOOKUP(O25, RedFlagHooks!J111:P139, 7, FALSE), "")</f>
        <v/>
      </c>
    </row>
    <row r="26">
      <c r="A26" s="180"/>
      <c r="B26" s="181" t="str">
        <f>IFERROR(VLOOKUP(A26, RedFlagHooks!J24:P60, 2, FALSE), "")</f>
        <v/>
      </c>
      <c r="C26" s="181" t="str">
        <f>IFERROR(VLOOKUP(A26, RedFlagHooks!J24:P60, 3, FALSE), "")</f>
        <v/>
      </c>
      <c r="D26" s="182" t="str">
        <f>IFERROR(VLOOKUP(A26, RedFlagHooks!J24:P60, 7, FALSE), "")</f>
        <v/>
      </c>
      <c r="E26" s="183" t="str">
        <f>IFERROR(VLOOKUP(A26, RedFlagHooks!J24:P60, 4, FALSE), "")</f>
        <v/>
      </c>
      <c r="F26" s="184" t="str">
        <f>IFERROR(__xludf.DUMMYFUNCTION("""COMPUTED_VALUE"""),"Rennie, Vida")</f>
        <v>Rennie, Vida</v>
      </c>
      <c r="G26" s="185">
        <f>IFERROR(VLOOKUP(F26, RedFlagHooks!B24:H60, 2, FALSE), "")</f>
        <v>0.794</v>
      </c>
      <c r="H26" s="186">
        <f>IFERROR(VLOOKUP(F26, RedFlagHooks!B24:H60, 3, FALSE), "")</f>
        <v>0.699</v>
      </c>
      <c r="I26" s="186">
        <f>IFERROR(VLOOKUP(F26, RedFlagHooks!B24:H60, 7, FALSE), "")</f>
        <v>0.39488117</v>
      </c>
      <c r="J26" s="187">
        <f>IFERROR(VLOOKUP(F26, RedFlagHooks!B24:H60, 4, FALSE), "")</f>
        <v>12</v>
      </c>
      <c r="K26" s="188"/>
      <c r="L26" s="189" t="str">
        <f>IFERROR(VLOOKUP(K26, RedFlagHooks!J64:P108, 2, FALSE), "")</f>
        <v/>
      </c>
      <c r="M26" s="190" t="str">
        <f>IFERROR(VLOOKUP(K26, RedFlagHooks!J64:P108, 3, FALSE), "")</f>
        <v/>
      </c>
      <c r="N26" s="191" t="str">
        <f>IFERROR(VLOOKUP(K26, RedFlagHooks!J64:P108, 4, FALSE), "")</f>
        <v/>
      </c>
      <c r="O26" s="195"/>
      <c r="P26" s="193" t="str">
        <f>IFERROR(VLOOKUP(O26, RedFlagHooks!J112:P140, 3, FALSE), "")</f>
        <v/>
      </c>
      <c r="Q26" s="193" t="str">
        <f>IFERROR(VLOOKUP(O26, RedFlagHooks!J112:P140, 2, FALSE), "")</f>
        <v/>
      </c>
      <c r="R26" s="193" t="str">
        <f>IFERROR(VLOOKUP(O26, RedFlagHooks!J112:P140, 6, FALSE), "")</f>
        <v/>
      </c>
      <c r="S26" s="194" t="str">
        <f>IFERROR(VLOOKUP(O26, RedFlagHooks!J112:P140, 7, FALSE), "")</f>
        <v/>
      </c>
    </row>
    <row r="27">
      <c r="A27" s="180"/>
      <c r="B27" s="181" t="str">
        <f>IFERROR(VLOOKUP(A27, RedFlagHooks!J25:P61, 2, FALSE), "")</f>
        <v/>
      </c>
      <c r="C27" s="181" t="str">
        <f>IFERROR(VLOOKUP(A27, RedFlagHooks!J25:P61, 3, FALSE), "")</f>
        <v/>
      </c>
      <c r="D27" s="182" t="str">
        <f>IFERROR(VLOOKUP(A27, RedFlagHooks!J25:P61, 7, FALSE), "")</f>
        <v/>
      </c>
      <c r="E27" s="183" t="str">
        <f>IFERROR(VLOOKUP(A27, RedFlagHooks!J25:P61, 4, FALSE), "")</f>
        <v/>
      </c>
      <c r="F27" s="184" t="str">
        <f>IFERROR(__xludf.DUMMYFUNCTION("""COMPUTED_VALUE"""),"Tredwell, Chris")</f>
        <v>Tredwell, Chris</v>
      </c>
      <c r="G27" s="185">
        <f>IFERROR(VLOOKUP(F27, RedFlagHooks!B25:H61, 2, FALSE), "")</f>
        <v>0.816</v>
      </c>
      <c r="H27" s="186">
        <f>IFERROR(VLOOKUP(F27, RedFlagHooks!B25:H61, 3, FALSE), "")</f>
        <v>0.646</v>
      </c>
      <c r="I27" s="186">
        <f>IFERROR(VLOOKUP(F27, RedFlagHooks!B25:H61, 7, FALSE), "")</f>
        <v>0.1882129278</v>
      </c>
      <c r="J27" s="187">
        <f>IFERROR(VLOOKUP(F27, RedFlagHooks!B25:H61, 4, FALSE), "")</f>
        <v>12</v>
      </c>
      <c r="K27" s="188"/>
      <c r="L27" s="189" t="str">
        <f>IFERROR(VLOOKUP(K27, RedFlagHooks!J65:P109, 2, FALSE), "")</f>
        <v/>
      </c>
      <c r="M27" s="190" t="str">
        <f>IFERROR(VLOOKUP(K27, RedFlagHooks!J65:P109, 3, FALSE), "")</f>
        <v/>
      </c>
      <c r="N27" s="191" t="str">
        <f>IFERROR(VLOOKUP(K27, RedFlagHooks!J65:P109, 4, FALSE), "")</f>
        <v/>
      </c>
      <c r="O27" s="195"/>
      <c r="P27" s="193" t="str">
        <f>IFERROR(VLOOKUP(O27, RedFlagHooks!J113:P141, 3, FALSE), "")</f>
        <v/>
      </c>
      <c r="Q27" s="193" t="str">
        <f>IFERROR(VLOOKUP(O27, RedFlagHooks!J113:P141, 2, FALSE), "")</f>
        <v/>
      </c>
      <c r="R27" s="193" t="str">
        <f>IFERROR(VLOOKUP(O27, RedFlagHooks!J113:P141, 6, FALSE), "")</f>
        <v/>
      </c>
      <c r="S27" s="194" t="str">
        <f>IFERROR(VLOOKUP(O27, RedFlagHooks!J113:P141, 7, FALSE), "")</f>
        <v/>
      </c>
    </row>
    <row r="28" hidden="1">
      <c r="A28" s="180"/>
      <c r="B28" s="181" t="str">
        <f>IFERROR(VLOOKUP(A28, RedFlagHooks!J26:P62, 2, FALSE), "")</f>
        <v/>
      </c>
      <c r="C28" s="181" t="str">
        <f>IFERROR(VLOOKUP(A28, RedFlagHooks!J26:P62, 3, FALSE), "")</f>
        <v/>
      </c>
      <c r="D28" s="182" t="str">
        <f>IFERROR(VLOOKUP(A28, RedFlagHooks!J26:P62, 7, FALSE), "")</f>
        <v/>
      </c>
      <c r="E28" s="183" t="str">
        <f>IFERROR(VLOOKUP(A28, RedFlagHooks!J26:P62, 4, FALSE), "")</f>
        <v/>
      </c>
      <c r="F28" s="184" t="str">
        <f>IFERROR(__xludf.DUMMYFUNCTION("""COMPUTED_VALUE"""),"Tsan, Senh")</f>
        <v>Tsan, Senh</v>
      </c>
      <c r="G28" s="185">
        <f>IFERROR(VLOOKUP(F28, RedFlagHooks!B26:H62, 2, FALSE), "")</f>
        <v>0.811</v>
      </c>
      <c r="H28" s="186">
        <f>IFERROR(VLOOKUP(F28, RedFlagHooks!B26:H62, 3, FALSE), "")</f>
        <v>0.711</v>
      </c>
      <c r="I28" s="186">
        <f>IFERROR(VLOOKUP(F28, RedFlagHooks!B26:H62, 7, FALSE), "")</f>
        <v>0.2724814064</v>
      </c>
      <c r="J28" s="187">
        <f>IFERROR(VLOOKUP(F28, RedFlagHooks!B26:H62, 4, FALSE), "")</f>
        <v>16</v>
      </c>
      <c r="K28" s="188"/>
      <c r="L28" s="189" t="str">
        <f>IFERROR(VLOOKUP(K28, RedFlagHooks!J66:P110, 2, FALSE), "")</f>
        <v/>
      </c>
      <c r="M28" s="190" t="str">
        <f>IFERROR(VLOOKUP(K28, RedFlagHooks!J66:P110, 3, FALSE), "")</f>
        <v/>
      </c>
      <c r="N28" s="191" t="str">
        <f>IFERROR(VLOOKUP(K28, RedFlagHooks!J66:P110, 4, FALSE), "")</f>
        <v/>
      </c>
      <c r="O28" s="195"/>
      <c r="P28" s="193" t="str">
        <f>IFERROR(VLOOKUP(O28, RedFlagHooks!J114:P142, 3, FALSE), "")</f>
        <v/>
      </c>
      <c r="Q28" s="193" t="str">
        <f>IFERROR(VLOOKUP(O28, RedFlagHooks!J114:P142, 2, FALSE), "")</f>
        <v/>
      </c>
      <c r="R28" s="193" t="str">
        <f>IFERROR(VLOOKUP(O28, RedFlagHooks!J114:P142, 6, FALSE), "")</f>
        <v/>
      </c>
      <c r="S28" s="194" t="str">
        <f>IFERROR(VLOOKUP(O28, RedFlagHooks!J114:P142, 7, FALSE), "")</f>
        <v/>
      </c>
    </row>
    <row r="29" hidden="1">
      <c r="A29" s="180"/>
      <c r="B29" s="181" t="str">
        <f>IFERROR(VLOOKUP(A29, RedFlagHooks!J27:P63, 2, FALSE), "")</f>
        <v/>
      </c>
      <c r="C29" s="181" t="str">
        <f>IFERROR(VLOOKUP(A29, RedFlagHooks!J27:P63, 3, FALSE), "")</f>
        <v/>
      </c>
      <c r="D29" s="182" t="str">
        <f>IFERROR(VLOOKUP(A29, RedFlagHooks!J27:P63, 7, FALSE), "")</f>
        <v/>
      </c>
      <c r="E29" s="183" t="str">
        <f>IFERROR(VLOOKUP(A29, RedFlagHooks!J27:P63, 4, FALSE), "")</f>
        <v/>
      </c>
      <c r="F29" s="184" t="str">
        <f>IFERROR(__xludf.DUMMYFUNCTION("""COMPUTED_VALUE"""),"Vachon, Genevieve")</f>
        <v>Vachon, Genevieve</v>
      </c>
      <c r="G29" s="185">
        <f>IFERROR(VLOOKUP(F29, RedFlagHooks!B27:H63, 2, FALSE), "")</f>
        <v>0.78</v>
      </c>
      <c r="H29" s="186">
        <f>IFERROR(VLOOKUP(F29, RedFlagHooks!B27:H63, 3, FALSE), "")</f>
        <v>0.737</v>
      </c>
      <c r="I29" s="186">
        <f>IFERROR(VLOOKUP(F29, RedFlagHooks!B27:H63, 7, FALSE), "")</f>
        <v>0.2241610738</v>
      </c>
      <c r="J29" s="187">
        <f>IFERROR(VLOOKUP(F29, RedFlagHooks!B27:H63, 4, FALSE), "")</f>
        <v>19</v>
      </c>
      <c r="K29" s="188"/>
      <c r="L29" s="189" t="str">
        <f>IFERROR(VLOOKUP(K29, RedFlagHooks!J67:P111, 2, FALSE), "")</f>
        <v/>
      </c>
      <c r="M29" s="190" t="str">
        <f>IFERROR(VLOOKUP(K29, RedFlagHooks!J67:P111, 3, FALSE), "")</f>
        <v/>
      </c>
      <c r="N29" s="191" t="str">
        <f>IFERROR(VLOOKUP(K29, RedFlagHooks!J67:P111, 4, FALSE), "")</f>
        <v/>
      </c>
      <c r="O29" s="195"/>
      <c r="P29" s="193" t="str">
        <f>IFERROR(VLOOKUP(O29, RedFlagHooks!J115:P143, 3, FALSE), "")</f>
        <v/>
      </c>
      <c r="Q29" s="193" t="str">
        <f>IFERROR(VLOOKUP(O29, RedFlagHooks!J115:P143, 2, FALSE), "")</f>
        <v/>
      </c>
      <c r="R29" s="193" t="str">
        <f>IFERROR(VLOOKUP(O29, RedFlagHooks!J115:P143, 6, FALSE), "")</f>
        <v/>
      </c>
      <c r="S29" s="194" t="str">
        <f>IFERROR(VLOOKUP(O29, RedFlagHooks!J115:P143, 7, FALSE), "")</f>
        <v/>
      </c>
    </row>
    <row r="30" hidden="1">
      <c r="A30" s="180"/>
      <c r="B30" s="181" t="str">
        <f>IFERROR(VLOOKUP(A30, RedFlagHooks!J28:P64, 2, FALSE), "")</f>
        <v/>
      </c>
      <c r="C30" s="181" t="str">
        <f>IFERROR(VLOOKUP(A30, RedFlagHooks!J28:P64, 3, FALSE), "")</f>
        <v/>
      </c>
      <c r="D30" s="182" t="str">
        <f>IFERROR(VLOOKUP(A30, RedFlagHooks!J28:P64, 7, FALSE), "")</f>
        <v/>
      </c>
      <c r="E30" s="183" t="str">
        <f>IFERROR(VLOOKUP(A30, RedFlagHooks!J28:P64, 4, FALSE), "")</f>
        <v/>
      </c>
      <c r="F30" s="184"/>
      <c r="G30" s="185" t="str">
        <f>IFERROR(VLOOKUP(F30, RedFlagHooks!B28:H64, 2, FALSE), "")</f>
        <v/>
      </c>
      <c r="H30" s="186" t="str">
        <f>IFERROR(VLOOKUP(F30, RedFlagHooks!B28:H64, 3, FALSE), "")</f>
        <v/>
      </c>
      <c r="I30" s="186" t="str">
        <f>IFERROR(VLOOKUP(F30, RedFlagHooks!B28:H64, 7, FALSE), "")</f>
        <v/>
      </c>
      <c r="J30" s="187" t="str">
        <f>IFERROR(VLOOKUP(F30, RedFlagHooks!B28:H64, 4, FALSE), "")</f>
        <v/>
      </c>
      <c r="K30" s="188"/>
      <c r="L30" s="189" t="str">
        <f>IFERROR(VLOOKUP(K30, RedFlagHooks!J68:P112, 2, FALSE), "")</f>
        <v/>
      </c>
      <c r="M30" s="190" t="str">
        <f>IFERROR(VLOOKUP(K30, RedFlagHooks!J68:P112, 3, FALSE), "")</f>
        <v/>
      </c>
      <c r="N30" s="191" t="str">
        <f>IFERROR(VLOOKUP(K30, RedFlagHooks!J68:P112, 4, FALSE), "")</f>
        <v/>
      </c>
      <c r="O30" s="195"/>
      <c r="P30" s="193" t="str">
        <f>IFERROR(VLOOKUP(O30, RedFlagHooks!J116:P144, 3, FALSE), "")</f>
        <v/>
      </c>
      <c r="Q30" s="193" t="str">
        <f>IFERROR(VLOOKUP(O30, RedFlagHooks!J116:P144, 2, FALSE), "")</f>
        <v/>
      </c>
      <c r="R30" s="193" t="str">
        <f>IFERROR(VLOOKUP(O30, RedFlagHooks!J116:P144, 6, FALSE), "")</f>
        <v/>
      </c>
      <c r="S30" s="194" t="str">
        <f>IFERROR(VLOOKUP(O30, RedFlagHooks!J116:P144, 7, FALSE), "")</f>
        <v/>
      </c>
    </row>
    <row r="31" hidden="1">
      <c r="A31" s="180"/>
      <c r="B31" s="181" t="str">
        <f>IFERROR(VLOOKUP(A31, RedFlagHooks!J29:P65, 2, FALSE), "")</f>
        <v/>
      </c>
      <c r="C31" s="181" t="str">
        <f>IFERROR(VLOOKUP(A31, RedFlagHooks!J29:P65, 3, FALSE), "")</f>
        <v/>
      </c>
      <c r="D31" s="182" t="str">
        <f>IFERROR(VLOOKUP(A31, RedFlagHooks!J29:P65, 7, FALSE), "")</f>
        <v/>
      </c>
      <c r="E31" s="183" t="str">
        <f>IFERROR(VLOOKUP(A31, RedFlagHooks!J29:P65, 4, FALSE), "")</f>
        <v/>
      </c>
      <c r="F31" s="184"/>
      <c r="G31" s="185" t="str">
        <f>IFERROR(VLOOKUP(F31, RedFlagHooks!B29:H65, 2, FALSE), "")</f>
        <v/>
      </c>
      <c r="H31" s="186" t="str">
        <f>IFERROR(VLOOKUP(F31, RedFlagHooks!B29:H65, 3, FALSE), "")</f>
        <v/>
      </c>
      <c r="I31" s="186" t="str">
        <f>IFERROR(VLOOKUP(F31, RedFlagHooks!B29:H65, 7, FALSE), "")</f>
        <v/>
      </c>
      <c r="J31" s="187" t="str">
        <f>IFERROR(VLOOKUP(F31, RedFlagHooks!B29:H65, 4, FALSE), "")</f>
        <v/>
      </c>
      <c r="K31" s="188"/>
      <c r="L31" s="189" t="str">
        <f>IFERROR(VLOOKUP(K31, RedFlagHooks!J69:P113, 2, FALSE), "")</f>
        <v/>
      </c>
      <c r="M31" s="190" t="str">
        <f>IFERROR(VLOOKUP(K31, RedFlagHooks!J69:P113, 3, FALSE), "")</f>
        <v/>
      </c>
      <c r="N31" s="191" t="str">
        <f>IFERROR(VLOOKUP(K31, RedFlagHooks!J69:P113, 4, FALSE), "")</f>
        <v/>
      </c>
      <c r="O31" s="195"/>
      <c r="P31" s="193" t="str">
        <f>IFERROR(VLOOKUP(O31, RedFlagHooks!J117:P145, 3, FALSE), "")</f>
        <v/>
      </c>
      <c r="Q31" s="193" t="str">
        <f>IFERROR(VLOOKUP(O31, RedFlagHooks!J117:P145, 2, FALSE), "")</f>
        <v/>
      </c>
      <c r="R31" s="193" t="str">
        <f>IFERROR(VLOOKUP(O31, RedFlagHooks!J117:P145, 6, FALSE), "")</f>
        <v/>
      </c>
      <c r="S31" s="194" t="str">
        <f>IFERROR(VLOOKUP(O31, RedFlagHooks!J117:P145, 7, FALSE), "")</f>
        <v/>
      </c>
    </row>
    <row r="32" hidden="1">
      <c r="A32" s="180"/>
      <c r="B32" s="181" t="str">
        <f>IFERROR(VLOOKUP(A32, RedFlagHooks!J30:P66, 2, FALSE), "")</f>
        <v/>
      </c>
      <c r="C32" s="181" t="str">
        <f>IFERROR(VLOOKUP(A32, RedFlagHooks!J30:P66, 3, FALSE), "")</f>
        <v/>
      </c>
      <c r="D32" s="182" t="str">
        <f>IFERROR(VLOOKUP(A32, RedFlagHooks!J30:P66, 7, FALSE), "")</f>
        <v/>
      </c>
      <c r="E32" s="183" t="str">
        <f>IFERROR(VLOOKUP(A32, RedFlagHooks!J30:P66, 4, FALSE), "")</f>
        <v/>
      </c>
      <c r="F32" s="184"/>
      <c r="G32" s="185" t="str">
        <f>IFERROR(VLOOKUP(F32, RedFlagHooks!B30:H66, 2, FALSE), "")</f>
        <v/>
      </c>
      <c r="H32" s="186" t="str">
        <f>IFERROR(VLOOKUP(F32, RedFlagHooks!B30:H66, 3, FALSE), "")</f>
        <v/>
      </c>
      <c r="I32" s="186" t="str">
        <f>IFERROR(VLOOKUP(F32, RedFlagHooks!B30:H66, 7, FALSE), "")</f>
        <v/>
      </c>
      <c r="J32" s="187" t="str">
        <f>IFERROR(VLOOKUP(F32, RedFlagHooks!B30:H66, 4, FALSE), "")</f>
        <v/>
      </c>
      <c r="K32" s="188"/>
      <c r="L32" s="189" t="str">
        <f>IFERROR(VLOOKUP(K32, RedFlagHooks!J70:P114, 2, FALSE), "")</f>
        <v/>
      </c>
      <c r="M32" s="190" t="str">
        <f>IFERROR(VLOOKUP(K32, RedFlagHooks!J70:P114, 3, FALSE), "")</f>
        <v/>
      </c>
      <c r="N32" s="191" t="str">
        <f>IFERROR(VLOOKUP(K32, RedFlagHooks!J70:P114, 4, FALSE), "")</f>
        <v/>
      </c>
      <c r="O32" s="195"/>
      <c r="P32" s="193" t="str">
        <f>IFERROR(VLOOKUP(O32, RedFlagHooks!J118:P146, 3, FALSE), "")</f>
        <v/>
      </c>
      <c r="Q32" s="193" t="str">
        <f>IFERROR(VLOOKUP(O32, RedFlagHooks!J118:P146, 2, FALSE), "")</f>
        <v/>
      </c>
      <c r="R32" s="193" t="str">
        <f>IFERROR(VLOOKUP(O32, RedFlagHooks!J118:P146, 6, FALSE), "")</f>
        <v/>
      </c>
      <c r="S32" s="194" t="str">
        <f>IFERROR(VLOOKUP(O32, RedFlagHooks!J118:P146, 7, FALSE), "")</f>
        <v/>
      </c>
    </row>
    <row r="33" hidden="1">
      <c r="A33" s="180"/>
      <c r="B33" s="181" t="str">
        <f>IFERROR(VLOOKUP(A33, RedFlagHooks!J31:P67, 2, FALSE), "")</f>
        <v/>
      </c>
      <c r="C33" s="181" t="str">
        <f>IFERROR(VLOOKUP(A33, RedFlagHooks!J31:P67, 3, FALSE), "")</f>
        <v/>
      </c>
      <c r="D33" s="182" t="str">
        <f>IFERROR(VLOOKUP(A33, RedFlagHooks!J31:P67, 7, FALSE), "")</f>
        <v/>
      </c>
      <c r="E33" s="183" t="str">
        <f>IFERROR(VLOOKUP(A33, RedFlagHooks!J31:P67, 4, FALSE), "")</f>
        <v/>
      </c>
      <c r="F33" s="184"/>
      <c r="G33" s="185" t="str">
        <f>IFERROR(VLOOKUP(F33, RedFlagHooks!B31:H67, 2, FALSE), "")</f>
        <v/>
      </c>
      <c r="H33" s="186" t="str">
        <f>IFERROR(VLOOKUP(F33, RedFlagHooks!B31:H67, 3, FALSE), "")</f>
        <v/>
      </c>
      <c r="I33" s="186" t="str">
        <f>IFERROR(VLOOKUP(F33, RedFlagHooks!B31:H67, 7, FALSE), "")</f>
        <v/>
      </c>
      <c r="J33" s="187" t="str">
        <f>IFERROR(VLOOKUP(F33, RedFlagHooks!B31:H67, 4, FALSE), "")</f>
        <v/>
      </c>
      <c r="K33" s="188"/>
      <c r="L33" s="189" t="str">
        <f>IFERROR(VLOOKUP(K33, RedFlagHooks!J71:P115, 2, FALSE), "")</f>
        <v/>
      </c>
      <c r="M33" s="190" t="str">
        <f>IFERROR(VLOOKUP(K33, RedFlagHooks!J71:P115, 3, FALSE), "")</f>
        <v/>
      </c>
      <c r="N33" s="191" t="str">
        <f>IFERROR(VLOOKUP(K33, RedFlagHooks!J71:P115, 4, FALSE), "")</f>
        <v/>
      </c>
      <c r="O33" s="195"/>
      <c r="P33" s="193" t="str">
        <f>IFERROR(VLOOKUP(O33, RedFlagHooks!J119:P147, 3, FALSE), "")</f>
        <v/>
      </c>
      <c r="Q33" s="193" t="str">
        <f>IFERROR(VLOOKUP(O33, RedFlagHooks!J119:P147, 2, FALSE), "")</f>
        <v/>
      </c>
      <c r="R33" s="193" t="str">
        <f>IFERROR(VLOOKUP(O33, RedFlagHooks!J119:P147, 6, FALSE), "")</f>
        <v/>
      </c>
      <c r="S33" s="194" t="str">
        <f>IFERROR(VLOOKUP(O33, RedFlagHooks!J119:P147, 7, FALSE), "")</f>
        <v/>
      </c>
    </row>
    <row r="34" hidden="1">
      <c r="A34" s="180"/>
      <c r="B34" s="181" t="str">
        <f>IFERROR(VLOOKUP(A34, RedFlagHooks!J32:P68, 2, FALSE), "")</f>
        <v/>
      </c>
      <c r="C34" s="181" t="str">
        <f>IFERROR(VLOOKUP(A34, RedFlagHooks!J32:P68, 3, FALSE), "")</f>
        <v/>
      </c>
      <c r="D34" s="182" t="str">
        <f>IFERROR(VLOOKUP(A34, RedFlagHooks!J32:P68, 7, FALSE), "")</f>
        <v/>
      </c>
      <c r="E34" s="183" t="str">
        <f>IFERROR(VLOOKUP(A34, RedFlagHooks!J32:P68, 4, FALSE), "")</f>
        <v/>
      </c>
      <c r="F34" s="184"/>
      <c r="G34" s="185" t="str">
        <f>IFERROR(VLOOKUP(F34, RedFlagHooks!B32:H68, 2, FALSE), "")</f>
        <v/>
      </c>
      <c r="H34" s="186" t="str">
        <f>IFERROR(VLOOKUP(F34, RedFlagHooks!B32:H68, 3, FALSE), "")</f>
        <v/>
      </c>
      <c r="I34" s="186" t="str">
        <f>IFERROR(VLOOKUP(F34, RedFlagHooks!B32:H68, 7, FALSE), "")</f>
        <v/>
      </c>
      <c r="J34" s="187" t="str">
        <f>IFERROR(VLOOKUP(F34, RedFlagHooks!B32:H68, 4, FALSE), "")</f>
        <v/>
      </c>
      <c r="K34" s="188"/>
      <c r="L34" s="189" t="str">
        <f>IFERROR(VLOOKUP(K34, RedFlagHooks!J72:P116, 2, FALSE), "")</f>
        <v/>
      </c>
      <c r="M34" s="190" t="str">
        <f>IFERROR(VLOOKUP(K34, RedFlagHooks!J72:P116, 3, FALSE), "")</f>
        <v/>
      </c>
      <c r="N34" s="191" t="str">
        <f>IFERROR(VLOOKUP(K34, RedFlagHooks!J72:P116, 4, FALSE), "")</f>
        <v/>
      </c>
      <c r="O34" s="195"/>
      <c r="P34" s="193" t="str">
        <f>IFERROR(VLOOKUP(O34, RedFlagHooks!J120:P148, 3, FALSE), "")</f>
        <v/>
      </c>
      <c r="Q34" s="193" t="str">
        <f>IFERROR(VLOOKUP(O34, RedFlagHooks!J120:P148, 2, FALSE), "")</f>
        <v/>
      </c>
      <c r="R34" s="193" t="str">
        <f>IFERROR(VLOOKUP(O34, RedFlagHooks!J120:P148, 6, FALSE), "")</f>
        <v/>
      </c>
      <c r="S34" s="194" t="str">
        <f>IFERROR(VLOOKUP(O34, RedFlagHooks!J120:P148, 7, FALSE), "")</f>
        <v/>
      </c>
    </row>
    <row r="35" hidden="1">
      <c r="A35" s="180"/>
      <c r="B35" s="181" t="str">
        <f>IFERROR(VLOOKUP(A35, RedFlagHooks!J33:P69, 2, FALSE), "")</f>
        <v/>
      </c>
      <c r="C35" s="181" t="str">
        <f>IFERROR(VLOOKUP(A35, RedFlagHooks!J33:P69, 3, FALSE), "")</f>
        <v/>
      </c>
      <c r="D35" s="182" t="str">
        <f>IFERROR(VLOOKUP(A35, RedFlagHooks!J33:P69, 7, FALSE), "")</f>
        <v/>
      </c>
      <c r="E35" s="183" t="str">
        <f>IFERROR(VLOOKUP(A35, RedFlagHooks!J33:P69, 4, FALSE), "")</f>
        <v/>
      </c>
      <c r="F35" s="184"/>
      <c r="G35" s="185" t="str">
        <f>IFERROR(VLOOKUP(F35, RedFlagHooks!B33:H69, 2, FALSE), "")</f>
        <v/>
      </c>
      <c r="H35" s="186" t="str">
        <f>IFERROR(VLOOKUP(F35, RedFlagHooks!B33:H69, 3, FALSE), "")</f>
        <v/>
      </c>
      <c r="I35" s="186" t="str">
        <f>IFERROR(VLOOKUP(F35, RedFlagHooks!B33:H69, 7, FALSE), "")</f>
        <v/>
      </c>
      <c r="J35" s="187" t="str">
        <f>IFERROR(VLOOKUP(F35, RedFlagHooks!B33:H69, 4, FALSE), "")</f>
        <v/>
      </c>
      <c r="K35" s="188"/>
      <c r="L35" s="189" t="str">
        <f>IFERROR(VLOOKUP(K35, RedFlagHooks!J73:P117, 2, FALSE), "")</f>
        <v/>
      </c>
      <c r="M35" s="190" t="str">
        <f>IFERROR(VLOOKUP(K35, RedFlagHooks!J73:P117, 3, FALSE), "")</f>
        <v/>
      </c>
      <c r="N35" s="191" t="str">
        <f>IFERROR(VLOOKUP(K35, RedFlagHooks!J73:P117, 4, FALSE), "")</f>
        <v/>
      </c>
      <c r="O35" s="195"/>
      <c r="P35" s="193" t="str">
        <f>IFERROR(VLOOKUP(O35, RedFlagHooks!J121:P149, 3, FALSE), "")</f>
        <v/>
      </c>
      <c r="Q35" s="193" t="str">
        <f>IFERROR(VLOOKUP(O35, RedFlagHooks!J121:P149, 2, FALSE), "")</f>
        <v/>
      </c>
      <c r="R35" s="193" t="str">
        <f>IFERROR(VLOOKUP(O35, RedFlagHooks!J121:P149, 6, FALSE), "")</f>
        <v/>
      </c>
      <c r="S35" s="194" t="str">
        <f>IFERROR(VLOOKUP(O35, RedFlagHooks!J121:P149, 7, FALSE), "")</f>
        <v/>
      </c>
    </row>
    <row r="36" hidden="1">
      <c r="A36" s="180"/>
      <c r="B36" s="181" t="str">
        <f>IFERROR(VLOOKUP(A36, RedFlagHooks!J34:P70, 2, FALSE), "")</f>
        <v/>
      </c>
      <c r="C36" s="181" t="str">
        <f>IFERROR(VLOOKUP(A36, RedFlagHooks!J34:P70, 3, FALSE), "")</f>
        <v/>
      </c>
      <c r="D36" s="182" t="str">
        <f>IFERROR(VLOOKUP(A36, RedFlagHooks!J34:P70, 7, FALSE), "")</f>
        <v/>
      </c>
      <c r="E36" s="183" t="str">
        <f>IFERROR(VLOOKUP(A36, RedFlagHooks!J34:P70, 4, FALSE), "")</f>
        <v/>
      </c>
      <c r="F36" s="184"/>
      <c r="G36" s="185" t="str">
        <f>IFERROR(VLOOKUP(F36, RedFlagHooks!B34:H70, 2, FALSE), "")</f>
        <v/>
      </c>
      <c r="H36" s="186" t="str">
        <f>IFERROR(VLOOKUP(F36, RedFlagHooks!B34:H70, 3, FALSE), "")</f>
        <v/>
      </c>
      <c r="I36" s="186" t="str">
        <f>IFERROR(VLOOKUP(F36, RedFlagHooks!B34:H70, 7, FALSE), "")</f>
        <v/>
      </c>
      <c r="J36" s="187" t="str">
        <f>IFERROR(VLOOKUP(F36, RedFlagHooks!B34:H70, 4, FALSE), "")</f>
        <v/>
      </c>
      <c r="K36" s="188"/>
      <c r="L36" s="189" t="str">
        <f>IFERROR(VLOOKUP(K36, RedFlagHooks!J74:P118, 2, FALSE), "")</f>
        <v/>
      </c>
      <c r="M36" s="190" t="str">
        <f>IFERROR(VLOOKUP(K36, RedFlagHooks!J74:P118, 3, FALSE), "")</f>
        <v/>
      </c>
      <c r="N36" s="191" t="str">
        <f>IFERROR(VLOOKUP(K36, RedFlagHooks!J74:P118, 4, FALSE), "")</f>
        <v/>
      </c>
      <c r="O36" s="195"/>
      <c r="P36" s="193" t="str">
        <f>IFERROR(VLOOKUP(O36, RedFlagHooks!J122:P150, 3, FALSE), "")</f>
        <v/>
      </c>
      <c r="Q36" s="193" t="str">
        <f>IFERROR(VLOOKUP(O36, RedFlagHooks!J122:P150, 2, FALSE), "")</f>
        <v/>
      </c>
      <c r="R36" s="193" t="str">
        <f>IFERROR(VLOOKUP(O36, RedFlagHooks!J122:P150, 6, FALSE), "")</f>
        <v/>
      </c>
      <c r="S36" s="194" t="str">
        <f>IFERROR(VLOOKUP(O36, RedFlagHooks!J122:P150, 7, FALSE), "")</f>
        <v/>
      </c>
    </row>
    <row r="37" hidden="1">
      <c r="A37" s="180"/>
      <c r="B37" s="181" t="str">
        <f>IFERROR(VLOOKUP(A37, RedFlagHooks!J35:P71, 2, FALSE), "")</f>
        <v/>
      </c>
      <c r="C37" s="181" t="str">
        <f>IFERROR(VLOOKUP(A37, RedFlagHooks!J35:P71, 3, FALSE), "")</f>
        <v/>
      </c>
      <c r="D37" s="182" t="str">
        <f>IFERROR(VLOOKUP(A37, RedFlagHooks!J35:P71, 7, FALSE), "")</f>
        <v/>
      </c>
      <c r="E37" s="183" t="str">
        <f>IFERROR(VLOOKUP(A37, RedFlagHooks!J35:P71, 4, FALSE), "")</f>
        <v/>
      </c>
      <c r="F37" s="184"/>
      <c r="G37" s="185" t="str">
        <f>IFERROR(VLOOKUP(F37, RedFlagHooks!B35:H71, 2, FALSE), "")</f>
        <v/>
      </c>
      <c r="H37" s="186" t="str">
        <f>IFERROR(VLOOKUP(F37, RedFlagHooks!B35:H71, 3, FALSE), "")</f>
        <v/>
      </c>
      <c r="I37" s="186" t="str">
        <f>IFERROR(VLOOKUP(F37, RedFlagHooks!B35:H71, 7, FALSE), "")</f>
        <v/>
      </c>
      <c r="J37" s="187" t="str">
        <f>IFERROR(VLOOKUP(F37, RedFlagHooks!B35:H71, 4, FALSE), "")</f>
        <v/>
      </c>
      <c r="K37" s="188"/>
      <c r="L37" s="189" t="str">
        <f>IFERROR(VLOOKUP(K37, RedFlagHooks!J75:P119, 2, FALSE), "")</f>
        <v/>
      </c>
      <c r="M37" s="190" t="str">
        <f>IFERROR(VLOOKUP(K37, RedFlagHooks!J75:P119, 3, FALSE), "")</f>
        <v/>
      </c>
      <c r="N37" s="191" t="str">
        <f>IFERROR(VLOOKUP(K37, RedFlagHooks!J75:P119, 4, FALSE), "")</f>
        <v/>
      </c>
      <c r="O37" s="195"/>
      <c r="P37" s="193" t="str">
        <f>IFERROR(VLOOKUP(O37, RedFlagHooks!J123:P151, 3, FALSE), "")</f>
        <v/>
      </c>
      <c r="Q37" s="193" t="str">
        <f>IFERROR(VLOOKUP(O37, RedFlagHooks!J123:P151, 2, FALSE), "")</f>
        <v/>
      </c>
      <c r="R37" s="193" t="str">
        <f>IFERROR(VLOOKUP(O37, RedFlagHooks!J123:P151, 6, FALSE), "")</f>
        <v/>
      </c>
      <c r="S37" s="194" t="str">
        <f>IFERROR(VLOOKUP(O37, RedFlagHooks!J123:P151, 7, FALSE), "")</f>
        <v/>
      </c>
    </row>
    <row r="38" hidden="1">
      <c r="A38" s="180"/>
      <c r="B38" s="181" t="str">
        <f>IFERROR(VLOOKUP(A38, RedFlagHooks!J36:P72, 2, FALSE), "")</f>
        <v/>
      </c>
      <c r="C38" s="181" t="str">
        <f>IFERROR(VLOOKUP(A38, RedFlagHooks!J36:P72, 3, FALSE), "")</f>
        <v/>
      </c>
      <c r="D38" s="182" t="str">
        <f>IFERROR(VLOOKUP(A38, RedFlagHooks!J36:P72, 7, FALSE), "")</f>
        <v/>
      </c>
      <c r="E38" s="183" t="str">
        <f>IFERROR(VLOOKUP(A38, RedFlagHooks!J36:P72, 4, FALSE), "")</f>
        <v/>
      </c>
      <c r="F38" s="184"/>
      <c r="G38" s="185" t="str">
        <f>IFERROR(VLOOKUP(F38, RedFlagHooks!B36:H72, 2, FALSE), "")</f>
        <v/>
      </c>
      <c r="H38" s="186" t="str">
        <f>IFERROR(VLOOKUP(F38, RedFlagHooks!B36:H72, 3, FALSE), "")</f>
        <v/>
      </c>
      <c r="I38" s="186" t="str">
        <f>IFERROR(VLOOKUP(F38, RedFlagHooks!B36:H72, 7, FALSE), "")</f>
        <v/>
      </c>
      <c r="J38" s="187" t="str">
        <f>IFERROR(VLOOKUP(F38, RedFlagHooks!B36:H72, 4, FALSE), "")</f>
        <v/>
      </c>
      <c r="K38" s="188"/>
      <c r="L38" s="189" t="str">
        <f>IFERROR(VLOOKUP(K38, RedFlagHooks!J76:P120, 2, FALSE), "")</f>
        <v/>
      </c>
      <c r="M38" s="190" t="str">
        <f>IFERROR(VLOOKUP(K38, RedFlagHooks!J76:P120, 3, FALSE), "")</f>
        <v/>
      </c>
      <c r="N38" s="191" t="str">
        <f>IFERROR(VLOOKUP(K38, RedFlagHooks!J76:P120, 4, FALSE), "")</f>
        <v/>
      </c>
      <c r="O38" s="195"/>
      <c r="P38" s="193" t="str">
        <f>IFERROR(VLOOKUP(O38, RedFlagHooks!J124:P152, 3, FALSE), "")</f>
        <v/>
      </c>
      <c r="Q38" s="193" t="str">
        <f>IFERROR(VLOOKUP(O38, RedFlagHooks!J124:P152, 2, FALSE), "")</f>
        <v/>
      </c>
      <c r="R38" s="193" t="str">
        <f>IFERROR(VLOOKUP(O38, RedFlagHooks!J124:P152, 6, FALSE), "")</f>
        <v/>
      </c>
      <c r="S38" s="194" t="str">
        <f>IFERROR(VLOOKUP(O38, RedFlagHooks!J124:P152, 7, FALSE), "")</f>
        <v/>
      </c>
    </row>
    <row r="39" hidden="1">
      <c r="A39" s="180"/>
      <c r="B39" s="181" t="str">
        <f>IFERROR(VLOOKUP(A39, RedFlagHooks!J37:P73, 2, FALSE), "")</f>
        <v/>
      </c>
      <c r="C39" s="181" t="str">
        <f>IFERROR(VLOOKUP(A39, RedFlagHooks!J37:P73, 3, FALSE), "")</f>
        <v/>
      </c>
      <c r="D39" s="182" t="str">
        <f>IFERROR(VLOOKUP(A39, RedFlagHooks!J37:P73, 7, FALSE), "")</f>
        <v/>
      </c>
      <c r="E39" s="183" t="str">
        <f>IFERROR(VLOOKUP(A39, RedFlagHooks!J37:P73, 4, FALSE), "")</f>
        <v/>
      </c>
      <c r="F39" s="184"/>
      <c r="G39" s="185" t="str">
        <f>IFERROR(VLOOKUP(F39, RedFlagHooks!B37:H73, 2, FALSE), "")</f>
        <v/>
      </c>
      <c r="H39" s="186" t="str">
        <f>IFERROR(VLOOKUP(F39, RedFlagHooks!B37:H73, 3, FALSE), "")</f>
        <v/>
      </c>
      <c r="I39" s="186" t="str">
        <f>IFERROR(VLOOKUP(F39, RedFlagHooks!B37:H73, 7, FALSE), "")</f>
        <v/>
      </c>
      <c r="J39" s="187" t="str">
        <f>IFERROR(VLOOKUP(F39, RedFlagHooks!B37:H73, 4, FALSE), "")</f>
        <v/>
      </c>
      <c r="K39" s="188"/>
      <c r="L39" s="189" t="str">
        <f>IFERROR(VLOOKUP(K39, RedFlagHooks!J77:P121, 2, FALSE), "")</f>
        <v/>
      </c>
      <c r="M39" s="190" t="str">
        <f>IFERROR(VLOOKUP(K39, RedFlagHooks!J77:P121, 3, FALSE), "")</f>
        <v/>
      </c>
      <c r="N39" s="191" t="str">
        <f>IFERROR(VLOOKUP(K39, RedFlagHooks!J77:P121, 4, FALSE), "")</f>
        <v/>
      </c>
      <c r="O39" s="195"/>
      <c r="P39" s="193" t="str">
        <f>IFERROR(VLOOKUP(O39, RedFlagHooks!J125:P153, 3, FALSE), "")</f>
        <v/>
      </c>
      <c r="Q39" s="193" t="str">
        <f>IFERROR(VLOOKUP(O39, RedFlagHooks!J125:P153, 2, FALSE), "")</f>
        <v/>
      </c>
      <c r="R39" s="193" t="str">
        <f>IFERROR(VLOOKUP(O39, RedFlagHooks!J125:P153, 6, FALSE), "")</f>
        <v/>
      </c>
      <c r="S39" s="194" t="str">
        <f>IFERROR(VLOOKUP(O39, RedFlagHooks!J125:P153, 7, FALSE), "")</f>
        <v/>
      </c>
    </row>
    <row r="40" hidden="1">
      <c r="A40" s="180"/>
      <c r="B40" s="181" t="str">
        <f>IFERROR(VLOOKUP(A40, RedFlagHooks!J38:P74, 2, FALSE), "")</f>
        <v/>
      </c>
      <c r="C40" s="181" t="str">
        <f>IFERROR(VLOOKUP(A40, RedFlagHooks!J38:P74, 3, FALSE), "")</f>
        <v/>
      </c>
      <c r="D40" s="182" t="str">
        <f>IFERROR(VLOOKUP(A40, RedFlagHooks!J38:P74, 7, FALSE), "")</f>
        <v/>
      </c>
      <c r="E40" s="183" t="str">
        <f>IFERROR(VLOOKUP(A40, RedFlagHooks!J38:P74, 4, FALSE), "")</f>
        <v/>
      </c>
      <c r="F40" s="184"/>
      <c r="G40" s="185" t="str">
        <f>IFERROR(VLOOKUP(F40, RedFlagHooks!B38:H74, 2, FALSE), "")</f>
        <v/>
      </c>
      <c r="H40" s="186" t="str">
        <f>IFERROR(VLOOKUP(F40, RedFlagHooks!B38:H74, 3, FALSE), "")</f>
        <v/>
      </c>
      <c r="I40" s="186" t="str">
        <f>IFERROR(VLOOKUP(F40, RedFlagHooks!B38:H74, 7, FALSE), "")</f>
        <v/>
      </c>
      <c r="J40" s="187" t="str">
        <f>IFERROR(VLOOKUP(F40, RedFlagHooks!B38:H74, 4, FALSE), "")</f>
        <v/>
      </c>
      <c r="K40" s="188"/>
      <c r="L40" s="189" t="str">
        <f>IFERROR(VLOOKUP(K40, RedFlagHooks!J78:P122, 2, FALSE), "")</f>
        <v/>
      </c>
      <c r="M40" s="190" t="str">
        <f>IFERROR(VLOOKUP(K40, RedFlagHooks!J78:P122, 3, FALSE), "")</f>
        <v/>
      </c>
      <c r="N40" s="191" t="str">
        <f>IFERROR(VLOOKUP(K40, RedFlagHooks!J78:P122, 4, FALSE), "")</f>
        <v/>
      </c>
      <c r="O40" s="195"/>
      <c r="P40" s="193" t="str">
        <f>IFERROR(VLOOKUP(O40, RedFlagHooks!J126:P154, 3, FALSE), "")</f>
        <v/>
      </c>
      <c r="Q40" s="193" t="str">
        <f>IFERROR(VLOOKUP(O40, RedFlagHooks!J126:P154, 2, FALSE), "")</f>
        <v/>
      </c>
      <c r="R40" s="193" t="str">
        <f>IFERROR(VLOOKUP(O40, RedFlagHooks!J126:P154, 6, FALSE), "")</f>
        <v/>
      </c>
      <c r="S40" s="194" t="str">
        <f>IFERROR(VLOOKUP(O40, RedFlagHooks!J126:P154, 7, FALSE), "")</f>
        <v/>
      </c>
    </row>
    <row r="41" hidden="1">
      <c r="A41" s="180"/>
      <c r="B41" s="181" t="str">
        <f>IFERROR(VLOOKUP(A41, RedFlagHooks!J39:P75, 2, FALSE), "")</f>
        <v/>
      </c>
      <c r="C41" s="181" t="str">
        <f>IFERROR(VLOOKUP(A41, RedFlagHooks!J39:P75, 3, FALSE), "")</f>
        <v/>
      </c>
      <c r="D41" s="182" t="str">
        <f>IFERROR(VLOOKUP(A41, RedFlagHooks!J39:P75, 7, FALSE), "")</f>
        <v/>
      </c>
      <c r="E41" s="183" t="str">
        <f>IFERROR(VLOOKUP(A41, RedFlagHooks!J39:P75, 4, FALSE), "")</f>
        <v/>
      </c>
      <c r="F41" s="184"/>
      <c r="G41" s="185" t="str">
        <f>IFERROR(VLOOKUP(F41, RedFlagHooks!B39:H75, 2, FALSE), "")</f>
        <v/>
      </c>
      <c r="H41" s="186" t="str">
        <f>IFERROR(VLOOKUP(F41, RedFlagHooks!B39:H75, 3, FALSE), "")</f>
        <v/>
      </c>
      <c r="I41" s="186" t="str">
        <f>IFERROR(VLOOKUP(F41, RedFlagHooks!B39:H75, 7, FALSE), "")</f>
        <v/>
      </c>
      <c r="J41" s="187" t="str">
        <f>IFERROR(VLOOKUP(F41, RedFlagHooks!B39:H75, 4, FALSE), "")</f>
        <v/>
      </c>
      <c r="K41" s="188"/>
      <c r="L41" s="189" t="str">
        <f>IFERROR(VLOOKUP(K41, RedFlagHooks!J79:P123, 2, FALSE), "")</f>
        <v/>
      </c>
      <c r="M41" s="190" t="str">
        <f>IFERROR(VLOOKUP(K41, RedFlagHooks!J79:P123, 3, FALSE), "")</f>
        <v/>
      </c>
      <c r="N41" s="191" t="str">
        <f>IFERROR(VLOOKUP(K41, RedFlagHooks!J79:P123, 4, FALSE), "")</f>
        <v/>
      </c>
      <c r="O41" s="195"/>
      <c r="P41" s="193" t="str">
        <f>IFERROR(VLOOKUP(O41, RedFlagHooks!J127:P155, 3, FALSE), "")</f>
        <v/>
      </c>
      <c r="Q41" s="193" t="str">
        <f>IFERROR(VLOOKUP(O41, RedFlagHooks!J127:P155, 2, FALSE), "")</f>
        <v/>
      </c>
      <c r="R41" s="193" t="str">
        <f>IFERROR(VLOOKUP(O41, RedFlagHooks!J127:P155, 6, FALSE), "")</f>
        <v/>
      </c>
      <c r="S41" s="194" t="str">
        <f>IFERROR(VLOOKUP(O41, RedFlagHooks!J127:P155, 7, FALSE), "")</f>
        <v/>
      </c>
    </row>
    <row r="42" hidden="1">
      <c r="A42" s="180"/>
      <c r="B42" s="181" t="str">
        <f>IFERROR(VLOOKUP(A42, RedFlagHooks!J40:P76, 2, FALSE), "")</f>
        <v/>
      </c>
      <c r="C42" s="181" t="str">
        <f>IFERROR(VLOOKUP(A42, RedFlagHooks!J40:P76, 3, FALSE), "")</f>
        <v/>
      </c>
      <c r="D42" s="182" t="str">
        <f>IFERROR(VLOOKUP(A42, RedFlagHooks!J40:P76, 7, FALSE), "")</f>
        <v/>
      </c>
      <c r="E42" s="183" t="str">
        <f>IFERROR(VLOOKUP(A42, RedFlagHooks!J40:P76, 4, FALSE), "")</f>
        <v/>
      </c>
      <c r="F42" s="184"/>
      <c r="G42" s="185" t="str">
        <f>IFERROR(VLOOKUP(F42, RedFlagHooks!B40:H76, 2, FALSE), "")</f>
        <v/>
      </c>
      <c r="H42" s="186" t="str">
        <f>IFERROR(VLOOKUP(F42, RedFlagHooks!B40:H76, 3, FALSE), "")</f>
        <v/>
      </c>
      <c r="I42" s="186" t="str">
        <f>IFERROR(VLOOKUP(F42, RedFlagHooks!B40:H76, 7, FALSE), "")</f>
        <v/>
      </c>
      <c r="J42" s="187" t="str">
        <f>IFERROR(VLOOKUP(F42, RedFlagHooks!B40:H76, 4, FALSE), "")</f>
        <v/>
      </c>
      <c r="K42" s="188"/>
      <c r="L42" s="189" t="str">
        <f>IFERROR(VLOOKUP(K42, RedFlagHooks!J80:P124, 2, FALSE), "")</f>
        <v/>
      </c>
      <c r="M42" s="190" t="str">
        <f>IFERROR(VLOOKUP(K42, RedFlagHooks!J80:P124, 3, FALSE), "")</f>
        <v/>
      </c>
      <c r="N42" s="191" t="str">
        <f>IFERROR(VLOOKUP(K42, RedFlagHooks!J80:P124, 4, FALSE), "")</f>
        <v/>
      </c>
      <c r="O42" s="195"/>
      <c r="P42" s="193" t="str">
        <f>IFERROR(VLOOKUP(O42, RedFlagHooks!J128:P156, 3, FALSE), "")</f>
        <v/>
      </c>
      <c r="Q42" s="193" t="str">
        <f>IFERROR(VLOOKUP(O42, RedFlagHooks!J128:P156, 2, FALSE), "")</f>
        <v/>
      </c>
      <c r="R42" s="193" t="str">
        <f>IFERROR(VLOOKUP(O42, RedFlagHooks!J128:P156, 6, FALSE), "")</f>
        <v/>
      </c>
      <c r="S42" s="194" t="str">
        <f>IFERROR(VLOOKUP(O42, RedFlagHooks!J128:P156, 7, FALSE), "")</f>
        <v/>
      </c>
    </row>
    <row r="43" hidden="1">
      <c r="A43" s="180"/>
      <c r="B43" s="181" t="str">
        <f>IFERROR(VLOOKUP(A43, RedFlagHooks!J41:P77, 2, FALSE), "")</f>
        <v/>
      </c>
      <c r="C43" s="181" t="str">
        <f>IFERROR(VLOOKUP(A43, RedFlagHooks!J41:P77, 3, FALSE), "")</f>
        <v/>
      </c>
      <c r="D43" s="182" t="str">
        <f>IFERROR(VLOOKUP(A43, RedFlagHooks!J41:P77, 7, FALSE), "")</f>
        <v/>
      </c>
      <c r="E43" s="183" t="str">
        <f>IFERROR(VLOOKUP(A43, RedFlagHooks!J41:P77, 4, FALSE), "")</f>
        <v/>
      </c>
      <c r="F43" s="184"/>
      <c r="G43" s="185" t="str">
        <f>IFERROR(VLOOKUP(F43, RedFlagHooks!B41:H77, 2, FALSE), "")</f>
        <v/>
      </c>
      <c r="H43" s="186" t="str">
        <f>IFERROR(VLOOKUP(F43, RedFlagHooks!B41:H77, 3, FALSE), "")</f>
        <v/>
      </c>
      <c r="I43" s="186" t="str">
        <f>IFERROR(VLOOKUP(F43, RedFlagHooks!B41:H77, 7, FALSE), "")</f>
        <v/>
      </c>
      <c r="J43" s="187" t="str">
        <f>IFERROR(VLOOKUP(F43, RedFlagHooks!B41:H77, 4, FALSE), "")</f>
        <v/>
      </c>
      <c r="K43" s="188"/>
      <c r="L43" s="189" t="str">
        <f>IFERROR(VLOOKUP(K43, RedFlagHooks!J81:P125, 2, FALSE), "")</f>
        <v/>
      </c>
      <c r="M43" s="190" t="str">
        <f>IFERROR(VLOOKUP(K43, RedFlagHooks!J81:P125, 3, FALSE), "")</f>
        <v/>
      </c>
      <c r="N43" s="191" t="str">
        <f>IFERROR(VLOOKUP(K43, RedFlagHooks!J81:P125, 4, FALSE), "")</f>
        <v/>
      </c>
      <c r="O43" s="195"/>
      <c r="P43" s="193" t="str">
        <f>IFERROR(VLOOKUP(O43, RedFlagHooks!J129:P157, 3, FALSE), "")</f>
        <v/>
      </c>
      <c r="Q43" s="193" t="str">
        <f>IFERROR(VLOOKUP(O43, RedFlagHooks!J129:P157, 2, FALSE), "")</f>
        <v/>
      </c>
      <c r="R43" s="193" t="str">
        <f>IFERROR(VLOOKUP(O43, RedFlagHooks!J129:P157, 6, FALSE), "")</f>
        <v/>
      </c>
      <c r="S43" s="194" t="str">
        <f>IFERROR(VLOOKUP(O43, RedFlagHooks!J129:P157, 7, FALSE), "")</f>
        <v/>
      </c>
    </row>
    <row r="44" hidden="1">
      <c r="A44" s="180"/>
      <c r="B44" s="181" t="str">
        <f>IFERROR(VLOOKUP(A44, RedFlagHooks!J42:P78, 2, FALSE), "")</f>
        <v/>
      </c>
      <c r="C44" s="181" t="str">
        <f>IFERROR(VLOOKUP(A44, RedFlagHooks!J42:P78, 3, FALSE), "")</f>
        <v/>
      </c>
      <c r="D44" s="182" t="str">
        <f>IFERROR(VLOOKUP(A44, RedFlagHooks!J42:P78, 7, FALSE), "")</f>
        <v/>
      </c>
      <c r="E44" s="183" t="str">
        <f>IFERROR(VLOOKUP(A44, RedFlagHooks!J42:P78, 4, FALSE), "")</f>
        <v/>
      </c>
      <c r="F44" s="184"/>
      <c r="G44" s="185" t="str">
        <f>IFERROR(VLOOKUP(F44, RedFlagHooks!B42:H78, 2, FALSE), "")</f>
        <v/>
      </c>
      <c r="H44" s="186" t="str">
        <f>IFERROR(VLOOKUP(F44, RedFlagHooks!B42:H78, 3, FALSE), "")</f>
        <v/>
      </c>
      <c r="I44" s="186" t="str">
        <f>IFERROR(VLOOKUP(F44, RedFlagHooks!B42:H78, 7, FALSE), "")</f>
        <v/>
      </c>
      <c r="J44" s="187" t="str">
        <f>IFERROR(VLOOKUP(F44, RedFlagHooks!B42:H78, 4, FALSE), "")</f>
        <v/>
      </c>
      <c r="K44" s="188"/>
      <c r="L44" s="189" t="str">
        <f>IFERROR(VLOOKUP(K44, RedFlagHooks!J82:P126, 2, FALSE), "")</f>
        <v/>
      </c>
      <c r="M44" s="190" t="str">
        <f>IFERROR(VLOOKUP(K44, RedFlagHooks!J82:P126, 3, FALSE), "")</f>
        <v/>
      </c>
      <c r="N44" s="191" t="str">
        <f>IFERROR(VLOOKUP(K44, RedFlagHooks!J82:P126, 4, FALSE), "")</f>
        <v/>
      </c>
      <c r="O44" s="195"/>
      <c r="P44" s="193" t="str">
        <f>IFERROR(VLOOKUP(O44, RedFlagHooks!J130:P158, 3, FALSE), "")</f>
        <v/>
      </c>
      <c r="Q44" s="193" t="str">
        <f>IFERROR(VLOOKUP(O44, RedFlagHooks!J130:P158, 2, FALSE), "")</f>
        <v/>
      </c>
      <c r="R44" s="193" t="str">
        <f>IFERROR(VLOOKUP(O44, RedFlagHooks!J130:P158, 6, FALSE), "")</f>
        <v/>
      </c>
      <c r="S44" s="194" t="str">
        <f>IFERROR(VLOOKUP(O44, RedFlagHooks!J130:P158, 7, FALSE), "")</f>
        <v/>
      </c>
    </row>
    <row r="45" hidden="1">
      <c r="A45" s="180"/>
      <c r="B45" s="181" t="str">
        <f>IFERROR(VLOOKUP(A45, RedFlagHooks!J43:P79, 2, FALSE), "")</f>
        <v/>
      </c>
      <c r="C45" s="181" t="str">
        <f>IFERROR(VLOOKUP(A45, RedFlagHooks!J43:P79, 3, FALSE), "")</f>
        <v/>
      </c>
      <c r="D45" s="182" t="str">
        <f>IFERROR(VLOOKUP(A45, RedFlagHooks!J43:P79, 7, FALSE), "")</f>
        <v/>
      </c>
      <c r="E45" s="183" t="str">
        <f>IFERROR(VLOOKUP(A45, RedFlagHooks!J43:P79, 4, FALSE), "")</f>
        <v/>
      </c>
      <c r="F45" s="184"/>
      <c r="G45" s="185" t="str">
        <f>IFERROR(VLOOKUP(F45, RedFlagHooks!B43:H79, 2, FALSE), "")</f>
        <v/>
      </c>
      <c r="H45" s="186" t="str">
        <f>IFERROR(VLOOKUP(F45, RedFlagHooks!B43:H79, 3, FALSE), "")</f>
        <v/>
      </c>
      <c r="I45" s="186" t="str">
        <f>IFERROR(VLOOKUP(F45, RedFlagHooks!B43:H79, 7, FALSE), "")</f>
        <v/>
      </c>
      <c r="J45" s="187" t="str">
        <f>IFERROR(VLOOKUP(F45, RedFlagHooks!B43:H79, 4, FALSE), "")</f>
        <v/>
      </c>
      <c r="K45" s="188"/>
      <c r="L45" s="189" t="str">
        <f>IFERROR(VLOOKUP(K45, RedFlagHooks!J83:P127, 2, FALSE), "")</f>
        <v/>
      </c>
      <c r="M45" s="190" t="str">
        <f>IFERROR(VLOOKUP(K45, RedFlagHooks!J83:P127, 3, FALSE), "")</f>
        <v/>
      </c>
      <c r="N45" s="191" t="str">
        <f>IFERROR(VLOOKUP(K45, RedFlagHooks!J83:P127, 4, FALSE), "")</f>
        <v/>
      </c>
      <c r="O45" s="195"/>
      <c r="P45" s="193" t="str">
        <f>IFERROR(VLOOKUP(O45, RedFlagHooks!J131:P159, 3, FALSE), "")</f>
        <v/>
      </c>
      <c r="Q45" s="193" t="str">
        <f>IFERROR(VLOOKUP(O45, RedFlagHooks!J131:P159, 2, FALSE), "")</f>
        <v/>
      </c>
      <c r="R45" s="193" t="str">
        <f>IFERROR(VLOOKUP(O45, RedFlagHooks!J131:P159, 6, FALSE), "")</f>
        <v/>
      </c>
      <c r="S45" s="194" t="str">
        <f>IFERROR(VLOOKUP(O45, RedFlagHooks!J131:P159, 7, FALSE), "")</f>
        <v/>
      </c>
    </row>
    <row r="46" hidden="1">
      <c r="A46" s="180"/>
      <c r="B46" s="181" t="str">
        <f>IFERROR(VLOOKUP(A46, RedFlagHooks!J44:P80, 2, FALSE), "")</f>
        <v/>
      </c>
      <c r="C46" s="181" t="str">
        <f>IFERROR(VLOOKUP(A46, RedFlagHooks!J44:P80, 3, FALSE), "")</f>
        <v/>
      </c>
      <c r="D46" s="182" t="str">
        <f>IFERROR(VLOOKUP(A46, RedFlagHooks!J44:P80, 7, FALSE), "")</f>
        <v/>
      </c>
      <c r="E46" s="183" t="str">
        <f>IFERROR(VLOOKUP(A46, RedFlagHooks!J44:P80, 4, FALSE), "")</f>
        <v/>
      </c>
      <c r="F46" s="184"/>
      <c r="G46" s="185" t="str">
        <f>IFERROR(VLOOKUP(F46, RedFlagHooks!B44:H80, 2, FALSE), "")</f>
        <v/>
      </c>
      <c r="H46" s="186" t="str">
        <f>IFERROR(VLOOKUP(F46, RedFlagHooks!B44:H80, 3, FALSE), "")</f>
        <v/>
      </c>
      <c r="I46" s="186" t="str">
        <f>IFERROR(VLOOKUP(F46, RedFlagHooks!B44:H80, 7, FALSE), "")</f>
        <v/>
      </c>
      <c r="J46" s="187" t="str">
        <f>IFERROR(VLOOKUP(F46, RedFlagHooks!B44:H80, 4, FALSE), "")</f>
        <v/>
      </c>
      <c r="K46" s="188"/>
      <c r="L46" s="189" t="str">
        <f>IFERROR(VLOOKUP(K46, RedFlagHooks!J84:P128, 2, FALSE), "")</f>
        <v/>
      </c>
      <c r="M46" s="190" t="str">
        <f>IFERROR(VLOOKUP(K46, RedFlagHooks!J84:P128, 3, FALSE), "")</f>
        <v/>
      </c>
      <c r="N46" s="191" t="str">
        <f>IFERROR(VLOOKUP(K46, RedFlagHooks!J84:P128, 4, FALSE), "")</f>
        <v/>
      </c>
      <c r="O46" s="195"/>
      <c r="P46" s="193" t="str">
        <f>IFERROR(VLOOKUP(O46, RedFlagHooks!J132:P160, 3, FALSE), "")</f>
        <v/>
      </c>
      <c r="Q46" s="193" t="str">
        <f>IFERROR(VLOOKUP(O46, RedFlagHooks!J132:P160, 2, FALSE), "")</f>
        <v/>
      </c>
      <c r="R46" s="193" t="str">
        <f>IFERROR(VLOOKUP(O46, RedFlagHooks!J132:P160, 6, FALSE), "")</f>
        <v/>
      </c>
      <c r="S46" s="194" t="str">
        <f>IFERROR(VLOOKUP(O46, RedFlagHooks!J132:P160, 7, FALSE), "")</f>
        <v/>
      </c>
    </row>
    <row r="47" hidden="1">
      <c r="A47" s="180"/>
      <c r="B47" s="181" t="str">
        <f>IFERROR(VLOOKUP(A47, RedFlagHooks!J45:P81, 2, FALSE), "")</f>
        <v/>
      </c>
      <c r="C47" s="181" t="str">
        <f>IFERROR(VLOOKUP(A47, RedFlagHooks!J45:P81, 3, FALSE), "")</f>
        <v/>
      </c>
      <c r="D47" s="182" t="str">
        <f>IFERROR(VLOOKUP(A47, RedFlagHooks!J45:P81, 7, FALSE), "")</f>
        <v/>
      </c>
      <c r="E47" s="183" t="str">
        <f>IFERROR(VLOOKUP(A47, RedFlagHooks!J45:P81, 4, FALSE), "")</f>
        <v/>
      </c>
      <c r="F47" s="184"/>
      <c r="G47" s="185" t="str">
        <f>IFERROR(VLOOKUP(F47, RedFlagHooks!B45:H81, 2, FALSE), "")</f>
        <v/>
      </c>
      <c r="H47" s="186" t="str">
        <f>IFERROR(VLOOKUP(F47, RedFlagHooks!B45:H81, 3, FALSE), "")</f>
        <v/>
      </c>
      <c r="I47" s="186" t="str">
        <f>IFERROR(VLOOKUP(F47, RedFlagHooks!B45:H81, 7, FALSE), "")</f>
        <v/>
      </c>
      <c r="J47" s="187" t="str">
        <f>IFERROR(VLOOKUP(F47, RedFlagHooks!B45:H81, 4, FALSE), "")</f>
        <v/>
      </c>
      <c r="K47" s="188"/>
      <c r="L47" s="189" t="str">
        <f>IFERROR(VLOOKUP(K47, RedFlagHooks!J85:P129, 2, FALSE), "")</f>
        <v/>
      </c>
      <c r="M47" s="190" t="str">
        <f>IFERROR(VLOOKUP(K47, RedFlagHooks!J85:P129, 3, FALSE), "")</f>
        <v/>
      </c>
      <c r="N47" s="191" t="str">
        <f>IFERROR(VLOOKUP(K47, RedFlagHooks!J85:P129, 4, FALSE), "")</f>
        <v/>
      </c>
      <c r="O47" s="195"/>
      <c r="P47" s="193" t="str">
        <f>IFERROR(VLOOKUP(O47, RedFlagHooks!J133:P161, 3, FALSE), "")</f>
        <v/>
      </c>
      <c r="Q47" s="193" t="str">
        <f>IFERROR(VLOOKUP(O47, RedFlagHooks!J133:P161, 2, FALSE), "")</f>
        <v/>
      </c>
      <c r="R47" s="193" t="str">
        <f>IFERROR(VLOOKUP(O47, RedFlagHooks!J133:P161, 6, FALSE), "")</f>
        <v/>
      </c>
      <c r="S47" s="194" t="str">
        <f>IFERROR(VLOOKUP(O47, RedFlagHooks!J133:P161, 7, FALSE), "")</f>
        <v/>
      </c>
    </row>
    <row r="48" hidden="1">
      <c r="A48" s="180"/>
      <c r="B48" s="181" t="str">
        <f>IFERROR(VLOOKUP(A48, RedFlagHooks!J46:P82, 2, FALSE), "")</f>
        <v/>
      </c>
      <c r="C48" s="181" t="str">
        <f>IFERROR(VLOOKUP(A48, RedFlagHooks!J46:P82, 3, FALSE), "")</f>
        <v/>
      </c>
      <c r="D48" s="182" t="str">
        <f>IFERROR(VLOOKUP(A48, RedFlagHooks!J46:P82, 7, FALSE), "")</f>
        <v/>
      </c>
      <c r="E48" s="183" t="str">
        <f>IFERROR(VLOOKUP(A48, RedFlagHooks!J46:P82, 4, FALSE), "")</f>
        <v/>
      </c>
      <c r="F48" s="184"/>
      <c r="G48" s="185" t="str">
        <f>IFERROR(VLOOKUP(F48, RedFlagHooks!B46:H82, 2, FALSE), "")</f>
        <v/>
      </c>
      <c r="H48" s="186" t="str">
        <f>IFERROR(VLOOKUP(F48, RedFlagHooks!B46:H82, 3, FALSE), "")</f>
        <v/>
      </c>
      <c r="I48" s="186" t="str">
        <f>IFERROR(VLOOKUP(F48, RedFlagHooks!B46:H82, 7, FALSE), "")</f>
        <v/>
      </c>
      <c r="J48" s="187" t="str">
        <f>IFERROR(VLOOKUP(F48, RedFlagHooks!B46:H82, 4, FALSE), "")</f>
        <v/>
      </c>
      <c r="K48" s="188"/>
      <c r="L48" s="189" t="str">
        <f>IFERROR(VLOOKUP(K48, RedFlagHooks!J86:P130, 2, FALSE), "")</f>
        <v/>
      </c>
      <c r="M48" s="190" t="str">
        <f>IFERROR(VLOOKUP(K48, RedFlagHooks!J86:P130, 3, FALSE), "")</f>
        <v/>
      </c>
      <c r="N48" s="191" t="str">
        <f>IFERROR(VLOOKUP(K48, RedFlagHooks!J86:P130, 4, FALSE), "")</f>
        <v/>
      </c>
      <c r="O48" s="195"/>
      <c r="P48" s="193" t="str">
        <f>IFERROR(VLOOKUP(O48, RedFlagHooks!J134:P162, 3, FALSE), "")</f>
        <v/>
      </c>
      <c r="Q48" s="193" t="str">
        <f>IFERROR(VLOOKUP(O48, RedFlagHooks!J134:P162, 2, FALSE), "")</f>
        <v/>
      </c>
      <c r="R48" s="193" t="str">
        <f>IFERROR(VLOOKUP(O48, RedFlagHooks!J134:P162, 6, FALSE), "")</f>
        <v/>
      </c>
      <c r="S48" s="194" t="str">
        <f>IFERROR(VLOOKUP(O48, RedFlagHooks!J134:P162, 7, FALSE), "")</f>
        <v/>
      </c>
    </row>
    <row r="49" hidden="1">
      <c r="A49" s="180"/>
      <c r="B49" s="181" t="str">
        <f>IFERROR(VLOOKUP(A49, RedFlagHooks!J47:P83, 2, FALSE), "")</f>
        <v/>
      </c>
      <c r="C49" s="181" t="str">
        <f>IFERROR(VLOOKUP(A49, RedFlagHooks!J47:P83, 3, FALSE), "")</f>
        <v/>
      </c>
      <c r="D49" s="182" t="str">
        <f>IFERROR(VLOOKUP(A49, RedFlagHooks!J47:P83, 7, FALSE), "")</f>
        <v/>
      </c>
      <c r="E49" s="183" t="str">
        <f>IFERROR(VLOOKUP(A49, RedFlagHooks!J47:P83, 4, FALSE), "")</f>
        <v/>
      </c>
      <c r="F49" s="184"/>
      <c r="G49" s="185" t="str">
        <f>IFERROR(VLOOKUP(F49, RedFlagHooks!B47:H83, 2, FALSE), "")</f>
        <v/>
      </c>
      <c r="H49" s="186" t="str">
        <f>IFERROR(VLOOKUP(F49, RedFlagHooks!B47:H83, 3, FALSE), "")</f>
        <v/>
      </c>
      <c r="I49" s="186" t="str">
        <f>IFERROR(VLOOKUP(F49, RedFlagHooks!B47:H83, 7, FALSE), "")</f>
        <v/>
      </c>
      <c r="J49" s="187" t="str">
        <f>IFERROR(VLOOKUP(F49, RedFlagHooks!B47:H83, 4, FALSE), "")</f>
        <v/>
      </c>
      <c r="K49" s="188"/>
      <c r="L49" s="189" t="str">
        <f>IFERROR(VLOOKUP(K49, RedFlagHooks!J87:P131, 2, FALSE), "")</f>
        <v/>
      </c>
      <c r="M49" s="190" t="str">
        <f>IFERROR(VLOOKUP(K49, RedFlagHooks!J87:P131, 3, FALSE), "")</f>
        <v/>
      </c>
      <c r="N49" s="191" t="str">
        <f>IFERROR(VLOOKUP(K49, RedFlagHooks!J87:P131, 4, FALSE), "")</f>
        <v/>
      </c>
      <c r="O49" s="195"/>
      <c r="P49" s="193" t="str">
        <f>IFERROR(VLOOKUP(O49, RedFlagHooks!J135:P163, 3, FALSE), "")</f>
        <v/>
      </c>
      <c r="Q49" s="193" t="str">
        <f>IFERROR(VLOOKUP(O49, RedFlagHooks!J135:P163, 2, FALSE), "")</f>
        <v/>
      </c>
      <c r="R49" s="193" t="str">
        <f>IFERROR(VLOOKUP(O49, RedFlagHooks!J135:P163, 6, FALSE), "")</f>
        <v/>
      </c>
      <c r="S49" s="194" t="str">
        <f>IFERROR(VLOOKUP(O49, RedFlagHooks!J135:P163, 7, FALSE), "")</f>
        <v/>
      </c>
    </row>
    <row r="50">
      <c r="A50" s="196"/>
      <c r="B50" s="181" t="str">
        <f>IFERROR(VLOOKUP(A50, RedFlagHooks!J48:P84, 2, FALSE), "")</f>
        <v/>
      </c>
      <c r="C50" s="181" t="str">
        <f>IFERROR(VLOOKUP(A50, RedFlagHooks!J48:P84, 3, FALSE), "")</f>
        <v/>
      </c>
      <c r="D50" s="182" t="str">
        <f>IFERROR(VLOOKUP(A50, RedFlagHooks!J48:P84, 7, FALSE), "")</f>
        <v/>
      </c>
      <c r="E50" s="183" t="str">
        <f>IFERROR(VLOOKUP(A50, RedFlagHooks!J48:P84, 4, FALSE), "")</f>
        <v/>
      </c>
      <c r="F50" s="197"/>
      <c r="G50" s="185" t="str">
        <f>IFERROR(VLOOKUP(F50, RedFlagHooks!B48:H84, 2, FALSE), "")</f>
        <v/>
      </c>
      <c r="H50" s="186" t="str">
        <f>IFERROR(VLOOKUP(F50, RedFlagHooks!B48:H84, 3, FALSE), "")</f>
        <v/>
      </c>
      <c r="I50" s="186" t="str">
        <f>IFERROR(VLOOKUP(F50, RedFlagHooks!B48:H84, 7, FALSE), "")</f>
        <v/>
      </c>
      <c r="J50" s="187" t="str">
        <f>IFERROR(VLOOKUP(F50, RedFlagHooks!B48:H84, 4, FALSE), "")</f>
        <v/>
      </c>
      <c r="K50" s="198"/>
      <c r="L50" s="189" t="str">
        <f>IFERROR(VLOOKUP(K50, RedFlagHooks!J88:P132, 2, FALSE), "")</f>
        <v/>
      </c>
      <c r="M50" s="190" t="str">
        <f>IFERROR(VLOOKUP(K50, RedFlagHooks!J88:P132, 3, FALSE), "")</f>
        <v/>
      </c>
      <c r="N50" s="191" t="str">
        <f>IFERROR(VLOOKUP(K50, RedFlagHooks!J88:P132, 4, FALSE), "")</f>
        <v/>
      </c>
      <c r="O50" s="199"/>
      <c r="P50" s="193" t="str">
        <f>IFERROR(VLOOKUP(O50, RedFlagHooks!J136:P164, 3, FALSE), "")</f>
        <v/>
      </c>
      <c r="Q50" s="193" t="str">
        <f>IFERROR(VLOOKUP(O50, RedFlagHooks!J136:P164, 2, FALSE), "")</f>
        <v/>
      </c>
      <c r="R50" s="193" t="str">
        <f>IFERROR(VLOOKUP(O50, RedFlagHooks!J136:P164, 6, FALSE), "")</f>
        <v/>
      </c>
      <c r="S50" s="194" t="str">
        <f>IFERROR(VLOOKUP(O50, RedFlagHooks!J136:P164, 7, FALSE), "")</f>
        <v/>
      </c>
    </row>
    <row r="51">
      <c r="A51" s="200"/>
      <c r="B51" s="200"/>
      <c r="C51" s="200"/>
      <c r="D51" s="201"/>
      <c r="E51" s="200"/>
      <c r="F51" s="200"/>
      <c r="G51" s="200"/>
      <c r="H51" s="200"/>
      <c r="I51" s="200"/>
      <c r="J51" s="200"/>
      <c r="K51" s="200"/>
      <c r="L51" s="200"/>
      <c r="M51" s="200"/>
      <c r="N51" s="201"/>
      <c r="O51" s="200"/>
      <c r="P51" s="200"/>
      <c r="Q51" s="201"/>
      <c r="R51" s="201"/>
      <c r="S51" s="201"/>
    </row>
    <row r="52">
      <c r="A52" s="202" t="s">
        <v>1536</v>
      </c>
      <c r="B52" s="203" t="s">
        <v>1544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5"/>
    </row>
    <row r="53">
      <c r="A53" s="206" t="s">
        <v>1537</v>
      </c>
      <c r="B53" s="207" t="s">
        <v>1545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9"/>
    </row>
    <row r="54">
      <c r="A54" s="210" t="s">
        <v>1538</v>
      </c>
      <c r="B54" s="207" t="s">
        <v>1546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9"/>
    </row>
    <row r="55">
      <c r="A55" s="211" t="s">
        <v>1539</v>
      </c>
      <c r="B55" s="212" t="s">
        <v>1547</v>
      </c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4"/>
    </row>
    <row r="56">
      <c r="D56" s="46"/>
      <c r="N56" s="46"/>
      <c r="Q56" s="46"/>
      <c r="R56" s="46"/>
      <c r="S56" s="46"/>
    </row>
    <row r="57">
      <c r="D57" s="46"/>
      <c r="N57" s="46"/>
      <c r="Q57" s="46"/>
      <c r="R57" s="46"/>
      <c r="S57" s="46"/>
    </row>
    <row r="58">
      <c r="D58" s="46"/>
      <c r="N58" s="46"/>
      <c r="Q58" s="46"/>
      <c r="R58" s="46"/>
      <c r="S58" s="46"/>
    </row>
    <row r="59">
      <c r="D59" s="46"/>
      <c r="N59" s="46"/>
      <c r="Q59" s="46"/>
      <c r="R59" s="46"/>
      <c r="S59" s="46"/>
    </row>
    <row r="60">
      <c r="D60" s="46"/>
      <c r="N60" s="46"/>
      <c r="Q60" s="46"/>
      <c r="R60" s="46"/>
      <c r="S60" s="46"/>
    </row>
    <row r="61">
      <c r="D61" s="46"/>
      <c r="N61" s="46"/>
      <c r="Q61" s="46"/>
      <c r="R61" s="46"/>
      <c r="S61" s="46"/>
    </row>
    <row r="62">
      <c r="D62" s="46"/>
      <c r="N62" s="46"/>
      <c r="Q62" s="46"/>
      <c r="R62" s="46"/>
      <c r="S62" s="46"/>
    </row>
    <row r="63">
      <c r="D63" s="46"/>
      <c r="N63" s="46"/>
      <c r="Q63" s="46"/>
      <c r="R63" s="46"/>
      <c r="S63" s="46"/>
    </row>
    <row r="64">
      <c r="D64" s="46"/>
      <c r="N64" s="46"/>
      <c r="Q64" s="46"/>
      <c r="R64" s="46"/>
      <c r="S64" s="46"/>
    </row>
    <row r="65">
      <c r="D65" s="46"/>
      <c r="N65" s="46"/>
      <c r="Q65" s="46"/>
      <c r="R65" s="46"/>
      <c r="S65" s="46"/>
    </row>
    <row r="66">
      <c r="D66" s="46"/>
      <c r="N66" s="46"/>
      <c r="Q66" s="46"/>
      <c r="R66" s="46"/>
      <c r="S66" s="46"/>
    </row>
    <row r="67">
      <c r="D67" s="46"/>
      <c r="N67" s="46"/>
      <c r="Q67" s="46"/>
      <c r="R67" s="46"/>
      <c r="S67" s="46"/>
    </row>
    <row r="68">
      <c r="D68" s="46"/>
      <c r="N68" s="46"/>
      <c r="Q68" s="46"/>
      <c r="R68" s="46"/>
      <c r="S68" s="46"/>
    </row>
    <row r="69">
      <c r="D69" s="46"/>
      <c r="N69" s="46"/>
      <c r="Q69" s="46"/>
      <c r="R69" s="46"/>
      <c r="S69" s="46"/>
    </row>
    <row r="70">
      <c r="D70" s="46"/>
      <c r="N70" s="46"/>
      <c r="Q70" s="46"/>
      <c r="R70" s="46"/>
      <c r="S70" s="46"/>
    </row>
    <row r="71">
      <c r="D71" s="46"/>
      <c r="N71" s="46"/>
      <c r="Q71" s="46"/>
      <c r="R71" s="46"/>
      <c r="S71" s="46"/>
    </row>
    <row r="72">
      <c r="D72" s="46"/>
      <c r="N72" s="46"/>
      <c r="Q72" s="46"/>
      <c r="R72" s="46"/>
      <c r="S72" s="46"/>
    </row>
    <row r="73">
      <c r="D73" s="46"/>
      <c r="N73" s="46"/>
      <c r="Q73" s="46"/>
      <c r="R73" s="46"/>
      <c r="S73" s="46"/>
    </row>
    <row r="74">
      <c r="D74" s="46"/>
      <c r="N74" s="46"/>
      <c r="Q74" s="46"/>
      <c r="R74" s="46"/>
      <c r="S74" s="46"/>
    </row>
    <row r="75">
      <c r="D75" s="46"/>
      <c r="N75" s="46"/>
      <c r="Q75" s="46"/>
      <c r="R75" s="46"/>
      <c r="S75" s="46"/>
    </row>
    <row r="76">
      <c r="D76" s="46"/>
      <c r="N76" s="46"/>
      <c r="Q76" s="46"/>
      <c r="R76" s="46"/>
      <c r="S76" s="46"/>
    </row>
    <row r="77">
      <c r="D77" s="46"/>
      <c r="N77" s="46"/>
      <c r="Q77" s="46"/>
      <c r="R77" s="46"/>
      <c r="S77" s="46"/>
    </row>
    <row r="78">
      <c r="D78" s="46"/>
      <c r="N78" s="46"/>
      <c r="Q78" s="46"/>
      <c r="R78" s="46"/>
      <c r="S78" s="46"/>
    </row>
    <row r="79">
      <c r="D79" s="46"/>
      <c r="N79" s="46"/>
      <c r="Q79" s="46"/>
      <c r="R79" s="46"/>
      <c r="S79" s="46"/>
    </row>
    <row r="80">
      <c r="D80" s="46"/>
      <c r="N80" s="46"/>
      <c r="Q80" s="46"/>
      <c r="R80" s="46"/>
      <c r="S80" s="46"/>
    </row>
    <row r="81">
      <c r="D81" s="46"/>
      <c r="N81" s="46"/>
      <c r="Q81" s="46"/>
      <c r="R81" s="46"/>
      <c r="S81" s="46"/>
    </row>
    <row r="82">
      <c r="D82" s="46"/>
      <c r="N82" s="46"/>
      <c r="Q82" s="46"/>
      <c r="R82" s="46"/>
      <c r="S82" s="46"/>
    </row>
    <row r="83">
      <c r="D83" s="46"/>
      <c r="N83" s="46"/>
      <c r="Q83" s="46"/>
      <c r="R83" s="46"/>
      <c r="S83" s="46"/>
    </row>
    <row r="84">
      <c r="D84" s="46"/>
      <c r="N84" s="46"/>
      <c r="Q84" s="46"/>
      <c r="R84" s="46"/>
      <c r="S84" s="46"/>
    </row>
    <row r="85">
      <c r="D85" s="46"/>
      <c r="N85" s="46"/>
      <c r="Q85" s="46"/>
      <c r="R85" s="46"/>
      <c r="S85" s="46"/>
    </row>
    <row r="86">
      <c r="D86" s="46"/>
      <c r="N86" s="46"/>
      <c r="Q86" s="46"/>
      <c r="R86" s="46"/>
      <c r="S86" s="46"/>
    </row>
    <row r="87">
      <c r="D87" s="46"/>
      <c r="N87" s="46"/>
      <c r="Q87" s="46"/>
      <c r="R87" s="46"/>
      <c r="S87" s="46"/>
    </row>
    <row r="88">
      <c r="D88" s="46"/>
      <c r="N88" s="46"/>
      <c r="Q88" s="46"/>
      <c r="R88" s="46"/>
      <c r="S88" s="46"/>
    </row>
    <row r="89">
      <c r="D89" s="46"/>
      <c r="N89" s="46"/>
      <c r="Q89" s="46"/>
      <c r="R89" s="46"/>
      <c r="S89" s="46"/>
    </row>
    <row r="90">
      <c r="D90" s="46"/>
      <c r="N90" s="46"/>
      <c r="Q90" s="46"/>
      <c r="R90" s="46"/>
      <c r="S90" s="46"/>
    </row>
    <row r="91">
      <c r="D91" s="46"/>
      <c r="N91" s="46"/>
      <c r="Q91" s="46"/>
      <c r="R91" s="46"/>
      <c r="S91" s="46"/>
    </row>
    <row r="92">
      <c r="D92" s="46"/>
      <c r="N92" s="46"/>
      <c r="Q92" s="46"/>
      <c r="R92" s="46"/>
      <c r="S92" s="46"/>
    </row>
    <row r="93">
      <c r="D93" s="46"/>
      <c r="N93" s="46"/>
      <c r="Q93" s="46"/>
      <c r="R93" s="46"/>
      <c r="S93" s="46"/>
    </row>
    <row r="94">
      <c r="D94" s="46"/>
      <c r="N94" s="46"/>
      <c r="Q94" s="46"/>
      <c r="R94" s="46"/>
      <c r="S94" s="46"/>
    </row>
    <row r="95">
      <c r="D95" s="46"/>
      <c r="N95" s="46"/>
      <c r="Q95" s="46"/>
      <c r="R95" s="46"/>
      <c r="S95" s="46"/>
    </row>
    <row r="96">
      <c r="D96" s="46"/>
      <c r="N96" s="46"/>
      <c r="Q96" s="46"/>
      <c r="R96" s="46"/>
      <c r="S96" s="46"/>
    </row>
    <row r="97">
      <c r="D97" s="46"/>
      <c r="N97" s="46"/>
      <c r="Q97" s="46"/>
      <c r="R97" s="46"/>
      <c r="S97" s="46"/>
    </row>
    <row r="98">
      <c r="D98" s="46"/>
      <c r="N98" s="46"/>
      <c r="Q98" s="46"/>
      <c r="R98" s="46"/>
      <c r="S98" s="46"/>
    </row>
    <row r="99">
      <c r="D99" s="46"/>
      <c r="N99" s="46"/>
      <c r="Q99" s="46"/>
      <c r="R99" s="46"/>
      <c r="S99" s="46"/>
    </row>
    <row r="100">
      <c r="D100" s="46"/>
      <c r="N100" s="46"/>
      <c r="Q100" s="46"/>
      <c r="R100" s="46"/>
      <c r="S100" s="46"/>
    </row>
    <row r="101">
      <c r="D101" s="46"/>
      <c r="N101" s="46"/>
      <c r="Q101" s="46"/>
      <c r="R101" s="46"/>
      <c r="S101" s="46"/>
    </row>
    <row r="102">
      <c r="D102" s="46"/>
      <c r="N102" s="46"/>
      <c r="Q102" s="46"/>
      <c r="R102" s="46"/>
      <c r="S102" s="46"/>
    </row>
    <row r="103">
      <c r="D103" s="46"/>
      <c r="N103" s="46"/>
      <c r="Q103" s="46"/>
      <c r="R103" s="46"/>
      <c r="S103" s="46"/>
    </row>
    <row r="104">
      <c r="D104" s="46"/>
      <c r="N104" s="46"/>
      <c r="Q104" s="46"/>
      <c r="R104" s="46"/>
      <c r="S104" s="46"/>
    </row>
    <row r="105">
      <c r="D105" s="46"/>
      <c r="N105" s="46"/>
      <c r="Q105" s="46"/>
      <c r="R105" s="46"/>
      <c r="S105" s="46"/>
    </row>
    <row r="106">
      <c r="D106" s="46"/>
      <c r="N106" s="46"/>
      <c r="Q106" s="46"/>
      <c r="R106" s="46"/>
      <c r="S106" s="46"/>
    </row>
    <row r="107">
      <c r="D107" s="46"/>
      <c r="N107" s="46"/>
      <c r="Q107" s="46"/>
      <c r="R107" s="46"/>
      <c r="S107" s="46"/>
    </row>
    <row r="108">
      <c r="D108" s="46"/>
      <c r="N108" s="46"/>
      <c r="Q108" s="46"/>
      <c r="R108" s="46"/>
      <c r="S108" s="46"/>
    </row>
    <row r="109">
      <c r="D109" s="46"/>
      <c r="N109" s="46"/>
      <c r="Q109" s="46"/>
      <c r="R109" s="46"/>
      <c r="S109" s="46"/>
    </row>
    <row r="110">
      <c r="D110" s="46"/>
      <c r="N110" s="46"/>
      <c r="Q110" s="46"/>
      <c r="R110" s="46"/>
      <c r="S110" s="46"/>
    </row>
    <row r="111">
      <c r="D111" s="46"/>
      <c r="N111" s="46"/>
      <c r="Q111" s="46"/>
      <c r="R111" s="46"/>
      <c r="S111" s="46"/>
    </row>
    <row r="112">
      <c r="D112" s="46"/>
      <c r="N112" s="46"/>
      <c r="Q112" s="46"/>
      <c r="R112" s="46"/>
      <c r="S112" s="46"/>
    </row>
    <row r="113">
      <c r="D113" s="46"/>
      <c r="N113" s="46"/>
      <c r="Q113" s="46"/>
      <c r="R113" s="46"/>
      <c r="S113" s="46"/>
    </row>
    <row r="114">
      <c r="D114" s="46"/>
      <c r="N114" s="46"/>
      <c r="Q114" s="46"/>
      <c r="R114" s="46"/>
      <c r="S114" s="46"/>
    </row>
    <row r="115">
      <c r="D115" s="46"/>
      <c r="N115" s="46"/>
      <c r="Q115" s="46"/>
      <c r="R115" s="46"/>
      <c r="S115" s="46"/>
    </row>
    <row r="116">
      <c r="D116" s="46"/>
      <c r="N116" s="46"/>
      <c r="Q116" s="46"/>
      <c r="R116" s="46"/>
      <c r="S116" s="46"/>
    </row>
    <row r="117">
      <c r="D117" s="46"/>
      <c r="N117" s="46"/>
      <c r="Q117" s="46"/>
      <c r="R117" s="46"/>
      <c r="S117" s="46"/>
    </row>
    <row r="118">
      <c r="D118" s="46"/>
      <c r="N118" s="46"/>
      <c r="Q118" s="46"/>
      <c r="R118" s="46"/>
      <c r="S118" s="46"/>
    </row>
    <row r="119">
      <c r="D119" s="46"/>
      <c r="N119" s="46"/>
      <c r="Q119" s="46"/>
      <c r="R119" s="46"/>
      <c r="S119" s="46"/>
    </row>
    <row r="120">
      <c r="D120" s="46"/>
      <c r="N120" s="46"/>
      <c r="Q120" s="46"/>
      <c r="R120" s="46"/>
      <c r="S120" s="46"/>
    </row>
    <row r="121">
      <c r="D121" s="46"/>
      <c r="N121" s="46"/>
      <c r="Q121" s="46"/>
      <c r="R121" s="46"/>
      <c r="S121" s="46"/>
    </row>
    <row r="122">
      <c r="D122" s="46"/>
      <c r="N122" s="46"/>
      <c r="Q122" s="46"/>
      <c r="R122" s="46"/>
      <c r="S122" s="46"/>
    </row>
    <row r="123">
      <c r="D123" s="46"/>
      <c r="N123" s="46"/>
      <c r="Q123" s="46"/>
      <c r="R123" s="46"/>
      <c r="S123" s="46"/>
    </row>
    <row r="124">
      <c r="D124" s="46"/>
      <c r="N124" s="46"/>
      <c r="Q124" s="46"/>
      <c r="R124" s="46"/>
      <c r="S124" s="46"/>
    </row>
    <row r="125">
      <c r="D125" s="46"/>
      <c r="N125" s="46"/>
      <c r="Q125" s="46"/>
      <c r="R125" s="46"/>
      <c r="S125" s="46"/>
    </row>
    <row r="126">
      <c r="D126" s="46"/>
      <c r="N126" s="46"/>
      <c r="Q126" s="46"/>
      <c r="R126" s="46"/>
      <c r="S126" s="46"/>
    </row>
    <row r="127">
      <c r="D127" s="46"/>
      <c r="N127" s="46"/>
      <c r="Q127" s="46"/>
      <c r="R127" s="46"/>
      <c r="S127" s="46"/>
    </row>
    <row r="128">
      <c r="D128" s="46"/>
      <c r="N128" s="46"/>
      <c r="Q128" s="46"/>
      <c r="R128" s="46"/>
      <c r="S128" s="46"/>
    </row>
    <row r="129">
      <c r="D129" s="46"/>
      <c r="N129" s="46"/>
      <c r="Q129" s="46"/>
      <c r="R129" s="46"/>
      <c r="S129" s="46"/>
    </row>
    <row r="130">
      <c r="D130" s="46"/>
      <c r="N130" s="46"/>
      <c r="Q130" s="46"/>
      <c r="R130" s="46"/>
      <c r="S130" s="46"/>
    </row>
    <row r="131">
      <c r="D131" s="46"/>
      <c r="N131" s="46"/>
      <c r="Q131" s="46"/>
      <c r="R131" s="46"/>
      <c r="S131" s="46"/>
    </row>
    <row r="132">
      <c r="D132" s="46"/>
      <c r="N132" s="46"/>
      <c r="Q132" s="46"/>
      <c r="R132" s="46"/>
      <c r="S132" s="46"/>
    </row>
    <row r="133">
      <c r="D133" s="46"/>
      <c r="N133" s="46"/>
      <c r="Q133" s="46"/>
      <c r="R133" s="46"/>
      <c r="S133" s="46"/>
    </row>
    <row r="134">
      <c r="D134" s="46"/>
      <c r="N134" s="46"/>
      <c r="Q134" s="46"/>
      <c r="R134" s="46"/>
      <c r="S134" s="46"/>
    </row>
    <row r="135">
      <c r="D135" s="46"/>
      <c r="N135" s="46"/>
      <c r="Q135" s="46"/>
      <c r="R135" s="46"/>
      <c r="S135" s="46"/>
    </row>
    <row r="136">
      <c r="D136" s="46"/>
      <c r="N136" s="46"/>
      <c r="Q136" s="46"/>
      <c r="R136" s="46"/>
      <c r="S136" s="46"/>
    </row>
    <row r="137">
      <c r="D137" s="46"/>
      <c r="N137" s="46"/>
      <c r="Q137" s="46"/>
      <c r="R137" s="46"/>
      <c r="S137" s="46"/>
    </row>
    <row r="138">
      <c r="D138" s="46"/>
      <c r="N138" s="46"/>
      <c r="Q138" s="46"/>
      <c r="R138" s="46"/>
      <c r="S138" s="46"/>
    </row>
    <row r="139">
      <c r="D139" s="46"/>
      <c r="N139" s="46"/>
      <c r="Q139" s="46"/>
      <c r="R139" s="46"/>
      <c r="S139" s="46"/>
    </row>
    <row r="140">
      <c r="D140" s="46"/>
      <c r="N140" s="46"/>
      <c r="Q140" s="46"/>
      <c r="R140" s="46"/>
      <c r="S140" s="46"/>
    </row>
    <row r="141">
      <c r="D141" s="46"/>
      <c r="N141" s="46"/>
      <c r="Q141" s="46"/>
      <c r="R141" s="46"/>
      <c r="S141" s="46"/>
    </row>
    <row r="142">
      <c r="D142" s="46"/>
      <c r="N142" s="46"/>
      <c r="Q142" s="46"/>
      <c r="R142" s="46"/>
      <c r="S142" s="46"/>
    </row>
    <row r="143">
      <c r="D143" s="46"/>
      <c r="N143" s="46"/>
      <c r="Q143" s="46"/>
      <c r="R143" s="46"/>
      <c r="S143" s="46"/>
    </row>
    <row r="144">
      <c r="D144" s="46"/>
      <c r="N144" s="46"/>
      <c r="Q144" s="46"/>
      <c r="R144" s="46"/>
      <c r="S144" s="46"/>
    </row>
    <row r="145">
      <c r="D145" s="46"/>
      <c r="N145" s="46"/>
      <c r="Q145" s="46"/>
      <c r="R145" s="46"/>
      <c r="S145" s="46"/>
    </row>
    <row r="146">
      <c r="D146" s="46"/>
      <c r="N146" s="46"/>
      <c r="Q146" s="46"/>
      <c r="R146" s="46"/>
      <c r="S146" s="46"/>
    </row>
    <row r="147">
      <c r="D147" s="46"/>
      <c r="N147" s="46"/>
      <c r="Q147" s="46"/>
      <c r="R147" s="46"/>
      <c r="S147" s="46"/>
    </row>
    <row r="148">
      <c r="D148" s="46"/>
      <c r="N148" s="46"/>
      <c r="Q148" s="46"/>
      <c r="R148" s="46"/>
      <c r="S148" s="46"/>
    </row>
    <row r="149">
      <c r="D149" s="46"/>
      <c r="N149" s="46"/>
      <c r="Q149" s="46"/>
      <c r="R149" s="46"/>
      <c r="S149" s="46"/>
    </row>
    <row r="150">
      <c r="D150" s="46"/>
      <c r="N150" s="46"/>
      <c r="Q150" s="46"/>
      <c r="R150" s="46"/>
      <c r="S150" s="46"/>
    </row>
    <row r="151">
      <c r="D151" s="46"/>
      <c r="N151" s="46"/>
      <c r="Q151" s="46"/>
      <c r="R151" s="46"/>
      <c r="S151" s="46"/>
    </row>
    <row r="152">
      <c r="D152" s="46"/>
      <c r="N152" s="46"/>
      <c r="Q152" s="46"/>
      <c r="R152" s="46"/>
      <c r="S152" s="46"/>
    </row>
    <row r="153">
      <c r="D153" s="46"/>
      <c r="N153" s="46"/>
      <c r="Q153" s="46"/>
      <c r="R153" s="46"/>
      <c r="S153" s="46"/>
    </row>
    <row r="154">
      <c r="D154" s="46"/>
      <c r="N154" s="46"/>
      <c r="Q154" s="46"/>
      <c r="R154" s="46"/>
      <c r="S154" s="46"/>
    </row>
    <row r="155">
      <c r="D155" s="46"/>
      <c r="N155" s="46"/>
      <c r="Q155" s="46"/>
      <c r="R155" s="46"/>
      <c r="S155" s="46"/>
    </row>
    <row r="156">
      <c r="D156" s="46"/>
      <c r="N156" s="46"/>
      <c r="Q156" s="46"/>
      <c r="R156" s="46"/>
      <c r="S156" s="46"/>
    </row>
    <row r="157">
      <c r="D157" s="46"/>
      <c r="N157" s="46"/>
      <c r="Q157" s="46"/>
      <c r="R157" s="46"/>
      <c r="S157" s="46"/>
    </row>
    <row r="158">
      <c r="D158" s="46"/>
      <c r="N158" s="46"/>
      <c r="Q158" s="46"/>
      <c r="R158" s="46"/>
      <c r="S158" s="46"/>
    </row>
    <row r="159">
      <c r="D159" s="46"/>
      <c r="N159" s="46"/>
      <c r="Q159" s="46"/>
      <c r="R159" s="46"/>
      <c r="S159" s="46"/>
    </row>
    <row r="160">
      <c r="D160" s="46"/>
      <c r="N160" s="46"/>
      <c r="Q160" s="46"/>
      <c r="R160" s="46"/>
      <c r="S160" s="46"/>
    </row>
    <row r="161">
      <c r="D161" s="46"/>
      <c r="N161" s="46"/>
      <c r="Q161" s="46"/>
      <c r="R161" s="46"/>
      <c r="S161" s="46"/>
    </row>
    <row r="162">
      <c r="D162" s="46"/>
      <c r="N162" s="46"/>
      <c r="Q162" s="46"/>
      <c r="R162" s="46"/>
      <c r="S162" s="46"/>
    </row>
    <row r="163">
      <c r="D163" s="46"/>
      <c r="N163" s="46"/>
      <c r="Q163" s="46"/>
      <c r="R163" s="46"/>
      <c r="S163" s="46"/>
    </row>
    <row r="164">
      <c r="D164" s="46"/>
      <c r="N164" s="46"/>
      <c r="Q164" s="46"/>
      <c r="R164" s="46"/>
      <c r="S164" s="46"/>
    </row>
    <row r="165">
      <c r="D165" s="46"/>
      <c r="N165" s="46"/>
      <c r="Q165" s="46"/>
      <c r="R165" s="46"/>
      <c r="S165" s="46"/>
    </row>
    <row r="166">
      <c r="D166" s="46"/>
      <c r="N166" s="46"/>
      <c r="Q166" s="46"/>
      <c r="R166" s="46"/>
      <c r="S166" s="46"/>
    </row>
    <row r="167">
      <c r="D167" s="46"/>
      <c r="N167" s="46"/>
      <c r="Q167" s="46"/>
      <c r="R167" s="46"/>
      <c r="S167" s="46"/>
    </row>
    <row r="168">
      <c r="D168" s="46"/>
      <c r="N168" s="46"/>
      <c r="Q168" s="46"/>
      <c r="R168" s="46"/>
      <c r="S168" s="46"/>
    </row>
    <row r="169">
      <c r="D169" s="46"/>
      <c r="N169" s="46"/>
      <c r="Q169" s="46"/>
      <c r="R169" s="46"/>
      <c r="S169" s="46"/>
    </row>
    <row r="170">
      <c r="D170" s="46"/>
      <c r="N170" s="46"/>
      <c r="Q170" s="46"/>
      <c r="R170" s="46"/>
      <c r="S170" s="46"/>
    </row>
    <row r="171">
      <c r="D171" s="46"/>
      <c r="N171" s="46"/>
      <c r="Q171" s="46"/>
      <c r="R171" s="46"/>
      <c r="S171" s="46"/>
    </row>
    <row r="172">
      <c r="D172" s="46"/>
      <c r="N172" s="46"/>
      <c r="Q172" s="46"/>
      <c r="R172" s="46"/>
      <c r="S172" s="46"/>
    </row>
    <row r="173">
      <c r="D173" s="46"/>
      <c r="N173" s="46"/>
      <c r="Q173" s="46"/>
      <c r="R173" s="46"/>
      <c r="S173" s="46"/>
    </row>
    <row r="174">
      <c r="D174" s="46"/>
      <c r="N174" s="46"/>
      <c r="Q174" s="46"/>
      <c r="R174" s="46"/>
      <c r="S174" s="46"/>
    </row>
    <row r="175">
      <c r="D175" s="46"/>
      <c r="N175" s="46"/>
      <c r="Q175" s="46"/>
      <c r="R175" s="46"/>
      <c r="S175" s="46"/>
    </row>
    <row r="176">
      <c r="D176" s="46"/>
      <c r="N176" s="46"/>
      <c r="Q176" s="46"/>
      <c r="R176" s="46"/>
      <c r="S176" s="46"/>
    </row>
    <row r="177">
      <c r="D177" s="46"/>
      <c r="N177" s="46"/>
      <c r="Q177" s="46"/>
      <c r="R177" s="46"/>
      <c r="S177" s="46"/>
    </row>
    <row r="178">
      <c r="D178" s="46"/>
      <c r="N178" s="46"/>
      <c r="Q178" s="46"/>
      <c r="R178" s="46"/>
      <c r="S178" s="46"/>
    </row>
    <row r="179">
      <c r="D179" s="46"/>
      <c r="N179" s="46"/>
      <c r="Q179" s="46"/>
      <c r="R179" s="46"/>
      <c r="S179" s="46"/>
    </row>
    <row r="180">
      <c r="D180" s="46"/>
      <c r="N180" s="46"/>
      <c r="Q180" s="46"/>
      <c r="R180" s="46"/>
      <c r="S180" s="46"/>
    </row>
    <row r="181">
      <c r="D181" s="46"/>
      <c r="N181" s="46"/>
      <c r="Q181" s="46"/>
      <c r="R181" s="46"/>
      <c r="S181" s="46"/>
    </row>
    <row r="182">
      <c r="D182" s="46"/>
      <c r="N182" s="46"/>
      <c r="Q182" s="46"/>
      <c r="R182" s="46"/>
      <c r="S182" s="46"/>
    </row>
    <row r="183">
      <c r="D183" s="46"/>
      <c r="N183" s="46"/>
      <c r="Q183" s="46"/>
      <c r="R183" s="46"/>
      <c r="S183" s="46"/>
    </row>
    <row r="184">
      <c r="D184" s="46"/>
      <c r="N184" s="46"/>
      <c r="Q184" s="46"/>
      <c r="R184" s="46"/>
      <c r="S184" s="46"/>
    </row>
    <row r="185">
      <c r="D185" s="46"/>
      <c r="N185" s="46"/>
      <c r="Q185" s="46"/>
      <c r="R185" s="46"/>
      <c r="S185" s="46"/>
    </row>
    <row r="186">
      <c r="D186" s="46"/>
      <c r="N186" s="46"/>
      <c r="Q186" s="46"/>
      <c r="R186" s="46"/>
      <c r="S186" s="46"/>
    </row>
    <row r="187">
      <c r="D187" s="46"/>
      <c r="N187" s="46"/>
      <c r="Q187" s="46"/>
      <c r="R187" s="46"/>
      <c r="S187" s="46"/>
    </row>
    <row r="188">
      <c r="D188" s="46"/>
      <c r="N188" s="46"/>
      <c r="Q188" s="46"/>
      <c r="R188" s="46"/>
      <c r="S188" s="46"/>
    </row>
    <row r="189">
      <c r="D189" s="46"/>
      <c r="N189" s="46"/>
      <c r="Q189" s="46"/>
      <c r="R189" s="46"/>
      <c r="S189" s="46"/>
    </row>
    <row r="190">
      <c r="D190" s="46"/>
      <c r="N190" s="46"/>
      <c r="Q190" s="46"/>
      <c r="R190" s="46"/>
      <c r="S190" s="46"/>
    </row>
    <row r="191">
      <c r="D191" s="46"/>
      <c r="N191" s="46"/>
      <c r="Q191" s="46"/>
      <c r="R191" s="46"/>
      <c r="S191" s="46"/>
    </row>
    <row r="192">
      <c r="D192" s="46"/>
      <c r="N192" s="46"/>
      <c r="Q192" s="46"/>
      <c r="R192" s="46"/>
      <c r="S192" s="46"/>
    </row>
    <row r="193">
      <c r="D193" s="46"/>
      <c r="N193" s="46"/>
      <c r="Q193" s="46"/>
      <c r="R193" s="46"/>
      <c r="S193" s="46"/>
    </row>
    <row r="194">
      <c r="D194" s="46"/>
      <c r="N194" s="46"/>
      <c r="Q194" s="46"/>
      <c r="R194" s="46"/>
      <c r="S194" s="46"/>
    </row>
    <row r="195">
      <c r="D195" s="46"/>
      <c r="N195" s="46"/>
      <c r="Q195" s="46"/>
      <c r="R195" s="46"/>
      <c r="S195" s="46"/>
    </row>
    <row r="196">
      <c r="D196" s="46"/>
      <c r="N196" s="46"/>
      <c r="Q196" s="46"/>
      <c r="R196" s="46"/>
      <c r="S196" s="46"/>
    </row>
    <row r="197">
      <c r="D197" s="46"/>
      <c r="N197" s="46"/>
      <c r="Q197" s="46"/>
      <c r="R197" s="46"/>
      <c r="S197" s="46"/>
    </row>
    <row r="198">
      <c r="D198" s="46"/>
      <c r="N198" s="46"/>
      <c r="Q198" s="46"/>
      <c r="R198" s="46"/>
      <c r="S198" s="46"/>
    </row>
    <row r="199">
      <c r="D199" s="46"/>
      <c r="N199" s="46"/>
      <c r="Q199" s="46"/>
      <c r="R199" s="46"/>
      <c r="S199" s="46"/>
    </row>
    <row r="200">
      <c r="D200" s="46"/>
      <c r="N200" s="46"/>
      <c r="Q200" s="46"/>
      <c r="R200" s="46"/>
      <c r="S200" s="46"/>
    </row>
    <row r="201">
      <c r="D201" s="46"/>
      <c r="N201" s="46"/>
      <c r="Q201" s="46"/>
      <c r="R201" s="46"/>
      <c r="S201" s="46"/>
    </row>
    <row r="202">
      <c r="D202" s="46"/>
      <c r="N202" s="46"/>
      <c r="Q202" s="46"/>
      <c r="R202" s="46"/>
      <c r="S202" s="46"/>
    </row>
    <row r="203">
      <c r="D203" s="46"/>
      <c r="N203" s="46"/>
      <c r="Q203" s="46"/>
      <c r="R203" s="46"/>
      <c r="S203" s="46"/>
    </row>
    <row r="204">
      <c r="D204" s="46"/>
      <c r="N204" s="46"/>
      <c r="Q204" s="46"/>
      <c r="R204" s="46"/>
      <c r="S204" s="46"/>
    </row>
    <row r="205">
      <c r="D205" s="46"/>
      <c r="N205" s="46"/>
      <c r="Q205" s="46"/>
      <c r="R205" s="46"/>
      <c r="S205" s="46"/>
    </row>
    <row r="206">
      <c r="D206" s="46"/>
      <c r="N206" s="46"/>
      <c r="Q206" s="46"/>
      <c r="R206" s="46"/>
      <c r="S206" s="46"/>
    </row>
    <row r="207">
      <c r="D207" s="46"/>
      <c r="N207" s="46"/>
      <c r="Q207" s="46"/>
      <c r="R207" s="46"/>
      <c r="S207" s="46"/>
    </row>
    <row r="208">
      <c r="D208" s="46"/>
      <c r="N208" s="46"/>
      <c r="Q208" s="46"/>
      <c r="R208" s="46"/>
      <c r="S208" s="46"/>
    </row>
    <row r="209">
      <c r="D209" s="46"/>
      <c r="N209" s="46"/>
      <c r="Q209" s="46"/>
      <c r="R209" s="46"/>
      <c r="S209" s="46"/>
    </row>
    <row r="210">
      <c r="D210" s="46"/>
      <c r="N210" s="46"/>
      <c r="Q210" s="46"/>
      <c r="R210" s="46"/>
      <c r="S210" s="46"/>
    </row>
    <row r="211">
      <c r="D211" s="46"/>
      <c r="N211" s="46"/>
      <c r="Q211" s="46"/>
      <c r="R211" s="46"/>
      <c r="S211" s="46"/>
    </row>
    <row r="212">
      <c r="D212" s="46"/>
      <c r="N212" s="46"/>
      <c r="Q212" s="46"/>
      <c r="R212" s="46"/>
      <c r="S212" s="46"/>
    </row>
    <row r="213">
      <c r="D213" s="46"/>
      <c r="N213" s="46"/>
      <c r="Q213" s="46"/>
      <c r="R213" s="46"/>
      <c r="S213" s="46"/>
    </row>
    <row r="214">
      <c r="D214" s="46"/>
      <c r="N214" s="46"/>
      <c r="Q214" s="46"/>
      <c r="R214" s="46"/>
      <c r="S214" s="46"/>
    </row>
    <row r="215">
      <c r="D215" s="46"/>
      <c r="N215" s="46"/>
      <c r="Q215" s="46"/>
      <c r="R215" s="46"/>
      <c r="S215" s="46"/>
    </row>
    <row r="216">
      <c r="D216" s="46"/>
      <c r="N216" s="46"/>
      <c r="Q216" s="46"/>
      <c r="R216" s="46"/>
      <c r="S216" s="46"/>
    </row>
    <row r="217">
      <c r="D217" s="46"/>
      <c r="N217" s="46"/>
      <c r="Q217" s="46"/>
      <c r="R217" s="46"/>
      <c r="S217" s="46"/>
    </row>
    <row r="218">
      <c r="D218" s="46"/>
      <c r="N218" s="46"/>
      <c r="Q218" s="46"/>
      <c r="R218" s="46"/>
      <c r="S218" s="46"/>
    </row>
    <row r="219">
      <c r="D219" s="46"/>
      <c r="N219" s="46"/>
      <c r="Q219" s="46"/>
      <c r="R219" s="46"/>
      <c r="S219" s="46"/>
    </row>
    <row r="220">
      <c r="D220" s="46"/>
      <c r="N220" s="46"/>
      <c r="Q220" s="46"/>
      <c r="R220" s="46"/>
      <c r="S220" s="46"/>
    </row>
    <row r="221">
      <c r="D221" s="46"/>
      <c r="N221" s="46"/>
      <c r="Q221" s="46"/>
      <c r="R221" s="46"/>
      <c r="S221" s="46"/>
    </row>
    <row r="222">
      <c r="D222" s="46"/>
      <c r="N222" s="46"/>
      <c r="Q222" s="46"/>
      <c r="R222" s="46"/>
      <c r="S222" s="46"/>
    </row>
    <row r="223">
      <c r="D223" s="46"/>
      <c r="N223" s="46"/>
      <c r="Q223" s="46"/>
      <c r="R223" s="46"/>
      <c r="S223" s="46"/>
    </row>
    <row r="224">
      <c r="D224" s="46"/>
      <c r="N224" s="46"/>
      <c r="Q224" s="46"/>
      <c r="R224" s="46"/>
      <c r="S224" s="46"/>
    </row>
    <row r="225">
      <c r="D225" s="46"/>
      <c r="N225" s="46"/>
      <c r="Q225" s="46"/>
      <c r="R225" s="46"/>
      <c r="S225" s="46"/>
    </row>
    <row r="226">
      <c r="D226" s="46"/>
      <c r="N226" s="46"/>
      <c r="Q226" s="46"/>
      <c r="R226" s="46"/>
      <c r="S226" s="46"/>
    </row>
    <row r="227">
      <c r="D227" s="46"/>
      <c r="N227" s="46"/>
      <c r="Q227" s="46"/>
      <c r="R227" s="46"/>
      <c r="S227" s="46"/>
    </row>
    <row r="228">
      <c r="D228" s="46"/>
      <c r="N228" s="46"/>
      <c r="Q228" s="46"/>
      <c r="R228" s="46"/>
      <c r="S228" s="46"/>
    </row>
    <row r="229">
      <c r="D229" s="46"/>
      <c r="N229" s="46"/>
      <c r="Q229" s="46"/>
      <c r="R229" s="46"/>
      <c r="S229" s="46"/>
    </row>
    <row r="230">
      <c r="D230" s="46"/>
      <c r="N230" s="46"/>
      <c r="Q230" s="46"/>
      <c r="R230" s="46"/>
      <c r="S230" s="46"/>
    </row>
    <row r="231">
      <c r="D231" s="46"/>
      <c r="N231" s="46"/>
      <c r="Q231" s="46"/>
      <c r="R231" s="46"/>
      <c r="S231" s="46"/>
    </row>
    <row r="232">
      <c r="D232" s="46"/>
      <c r="N232" s="46"/>
      <c r="Q232" s="46"/>
      <c r="R232" s="46"/>
      <c r="S232" s="46"/>
    </row>
    <row r="233">
      <c r="D233" s="46"/>
      <c r="N233" s="46"/>
      <c r="Q233" s="46"/>
      <c r="R233" s="46"/>
      <c r="S233" s="46"/>
    </row>
    <row r="234">
      <c r="D234" s="46"/>
      <c r="N234" s="46"/>
      <c r="Q234" s="46"/>
      <c r="R234" s="46"/>
      <c r="S234" s="46"/>
    </row>
    <row r="235">
      <c r="D235" s="46"/>
      <c r="N235" s="46"/>
      <c r="Q235" s="46"/>
      <c r="R235" s="46"/>
      <c r="S235" s="46"/>
    </row>
    <row r="236">
      <c r="D236" s="46"/>
      <c r="N236" s="46"/>
      <c r="Q236" s="46"/>
      <c r="R236" s="46"/>
      <c r="S236" s="46"/>
    </row>
    <row r="237">
      <c r="D237" s="46"/>
      <c r="N237" s="46"/>
      <c r="Q237" s="46"/>
      <c r="R237" s="46"/>
      <c r="S237" s="46"/>
    </row>
    <row r="238">
      <c r="D238" s="46"/>
      <c r="N238" s="46"/>
      <c r="Q238" s="46"/>
      <c r="R238" s="46"/>
      <c r="S238" s="46"/>
    </row>
    <row r="239">
      <c r="D239" s="46"/>
      <c r="N239" s="46"/>
      <c r="Q239" s="46"/>
      <c r="R239" s="46"/>
      <c r="S239" s="46"/>
    </row>
    <row r="240">
      <c r="D240" s="46"/>
      <c r="N240" s="46"/>
      <c r="Q240" s="46"/>
      <c r="R240" s="46"/>
      <c r="S240" s="46"/>
    </row>
    <row r="241">
      <c r="D241" s="46"/>
      <c r="N241" s="46"/>
      <c r="Q241" s="46"/>
      <c r="R241" s="46"/>
      <c r="S241" s="46"/>
    </row>
    <row r="242">
      <c r="D242" s="46"/>
      <c r="N242" s="46"/>
      <c r="Q242" s="46"/>
      <c r="R242" s="46"/>
      <c r="S242" s="46"/>
    </row>
    <row r="243">
      <c r="D243" s="46"/>
      <c r="N243" s="46"/>
      <c r="Q243" s="46"/>
      <c r="R243" s="46"/>
      <c r="S243" s="46"/>
    </row>
    <row r="244">
      <c r="D244" s="46"/>
      <c r="N244" s="46"/>
      <c r="Q244" s="46"/>
      <c r="R244" s="46"/>
      <c r="S244" s="46"/>
    </row>
    <row r="245">
      <c r="D245" s="46"/>
      <c r="N245" s="46"/>
      <c r="Q245" s="46"/>
      <c r="R245" s="46"/>
      <c r="S245" s="46"/>
    </row>
    <row r="246">
      <c r="D246" s="46"/>
      <c r="N246" s="46"/>
      <c r="Q246" s="46"/>
      <c r="R246" s="46"/>
      <c r="S246" s="46"/>
    </row>
    <row r="247">
      <c r="D247" s="46"/>
      <c r="N247" s="46"/>
      <c r="Q247" s="46"/>
      <c r="R247" s="46"/>
      <c r="S247" s="46"/>
    </row>
    <row r="248">
      <c r="D248" s="46"/>
      <c r="N248" s="46"/>
      <c r="Q248" s="46"/>
      <c r="R248" s="46"/>
      <c r="S248" s="46"/>
    </row>
    <row r="249">
      <c r="D249" s="46"/>
      <c r="N249" s="46"/>
      <c r="Q249" s="46"/>
      <c r="R249" s="46"/>
      <c r="S249" s="46"/>
    </row>
    <row r="250">
      <c r="D250" s="46"/>
      <c r="N250" s="46"/>
      <c r="Q250" s="46"/>
      <c r="R250" s="46"/>
      <c r="S250" s="46"/>
    </row>
    <row r="251">
      <c r="D251" s="46"/>
      <c r="N251" s="46"/>
      <c r="Q251" s="46"/>
      <c r="R251" s="46"/>
      <c r="S251" s="46"/>
    </row>
    <row r="252">
      <c r="D252" s="46"/>
      <c r="N252" s="46"/>
      <c r="Q252" s="46"/>
      <c r="R252" s="46"/>
      <c r="S252" s="46"/>
    </row>
    <row r="253">
      <c r="D253" s="46"/>
      <c r="N253" s="46"/>
      <c r="Q253" s="46"/>
      <c r="R253" s="46"/>
      <c r="S253" s="46"/>
    </row>
    <row r="254">
      <c r="D254" s="46"/>
      <c r="N254" s="46"/>
      <c r="Q254" s="46"/>
      <c r="R254" s="46"/>
      <c r="S254" s="46"/>
    </row>
    <row r="255">
      <c r="D255" s="46"/>
      <c r="N255" s="46"/>
      <c r="Q255" s="46"/>
      <c r="R255" s="46"/>
      <c r="S255" s="46"/>
    </row>
    <row r="256">
      <c r="D256" s="46"/>
      <c r="N256" s="46"/>
      <c r="Q256" s="46"/>
      <c r="R256" s="46"/>
      <c r="S256" s="46"/>
    </row>
    <row r="257">
      <c r="D257" s="46"/>
      <c r="N257" s="46"/>
      <c r="Q257" s="46"/>
      <c r="R257" s="46"/>
      <c r="S257" s="46"/>
    </row>
    <row r="258">
      <c r="D258" s="46"/>
      <c r="N258" s="46"/>
      <c r="Q258" s="46"/>
      <c r="R258" s="46"/>
      <c r="S258" s="46"/>
    </row>
    <row r="259">
      <c r="D259" s="46"/>
      <c r="N259" s="46"/>
      <c r="Q259" s="46"/>
      <c r="R259" s="46"/>
      <c r="S259" s="46"/>
    </row>
    <row r="260">
      <c r="D260" s="46"/>
      <c r="N260" s="46"/>
      <c r="Q260" s="46"/>
      <c r="R260" s="46"/>
      <c r="S260" s="46"/>
    </row>
    <row r="261">
      <c r="D261" s="46"/>
      <c r="N261" s="46"/>
      <c r="Q261" s="46"/>
      <c r="R261" s="46"/>
      <c r="S261" s="46"/>
    </row>
    <row r="262">
      <c r="D262" s="46"/>
      <c r="N262" s="46"/>
      <c r="Q262" s="46"/>
      <c r="R262" s="46"/>
      <c r="S262" s="46"/>
    </row>
    <row r="263">
      <c r="D263" s="46"/>
      <c r="N263" s="46"/>
      <c r="Q263" s="46"/>
      <c r="R263" s="46"/>
      <c r="S263" s="46"/>
    </row>
    <row r="264">
      <c r="D264" s="46"/>
      <c r="N264" s="46"/>
      <c r="Q264" s="46"/>
      <c r="R264" s="46"/>
      <c r="S264" s="46"/>
    </row>
    <row r="265">
      <c r="D265" s="46"/>
      <c r="N265" s="46"/>
      <c r="Q265" s="46"/>
      <c r="R265" s="46"/>
      <c r="S265" s="46"/>
    </row>
    <row r="266">
      <c r="D266" s="46"/>
      <c r="N266" s="46"/>
      <c r="Q266" s="46"/>
      <c r="R266" s="46"/>
      <c r="S266" s="46"/>
    </row>
    <row r="267">
      <c r="D267" s="46"/>
      <c r="N267" s="46"/>
      <c r="Q267" s="46"/>
      <c r="R267" s="46"/>
      <c r="S267" s="46"/>
    </row>
    <row r="268">
      <c r="D268" s="46"/>
      <c r="N268" s="46"/>
      <c r="Q268" s="46"/>
      <c r="R268" s="46"/>
      <c r="S268" s="46"/>
    </row>
    <row r="269">
      <c r="D269" s="46"/>
      <c r="N269" s="46"/>
      <c r="Q269" s="46"/>
      <c r="R269" s="46"/>
      <c r="S269" s="46"/>
    </row>
    <row r="270">
      <c r="D270" s="46"/>
      <c r="N270" s="46"/>
      <c r="Q270" s="46"/>
      <c r="R270" s="46"/>
      <c r="S270" s="46"/>
    </row>
    <row r="271">
      <c r="D271" s="46"/>
      <c r="N271" s="46"/>
      <c r="Q271" s="46"/>
      <c r="R271" s="46"/>
      <c r="S271" s="46"/>
    </row>
    <row r="272">
      <c r="D272" s="46"/>
      <c r="N272" s="46"/>
      <c r="Q272" s="46"/>
      <c r="R272" s="46"/>
      <c r="S272" s="46"/>
    </row>
    <row r="273">
      <c r="D273" s="46"/>
      <c r="N273" s="46"/>
      <c r="Q273" s="46"/>
      <c r="R273" s="46"/>
      <c r="S273" s="46"/>
    </row>
    <row r="274">
      <c r="D274" s="46"/>
      <c r="N274" s="46"/>
      <c r="Q274" s="46"/>
      <c r="R274" s="46"/>
      <c r="S274" s="46"/>
    </row>
    <row r="275">
      <c r="D275" s="46"/>
      <c r="N275" s="46"/>
      <c r="Q275" s="46"/>
      <c r="R275" s="46"/>
      <c r="S275" s="46"/>
    </row>
    <row r="276">
      <c r="D276" s="46"/>
      <c r="N276" s="46"/>
      <c r="Q276" s="46"/>
      <c r="R276" s="46"/>
      <c r="S276" s="46"/>
    </row>
    <row r="277">
      <c r="D277" s="46"/>
      <c r="N277" s="46"/>
      <c r="Q277" s="46"/>
      <c r="R277" s="46"/>
      <c r="S277" s="46"/>
    </row>
    <row r="278">
      <c r="D278" s="46"/>
      <c r="N278" s="46"/>
      <c r="Q278" s="46"/>
      <c r="R278" s="46"/>
      <c r="S278" s="46"/>
    </row>
    <row r="279">
      <c r="D279" s="46"/>
      <c r="N279" s="46"/>
      <c r="Q279" s="46"/>
      <c r="R279" s="46"/>
      <c r="S279" s="46"/>
    </row>
    <row r="280">
      <c r="D280" s="46"/>
      <c r="N280" s="46"/>
      <c r="Q280" s="46"/>
      <c r="R280" s="46"/>
      <c r="S280" s="46"/>
    </row>
    <row r="281">
      <c r="D281" s="46"/>
      <c r="N281" s="46"/>
      <c r="Q281" s="46"/>
      <c r="R281" s="46"/>
      <c r="S281" s="46"/>
    </row>
    <row r="282">
      <c r="D282" s="46"/>
      <c r="N282" s="46"/>
      <c r="Q282" s="46"/>
      <c r="R282" s="46"/>
      <c r="S282" s="46"/>
    </row>
    <row r="283">
      <c r="D283" s="46"/>
      <c r="N283" s="46"/>
      <c r="Q283" s="46"/>
      <c r="R283" s="46"/>
      <c r="S283" s="46"/>
    </row>
    <row r="284">
      <c r="D284" s="46"/>
      <c r="N284" s="46"/>
      <c r="Q284" s="46"/>
      <c r="R284" s="46"/>
      <c r="S284" s="46"/>
    </row>
    <row r="285">
      <c r="D285" s="46"/>
      <c r="N285" s="46"/>
      <c r="Q285" s="46"/>
      <c r="R285" s="46"/>
      <c r="S285" s="46"/>
    </row>
    <row r="286">
      <c r="D286" s="46"/>
      <c r="N286" s="46"/>
      <c r="Q286" s="46"/>
      <c r="R286" s="46"/>
      <c r="S286" s="46"/>
    </row>
    <row r="287">
      <c r="D287" s="46"/>
      <c r="N287" s="46"/>
      <c r="Q287" s="46"/>
      <c r="R287" s="46"/>
      <c r="S287" s="46"/>
    </row>
    <row r="288">
      <c r="D288" s="46"/>
      <c r="N288" s="46"/>
      <c r="Q288" s="46"/>
      <c r="R288" s="46"/>
      <c r="S288" s="46"/>
    </row>
    <row r="289">
      <c r="D289" s="46"/>
      <c r="N289" s="46"/>
      <c r="Q289" s="46"/>
      <c r="R289" s="46"/>
      <c r="S289" s="46"/>
    </row>
    <row r="290">
      <c r="D290" s="46"/>
      <c r="N290" s="46"/>
      <c r="Q290" s="46"/>
      <c r="R290" s="46"/>
      <c r="S290" s="46"/>
    </row>
    <row r="291">
      <c r="D291" s="46"/>
      <c r="N291" s="46"/>
      <c r="Q291" s="46"/>
      <c r="R291" s="46"/>
      <c r="S291" s="46"/>
    </row>
    <row r="292">
      <c r="D292" s="46"/>
      <c r="N292" s="46"/>
      <c r="Q292" s="46"/>
      <c r="R292" s="46"/>
      <c r="S292" s="46"/>
    </row>
    <row r="293">
      <c r="D293" s="46"/>
      <c r="N293" s="46"/>
      <c r="Q293" s="46"/>
      <c r="R293" s="46"/>
      <c r="S293" s="46"/>
    </row>
    <row r="294">
      <c r="D294" s="46"/>
      <c r="N294" s="46"/>
      <c r="Q294" s="46"/>
      <c r="R294" s="46"/>
      <c r="S294" s="46"/>
    </row>
    <row r="295">
      <c r="D295" s="46"/>
      <c r="N295" s="46"/>
      <c r="Q295" s="46"/>
      <c r="R295" s="46"/>
      <c r="S295" s="46"/>
    </row>
    <row r="296">
      <c r="D296" s="46"/>
      <c r="N296" s="46"/>
      <c r="Q296" s="46"/>
      <c r="R296" s="46"/>
      <c r="S296" s="46"/>
    </row>
    <row r="297">
      <c r="D297" s="46"/>
      <c r="N297" s="46"/>
      <c r="Q297" s="46"/>
      <c r="R297" s="46"/>
      <c r="S297" s="46"/>
    </row>
    <row r="298">
      <c r="D298" s="46"/>
      <c r="N298" s="46"/>
      <c r="Q298" s="46"/>
      <c r="R298" s="46"/>
      <c r="S298" s="46"/>
    </row>
    <row r="299">
      <c r="D299" s="46"/>
      <c r="N299" s="46"/>
      <c r="Q299" s="46"/>
      <c r="R299" s="46"/>
      <c r="S299" s="46"/>
    </row>
    <row r="300">
      <c r="D300" s="46"/>
      <c r="N300" s="46"/>
      <c r="Q300" s="46"/>
      <c r="R300" s="46"/>
      <c r="S300" s="46"/>
    </row>
    <row r="301">
      <c r="D301" s="46"/>
      <c r="N301" s="46"/>
      <c r="Q301" s="46"/>
      <c r="R301" s="46"/>
      <c r="S301" s="46"/>
    </row>
    <row r="302">
      <c r="D302" s="46"/>
      <c r="N302" s="46"/>
      <c r="Q302" s="46"/>
      <c r="R302" s="46"/>
      <c r="S302" s="46"/>
    </row>
    <row r="303">
      <c r="D303" s="46"/>
      <c r="N303" s="46"/>
      <c r="Q303" s="46"/>
      <c r="R303" s="46"/>
      <c r="S303" s="46"/>
    </row>
    <row r="304">
      <c r="D304" s="46"/>
      <c r="N304" s="46"/>
      <c r="Q304" s="46"/>
      <c r="R304" s="46"/>
      <c r="S304" s="46"/>
    </row>
    <row r="305">
      <c r="D305" s="46"/>
      <c r="N305" s="46"/>
      <c r="Q305" s="46"/>
      <c r="R305" s="46"/>
      <c r="S305" s="46"/>
    </row>
    <row r="306">
      <c r="D306" s="46"/>
      <c r="N306" s="46"/>
      <c r="Q306" s="46"/>
      <c r="R306" s="46"/>
      <c r="S306" s="46"/>
    </row>
    <row r="307">
      <c r="D307" s="46"/>
      <c r="N307" s="46"/>
      <c r="Q307" s="46"/>
      <c r="R307" s="46"/>
      <c r="S307" s="46"/>
    </row>
    <row r="308">
      <c r="D308" s="46"/>
      <c r="N308" s="46"/>
      <c r="Q308" s="46"/>
      <c r="R308" s="46"/>
      <c r="S308" s="46"/>
    </row>
    <row r="309">
      <c r="D309" s="46"/>
      <c r="N309" s="46"/>
      <c r="Q309" s="46"/>
      <c r="R309" s="46"/>
      <c r="S309" s="46"/>
    </row>
    <row r="310">
      <c r="D310" s="46"/>
      <c r="N310" s="46"/>
      <c r="Q310" s="46"/>
      <c r="R310" s="46"/>
      <c r="S310" s="46"/>
    </row>
    <row r="311">
      <c r="D311" s="46"/>
      <c r="N311" s="46"/>
      <c r="Q311" s="46"/>
      <c r="R311" s="46"/>
      <c r="S311" s="46"/>
    </row>
    <row r="312">
      <c r="D312" s="46"/>
      <c r="N312" s="46"/>
      <c r="Q312" s="46"/>
      <c r="R312" s="46"/>
      <c r="S312" s="46"/>
    </row>
    <row r="313">
      <c r="D313" s="46"/>
      <c r="N313" s="46"/>
      <c r="Q313" s="46"/>
      <c r="R313" s="46"/>
      <c r="S313" s="46"/>
    </row>
    <row r="314">
      <c r="D314" s="46"/>
      <c r="N314" s="46"/>
      <c r="Q314" s="46"/>
      <c r="R314" s="46"/>
      <c r="S314" s="46"/>
    </row>
    <row r="315">
      <c r="D315" s="46"/>
      <c r="N315" s="46"/>
      <c r="Q315" s="46"/>
      <c r="R315" s="46"/>
      <c r="S315" s="46"/>
    </row>
    <row r="316">
      <c r="D316" s="46"/>
      <c r="N316" s="46"/>
      <c r="Q316" s="46"/>
      <c r="R316" s="46"/>
      <c r="S316" s="46"/>
    </row>
    <row r="317">
      <c r="D317" s="46"/>
      <c r="N317" s="46"/>
      <c r="Q317" s="46"/>
      <c r="R317" s="46"/>
      <c r="S317" s="46"/>
    </row>
    <row r="318">
      <c r="D318" s="46"/>
      <c r="N318" s="46"/>
      <c r="Q318" s="46"/>
      <c r="R318" s="46"/>
      <c r="S318" s="46"/>
    </row>
    <row r="319">
      <c r="D319" s="46"/>
      <c r="N319" s="46"/>
      <c r="Q319" s="46"/>
      <c r="R319" s="46"/>
      <c r="S319" s="46"/>
    </row>
    <row r="320">
      <c r="D320" s="46"/>
      <c r="N320" s="46"/>
      <c r="Q320" s="46"/>
      <c r="R320" s="46"/>
      <c r="S320" s="46"/>
    </row>
    <row r="321">
      <c r="D321" s="46"/>
      <c r="N321" s="46"/>
      <c r="Q321" s="46"/>
      <c r="R321" s="46"/>
      <c r="S321" s="46"/>
    </row>
    <row r="322">
      <c r="D322" s="46"/>
      <c r="N322" s="46"/>
      <c r="Q322" s="46"/>
      <c r="R322" s="46"/>
      <c r="S322" s="46"/>
    </row>
    <row r="323">
      <c r="D323" s="46"/>
      <c r="N323" s="46"/>
      <c r="Q323" s="46"/>
      <c r="R323" s="46"/>
      <c r="S323" s="46"/>
    </row>
    <row r="324">
      <c r="D324" s="46"/>
      <c r="N324" s="46"/>
      <c r="Q324" s="46"/>
      <c r="R324" s="46"/>
      <c r="S324" s="46"/>
    </row>
    <row r="325">
      <c r="D325" s="46"/>
      <c r="N325" s="46"/>
      <c r="Q325" s="46"/>
      <c r="R325" s="46"/>
      <c r="S325" s="46"/>
    </row>
    <row r="326">
      <c r="D326" s="46"/>
      <c r="N326" s="46"/>
      <c r="Q326" s="46"/>
      <c r="R326" s="46"/>
      <c r="S326" s="46"/>
    </row>
    <row r="327">
      <c r="D327" s="46"/>
      <c r="N327" s="46"/>
      <c r="Q327" s="46"/>
      <c r="R327" s="46"/>
      <c r="S327" s="46"/>
    </row>
    <row r="328">
      <c r="D328" s="46"/>
      <c r="N328" s="46"/>
      <c r="Q328" s="46"/>
      <c r="R328" s="46"/>
      <c r="S328" s="46"/>
    </row>
    <row r="329">
      <c r="D329" s="46"/>
      <c r="N329" s="46"/>
      <c r="Q329" s="46"/>
      <c r="R329" s="46"/>
      <c r="S329" s="46"/>
    </row>
    <row r="330">
      <c r="D330" s="46"/>
      <c r="N330" s="46"/>
      <c r="Q330" s="46"/>
      <c r="R330" s="46"/>
      <c r="S330" s="46"/>
    </row>
    <row r="331">
      <c r="D331" s="46"/>
      <c r="N331" s="46"/>
      <c r="Q331" s="46"/>
      <c r="R331" s="46"/>
      <c r="S331" s="46"/>
    </row>
    <row r="332">
      <c r="D332" s="46"/>
      <c r="N332" s="46"/>
      <c r="Q332" s="46"/>
      <c r="R332" s="46"/>
      <c r="S332" s="46"/>
    </row>
    <row r="333">
      <c r="D333" s="46"/>
      <c r="N333" s="46"/>
      <c r="Q333" s="46"/>
      <c r="R333" s="46"/>
      <c r="S333" s="46"/>
    </row>
    <row r="334">
      <c r="D334" s="46"/>
      <c r="N334" s="46"/>
      <c r="Q334" s="46"/>
      <c r="R334" s="46"/>
      <c r="S334" s="46"/>
    </row>
    <row r="335">
      <c r="D335" s="46"/>
      <c r="N335" s="46"/>
      <c r="Q335" s="46"/>
      <c r="R335" s="46"/>
      <c r="S335" s="46"/>
    </row>
    <row r="336">
      <c r="D336" s="46"/>
      <c r="N336" s="46"/>
      <c r="Q336" s="46"/>
      <c r="R336" s="46"/>
      <c r="S336" s="46"/>
    </row>
    <row r="337">
      <c r="D337" s="46"/>
      <c r="N337" s="46"/>
      <c r="Q337" s="46"/>
      <c r="R337" s="46"/>
      <c r="S337" s="46"/>
    </row>
    <row r="338">
      <c r="D338" s="46"/>
      <c r="N338" s="46"/>
      <c r="Q338" s="46"/>
      <c r="R338" s="46"/>
      <c r="S338" s="46"/>
    </row>
    <row r="339">
      <c r="D339" s="46"/>
      <c r="N339" s="46"/>
      <c r="Q339" s="46"/>
      <c r="R339" s="46"/>
      <c r="S339" s="46"/>
    </row>
    <row r="340">
      <c r="D340" s="46"/>
      <c r="N340" s="46"/>
      <c r="Q340" s="46"/>
      <c r="R340" s="46"/>
      <c r="S340" s="46"/>
    </row>
    <row r="341">
      <c r="D341" s="46"/>
      <c r="N341" s="46"/>
      <c r="Q341" s="46"/>
      <c r="R341" s="46"/>
      <c r="S341" s="46"/>
    </row>
    <row r="342">
      <c r="D342" s="46"/>
      <c r="N342" s="46"/>
      <c r="Q342" s="46"/>
      <c r="R342" s="46"/>
      <c r="S342" s="46"/>
    </row>
    <row r="343">
      <c r="D343" s="46"/>
      <c r="N343" s="46"/>
      <c r="Q343" s="46"/>
      <c r="R343" s="46"/>
      <c r="S343" s="46"/>
    </row>
    <row r="344">
      <c r="D344" s="46"/>
      <c r="N344" s="46"/>
      <c r="Q344" s="46"/>
      <c r="R344" s="46"/>
      <c r="S344" s="46"/>
    </row>
    <row r="345">
      <c r="D345" s="46"/>
      <c r="N345" s="46"/>
      <c r="Q345" s="46"/>
      <c r="R345" s="46"/>
      <c r="S345" s="46"/>
    </row>
    <row r="346">
      <c r="D346" s="46"/>
      <c r="N346" s="46"/>
      <c r="Q346" s="46"/>
      <c r="R346" s="46"/>
      <c r="S346" s="46"/>
    </row>
    <row r="347">
      <c r="D347" s="46"/>
      <c r="N347" s="46"/>
      <c r="Q347" s="46"/>
      <c r="R347" s="46"/>
      <c r="S347" s="46"/>
    </row>
    <row r="348">
      <c r="D348" s="46"/>
      <c r="N348" s="46"/>
      <c r="Q348" s="46"/>
      <c r="R348" s="46"/>
      <c r="S348" s="46"/>
    </row>
    <row r="349">
      <c r="D349" s="46"/>
      <c r="N349" s="46"/>
      <c r="Q349" s="46"/>
      <c r="R349" s="46"/>
      <c r="S349" s="46"/>
    </row>
    <row r="350">
      <c r="D350" s="46"/>
      <c r="N350" s="46"/>
      <c r="Q350" s="46"/>
      <c r="R350" s="46"/>
      <c r="S350" s="46"/>
    </row>
    <row r="351">
      <c r="D351" s="46"/>
      <c r="N351" s="46"/>
      <c r="Q351" s="46"/>
      <c r="R351" s="46"/>
      <c r="S351" s="46"/>
    </row>
    <row r="352">
      <c r="D352" s="46"/>
      <c r="N352" s="46"/>
      <c r="Q352" s="46"/>
      <c r="R352" s="46"/>
      <c r="S352" s="46"/>
    </row>
    <row r="353">
      <c r="D353" s="46"/>
      <c r="N353" s="46"/>
      <c r="Q353" s="46"/>
      <c r="R353" s="46"/>
      <c r="S353" s="46"/>
    </row>
    <row r="354">
      <c r="D354" s="46"/>
      <c r="N354" s="46"/>
      <c r="Q354" s="46"/>
      <c r="R354" s="46"/>
      <c r="S354" s="46"/>
    </row>
    <row r="355">
      <c r="D355" s="46"/>
      <c r="N355" s="46"/>
      <c r="Q355" s="46"/>
      <c r="R355" s="46"/>
      <c r="S355" s="46"/>
    </row>
    <row r="356">
      <c r="D356" s="46"/>
      <c r="N356" s="46"/>
      <c r="Q356" s="46"/>
      <c r="R356" s="46"/>
      <c r="S356" s="46"/>
    </row>
    <row r="357">
      <c r="D357" s="46"/>
      <c r="N357" s="46"/>
      <c r="Q357" s="46"/>
      <c r="R357" s="46"/>
      <c r="S357" s="46"/>
    </row>
    <row r="358">
      <c r="D358" s="46"/>
      <c r="N358" s="46"/>
      <c r="Q358" s="46"/>
      <c r="R358" s="46"/>
      <c r="S358" s="46"/>
    </row>
    <row r="359">
      <c r="D359" s="46"/>
      <c r="N359" s="46"/>
      <c r="Q359" s="46"/>
      <c r="R359" s="46"/>
      <c r="S359" s="46"/>
    </row>
    <row r="360">
      <c r="D360" s="46"/>
      <c r="N360" s="46"/>
      <c r="Q360" s="46"/>
      <c r="R360" s="46"/>
      <c r="S360" s="46"/>
    </row>
    <row r="361">
      <c r="D361" s="46"/>
      <c r="N361" s="46"/>
      <c r="Q361" s="46"/>
      <c r="R361" s="46"/>
      <c r="S361" s="46"/>
    </row>
    <row r="362">
      <c r="D362" s="46"/>
      <c r="N362" s="46"/>
      <c r="Q362" s="46"/>
      <c r="R362" s="46"/>
      <c r="S362" s="46"/>
    </row>
    <row r="363">
      <c r="D363" s="46"/>
      <c r="N363" s="46"/>
      <c r="Q363" s="46"/>
      <c r="R363" s="46"/>
      <c r="S363" s="46"/>
    </row>
    <row r="364">
      <c r="D364" s="46"/>
      <c r="N364" s="46"/>
      <c r="Q364" s="46"/>
      <c r="R364" s="46"/>
      <c r="S364" s="46"/>
    </row>
    <row r="365">
      <c r="D365" s="46"/>
      <c r="N365" s="46"/>
      <c r="Q365" s="46"/>
      <c r="R365" s="46"/>
      <c r="S365" s="46"/>
    </row>
    <row r="366">
      <c r="D366" s="46"/>
      <c r="N366" s="46"/>
      <c r="Q366" s="46"/>
      <c r="R366" s="46"/>
      <c r="S366" s="46"/>
    </row>
    <row r="367">
      <c r="D367" s="46"/>
      <c r="N367" s="46"/>
      <c r="Q367" s="46"/>
      <c r="R367" s="46"/>
      <c r="S367" s="46"/>
    </row>
    <row r="368">
      <c r="D368" s="46"/>
      <c r="N368" s="46"/>
      <c r="Q368" s="46"/>
      <c r="R368" s="46"/>
      <c r="S368" s="46"/>
    </row>
    <row r="369">
      <c r="D369" s="46"/>
      <c r="N369" s="46"/>
      <c r="Q369" s="46"/>
      <c r="R369" s="46"/>
      <c r="S369" s="46"/>
    </row>
    <row r="370">
      <c r="D370" s="46"/>
      <c r="N370" s="46"/>
      <c r="Q370" s="46"/>
      <c r="R370" s="46"/>
      <c r="S370" s="46"/>
    </row>
    <row r="371">
      <c r="D371" s="46"/>
      <c r="N371" s="46"/>
      <c r="Q371" s="46"/>
      <c r="R371" s="46"/>
      <c r="S371" s="46"/>
    </row>
    <row r="372">
      <c r="D372" s="46"/>
      <c r="N372" s="46"/>
      <c r="Q372" s="46"/>
      <c r="R372" s="46"/>
      <c r="S372" s="46"/>
    </row>
    <row r="373">
      <c r="D373" s="46"/>
      <c r="N373" s="46"/>
      <c r="Q373" s="46"/>
      <c r="R373" s="46"/>
      <c r="S373" s="46"/>
    </row>
    <row r="374">
      <c r="D374" s="46"/>
      <c r="N374" s="46"/>
      <c r="Q374" s="46"/>
      <c r="R374" s="46"/>
      <c r="S374" s="46"/>
    </row>
    <row r="375">
      <c r="D375" s="46"/>
      <c r="N375" s="46"/>
      <c r="Q375" s="46"/>
      <c r="R375" s="46"/>
      <c r="S375" s="46"/>
    </row>
    <row r="376">
      <c r="D376" s="46"/>
      <c r="N376" s="46"/>
      <c r="Q376" s="46"/>
      <c r="R376" s="46"/>
      <c r="S376" s="46"/>
    </row>
    <row r="377">
      <c r="D377" s="46"/>
      <c r="N377" s="46"/>
      <c r="Q377" s="46"/>
      <c r="R377" s="46"/>
      <c r="S377" s="46"/>
    </row>
    <row r="378">
      <c r="D378" s="46"/>
      <c r="N378" s="46"/>
      <c r="Q378" s="46"/>
      <c r="R378" s="46"/>
      <c r="S378" s="46"/>
    </row>
    <row r="379">
      <c r="D379" s="46"/>
      <c r="N379" s="46"/>
      <c r="Q379" s="46"/>
      <c r="R379" s="46"/>
      <c r="S379" s="46"/>
    </row>
    <row r="380">
      <c r="D380" s="46"/>
      <c r="N380" s="46"/>
      <c r="Q380" s="46"/>
      <c r="R380" s="46"/>
      <c r="S380" s="46"/>
    </row>
    <row r="381">
      <c r="D381" s="46"/>
      <c r="N381" s="46"/>
      <c r="Q381" s="46"/>
      <c r="R381" s="46"/>
      <c r="S381" s="46"/>
    </row>
    <row r="382">
      <c r="D382" s="46"/>
      <c r="N382" s="46"/>
      <c r="Q382" s="46"/>
      <c r="R382" s="46"/>
      <c r="S382" s="46"/>
    </row>
    <row r="383">
      <c r="D383" s="46"/>
      <c r="N383" s="46"/>
      <c r="Q383" s="46"/>
      <c r="R383" s="46"/>
      <c r="S383" s="46"/>
    </row>
    <row r="384">
      <c r="D384" s="46"/>
      <c r="N384" s="46"/>
      <c r="Q384" s="46"/>
      <c r="R384" s="46"/>
      <c r="S384" s="46"/>
    </row>
    <row r="385">
      <c r="D385" s="46"/>
      <c r="N385" s="46"/>
      <c r="Q385" s="46"/>
      <c r="R385" s="46"/>
      <c r="S385" s="46"/>
    </row>
    <row r="386">
      <c r="D386" s="46"/>
      <c r="N386" s="46"/>
      <c r="Q386" s="46"/>
      <c r="R386" s="46"/>
      <c r="S386" s="46"/>
    </row>
    <row r="387">
      <c r="D387" s="46"/>
      <c r="N387" s="46"/>
      <c r="Q387" s="46"/>
      <c r="R387" s="46"/>
      <c r="S387" s="46"/>
    </row>
    <row r="388">
      <c r="D388" s="46"/>
      <c r="N388" s="46"/>
      <c r="Q388" s="46"/>
      <c r="R388" s="46"/>
      <c r="S388" s="46"/>
    </row>
    <row r="389">
      <c r="D389" s="46"/>
      <c r="N389" s="46"/>
      <c r="Q389" s="46"/>
      <c r="R389" s="46"/>
      <c r="S389" s="46"/>
    </row>
    <row r="390">
      <c r="D390" s="46"/>
      <c r="N390" s="46"/>
      <c r="Q390" s="46"/>
      <c r="R390" s="46"/>
      <c r="S390" s="46"/>
    </row>
    <row r="391">
      <c r="D391" s="46"/>
      <c r="N391" s="46"/>
      <c r="Q391" s="46"/>
      <c r="R391" s="46"/>
      <c r="S391" s="46"/>
    </row>
    <row r="392">
      <c r="D392" s="46"/>
      <c r="N392" s="46"/>
      <c r="Q392" s="46"/>
      <c r="R392" s="46"/>
      <c r="S392" s="46"/>
    </row>
    <row r="393">
      <c r="D393" s="46"/>
      <c r="N393" s="46"/>
      <c r="Q393" s="46"/>
      <c r="R393" s="46"/>
      <c r="S393" s="46"/>
    </row>
    <row r="394">
      <c r="D394" s="46"/>
      <c r="N394" s="46"/>
      <c r="Q394" s="46"/>
      <c r="R394" s="46"/>
      <c r="S394" s="46"/>
    </row>
    <row r="395">
      <c r="D395" s="46"/>
      <c r="N395" s="46"/>
      <c r="Q395" s="46"/>
      <c r="R395" s="46"/>
      <c r="S395" s="46"/>
    </row>
    <row r="396">
      <c r="D396" s="46"/>
      <c r="N396" s="46"/>
      <c r="Q396" s="46"/>
      <c r="R396" s="46"/>
      <c r="S396" s="46"/>
    </row>
    <row r="397">
      <c r="D397" s="46"/>
      <c r="N397" s="46"/>
      <c r="Q397" s="46"/>
      <c r="R397" s="46"/>
      <c r="S397" s="46"/>
    </row>
    <row r="398">
      <c r="D398" s="46"/>
      <c r="N398" s="46"/>
      <c r="Q398" s="46"/>
      <c r="R398" s="46"/>
      <c r="S398" s="46"/>
    </row>
    <row r="399">
      <c r="D399" s="46"/>
      <c r="N399" s="46"/>
      <c r="Q399" s="46"/>
      <c r="R399" s="46"/>
      <c r="S399" s="46"/>
    </row>
    <row r="400">
      <c r="D400" s="46"/>
      <c r="N400" s="46"/>
      <c r="Q400" s="46"/>
      <c r="R400" s="46"/>
      <c r="S400" s="46"/>
    </row>
    <row r="401">
      <c r="D401" s="46"/>
      <c r="N401" s="46"/>
      <c r="Q401" s="46"/>
      <c r="R401" s="46"/>
      <c r="S401" s="46"/>
    </row>
    <row r="402">
      <c r="D402" s="46"/>
      <c r="N402" s="46"/>
      <c r="Q402" s="46"/>
      <c r="R402" s="46"/>
      <c r="S402" s="46"/>
    </row>
    <row r="403">
      <c r="D403" s="46"/>
      <c r="N403" s="46"/>
      <c r="Q403" s="46"/>
      <c r="R403" s="46"/>
      <c r="S403" s="46"/>
    </row>
    <row r="404">
      <c r="D404" s="46"/>
      <c r="N404" s="46"/>
      <c r="Q404" s="46"/>
      <c r="R404" s="46"/>
      <c r="S404" s="46"/>
    </row>
    <row r="405">
      <c r="D405" s="46"/>
      <c r="N405" s="46"/>
      <c r="Q405" s="46"/>
      <c r="R405" s="46"/>
      <c r="S405" s="46"/>
    </row>
    <row r="406">
      <c r="D406" s="46"/>
      <c r="N406" s="46"/>
      <c r="Q406" s="46"/>
      <c r="R406" s="46"/>
      <c r="S406" s="46"/>
    </row>
    <row r="407">
      <c r="D407" s="46"/>
      <c r="N407" s="46"/>
      <c r="Q407" s="46"/>
      <c r="R407" s="46"/>
      <c r="S407" s="46"/>
    </row>
    <row r="408">
      <c r="D408" s="46"/>
      <c r="N408" s="46"/>
      <c r="Q408" s="46"/>
      <c r="R408" s="46"/>
      <c r="S408" s="46"/>
    </row>
    <row r="409">
      <c r="D409" s="46"/>
      <c r="N409" s="46"/>
      <c r="Q409" s="46"/>
      <c r="R409" s="46"/>
      <c r="S409" s="46"/>
    </row>
    <row r="410">
      <c r="D410" s="46"/>
      <c r="N410" s="46"/>
      <c r="Q410" s="46"/>
      <c r="R410" s="46"/>
      <c r="S410" s="46"/>
    </row>
    <row r="411">
      <c r="D411" s="46"/>
      <c r="N411" s="46"/>
      <c r="Q411" s="46"/>
      <c r="R411" s="46"/>
      <c r="S411" s="46"/>
    </row>
    <row r="412">
      <c r="D412" s="46"/>
      <c r="N412" s="46"/>
      <c r="Q412" s="46"/>
      <c r="R412" s="46"/>
      <c r="S412" s="46"/>
    </row>
    <row r="413">
      <c r="D413" s="46"/>
      <c r="N413" s="46"/>
      <c r="Q413" s="46"/>
      <c r="R413" s="46"/>
      <c r="S413" s="46"/>
    </row>
    <row r="414">
      <c r="D414" s="46"/>
      <c r="N414" s="46"/>
      <c r="Q414" s="46"/>
      <c r="R414" s="46"/>
      <c r="S414" s="46"/>
    </row>
    <row r="415">
      <c r="D415" s="46"/>
      <c r="N415" s="46"/>
      <c r="Q415" s="46"/>
      <c r="R415" s="46"/>
      <c r="S415" s="46"/>
    </row>
    <row r="416">
      <c r="D416" s="46"/>
      <c r="N416" s="46"/>
      <c r="Q416" s="46"/>
      <c r="R416" s="46"/>
      <c r="S416" s="46"/>
    </row>
    <row r="417">
      <c r="D417" s="46"/>
      <c r="N417" s="46"/>
      <c r="Q417" s="46"/>
      <c r="R417" s="46"/>
      <c r="S417" s="46"/>
    </row>
    <row r="418">
      <c r="D418" s="46"/>
      <c r="N418" s="46"/>
      <c r="Q418" s="46"/>
      <c r="R418" s="46"/>
      <c r="S418" s="46"/>
    </row>
    <row r="419">
      <c r="D419" s="46"/>
      <c r="N419" s="46"/>
      <c r="Q419" s="46"/>
      <c r="R419" s="46"/>
      <c r="S419" s="46"/>
    </row>
    <row r="420">
      <c r="D420" s="46"/>
      <c r="N420" s="46"/>
      <c r="Q420" s="46"/>
      <c r="R420" s="46"/>
      <c r="S420" s="46"/>
    </row>
    <row r="421">
      <c r="D421" s="46"/>
      <c r="N421" s="46"/>
      <c r="Q421" s="46"/>
      <c r="R421" s="46"/>
      <c r="S421" s="46"/>
    </row>
    <row r="422">
      <c r="D422" s="46"/>
      <c r="N422" s="46"/>
      <c r="Q422" s="46"/>
      <c r="R422" s="46"/>
      <c r="S422" s="46"/>
    </row>
    <row r="423">
      <c r="D423" s="46"/>
      <c r="N423" s="46"/>
      <c r="Q423" s="46"/>
      <c r="R423" s="46"/>
      <c r="S423" s="46"/>
    </row>
    <row r="424">
      <c r="D424" s="46"/>
      <c r="N424" s="46"/>
      <c r="Q424" s="46"/>
      <c r="R424" s="46"/>
      <c r="S424" s="46"/>
    </row>
    <row r="425">
      <c r="D425" s="46"/>
      <c r="N425" s="46"/>
      <c r="Q425" s="46"/>
      <c r="R425" s="46"/>
      <c r="S425" s="46"/>
    </row>
    <row r="426">
      <c r="D426" s="46"/>
      <c r="N426" s="46"/>
      <c r="Q426" s="46"/>
      <c r="R426" s="46"/>
      <c r="S426" s="46"/>
    </row>
    <row r="427">
      <c r="D427" s="46"/>
      <c r="N427" s="46"/>
      <c r="Q427" s="46"/>
      <c r="R427" s="46"/>
      <c r="S427" s="46"/>
    </row>
    <row r="428">
      <c r="D428" s="46"/>
      <c r="N428" s="46"/>
      <c r="Q428" s="46"/>
      <c r="R428" s="46"/>
      <c r="S428" s="46"/>
    </row>
    <row r="429">
      <c r="D429" s="46"/>
      <c r="N429" s="46"/>
      <c r="Q429" s="46"/>
      <c r="R429" s="46"/>
      <c r="S429" s="46"/>
    </row>
    <row r="430">
      <c r="D430" s="46"/>
      <c r="N430" s="46"/>
      <c r="Q430" s="46"/>
      <c r="R430" s="46"/>
      <c r="S430" s="46"/>
    </row>
    <row r="431">
      <c r="D431" s="46"/>
      <c r="N431" s="46"/>
      <c r="Q431" s="46"/>
      <c r="R431" s="46"/>
      <c r="S431" s="46"/>
    </row>
    <row r="432">
      <c r="D432" s="46"/>
      <c r="N432" s="46"/>
      <c r="Q432" s="46"/>
      <c r="R432" s="46"/>
      <c r="S432" s="46"/>
    </row>
    <row r="433">
      <c r="D433" s="46"/>
      <c r="N433" s="46"/>
      <c r="Q433" s="46"/>
      <c r="R433" s="46"/>
      <c r="S433" s="46"/>
    </row>
    <row r="434">
      <c r="D434" s="46"/>
      <c r="N434" s="46"/>
      <c r="Q434" s="46"/>
      <c r="R434" s="46"/>
      <c r="S434" s="46"/>
    </row>
    <row r="435">
      <c r="D435" s="46"/>
      <c r="N435" s="46"/>
      <c r="Q435" s="46"/>
      <c r="R435" s="46"/>
      <c r="S435" s="46"/>
    </row>
    <row r="436">
      <c r="D436" s="46"/>
      <c r="N436" s="46"/>
      <c r="Q436" s="46"/>
      <c r="R436" s="46"/>
      <c r="S436" s="46"/>
    </row>
    <row r="437">
      <c r="D437" s="46"/>
      <c r="N437" s="46"/>
      <c r="Q437" s="46"/>
      <c r="R437" s="46"/>
      <c r="S437" s="46"/>
    </row>
    <row r="438">
      <c r="D438" s="46"/>
      <c r="N438" s="46"/>
      <c r="Q438" s="46"/>
      <c r="R438" s="46"/>
      <c r="S438" s="46"/>
    </row>
    <row r="439">
      <c r="D439" s="46"/>
      <c r="N439" s="46"/>
      <c r="Q439" s="46"/>
      <c r="R439" s="46"/>
      <c r="S439" s="46"/>
    </row>
    <row r="440">
      <c r="D440" s="46"/>
      <c r="N440" s="46"/>
      <c r="Q440" s="46"/>
      <c r="R440" s="46"/>
      <c r="S440" s="46"/>
    </row>
    <row r="441">
      <c r="D441" s="46"/>
      <c r="N441" s="46"/>
      <c r="Q441" s="46"/>
      <c r="R441" s="46"/>
      <c r="S441" s="46"/>
    </row>
    <row r="442">
      <c r="D442" s="46"/>
      <c r="N442" s="46"/>
      <c r="Q442" s="46"/>
      <c r="R442" s="46"/>
      <c r="S442" s="46"/>
    </row>
    <row r="443">
      <c r="D443" s="46"/>
      <c r="N443" s="46"/>
      <c r="Q443" s="46"/>
      <c r="R443" s="46"/>
      <c r="S443" s="46"/>
    </row>
    <row r="444">
      <c r="D444" s="46"/>
      <c r="N444" s="46"/>
      <c r="Q444" s="46"/>
      <c r="R444" s="46"/>
      <c r="S444" s="46"/>
    </row>
    <row r="445">
      <c r="D445" s="46"/>
      <c r="N445" s="46"/>
      <c r="Q445" s="46"/>
      <c r="R445" s="46"/>
      <c r="S445" s="46"/>
    </row>
    <row r="446">
      <c r="D446" s="46"/>
      <c r="N446" s="46"/>
      <c r="Q446" s="46"/>
      <c r="R446" s="46"/>
      <c r="S446" s="46"/>
    </row>
    <row r="447">
      <c r="D447" s="46"/>
      <c r="N447" s="46"/>
      <c r="Q447" s="46"/>
      <c r="R447" s="46"/>
      <c r="S447" s="46"/>
    </row>
    <row r="448">
      <c r="D448" s="46"/>
      <c r="N448" s="46"/>
      <c r="Q448" s="46"/>
      <c r="R448" s="46"/>
      <c r="S448" s="46"/>
    </row>
    <row r="449">
      <c r="D449" s="46"/>
      <c r="N449" s="46"/>
      <c r="Q449" s="46"/>
      <c r="R449" s="46"/>
      <c r="S449" s="46"/>
    </row>
    <row r="450">
      <c r="D450" s="46"/>
      <c r="N450" s="46"/>
      <c r="Q450" s="46"/>
      <c r="R450" s="46"/>
      <c r="S450" s="46"/>
    </row>
    <row r="451">
      <c r="D451" s="46"/>
      <c r="N451" s="46"/>
      <c r="Q451" s="46"/>
      <c r="R451" s="46"/>
      <c r="S451" s="46"/>
    </row>
    <row r="452">
      <c r="D452" s="46"/>
      <c r="N452" s="46"/>
      <c r="Q452" s="46"/>
      <c r="R452" s="46"/>
      <c r="S452" s="46"/>
    </row>
    <row r="453">
      <c r="D453" s="46"/>
      <c r="N453" s="46"/>
      <c r="Q453" s="46"/>
      <c r="R453" s="46"/>
      <c r="S453" s="46"/>
    </row>
    <row r="454">
      <c r="D454" s="46"/>
      <c r="N454" s="46"/>
      <c r="Q454" s="46"/>
      <c r="R454" s="46"/>
      <c r="S454" s="46"/>
    </row>
    <row r="455">
      <c r="D455" s="46"/>
      <c r="N455" s="46"/>
      <c r="Q455" s="46"/>
      <c r="R455" s="46"/>
      <c r="S455" s="46"/>
    </row>
    <row r="456">
      <c r="D456" s="46"/>
      <c r="N456" s="46"/>
      <c r="Q456" s="46"/>
      <c r="R456" s="46"/>
      <c r="S456" s="46"/>
    </row>
    <row r="457">
      <c r="D457" s="46"/>
      <c r="N457" s="46"/>
      <c r="Q457" s="46"/>
      <c r="R457" s="46"/>
      <c r="S457" s="46"/>
    </row>
    <row r="458">
      <c r="D458" s="46"/>
      <c r="N458" s="46"/>
      <c r="Q458" s="46"/>
      <c r="R458" s="46"/>
      <c r="S458" s="46"/>
    </row>
    <row r="459">
      <c r="D459" s="46"/>
      <c r="N459" s="46"/>
      <c r="Q459" s="46"/>
      <c r="R459" s="46"/>
      <c r="S459" s="46"/>
    </row>
    <row r="460">
      <c r="D460" s="46"/>
      <c r="N460" s="46"/>
      <c r="Q460" s="46"/>
      <c r="R460" s="46"/>
      <c r="S460" s="46"/>
    </row>
    <row r="461">
      <c r="D461" s="46"/>
      <c r="N461" s="46"/>
      <c r="Q461" s="46"/>
      <c r="R461" s="46"/>
      <c r="S461" s="46"/>
    </row>
    <row r="462">
      <c r="D462" s="46"/>
      <c r="N462" s="46"/>
      <c r="Q462" s="46"/>
      <c r="R462" s="46"/>
      <c r="S462" s="46"/>
    </row>
    <row r="463">
      <c r="D463" s="46"/>
      <c r="N463" s="46"/>
      <c r="Q463" s="46"/>
      <c r="R463" s="46"/>
      <c r="S463" s="46"/>
    </row>
    <row r="464">
      <c r="D464" s="46"/>
      <c r="N464" s="46"/>
      <c r="Q464" s="46"/>
      <c r="R464" s="46"/>
      <c r="S464" s="46"/>
    </row>
    <row r="465">
      <c r="D465" s="46"/>
      <c r="N465" s="46"/>
      <c r="Q465" s="46"/>
      <c r="R465" s="46"/>
      <c r="S465" s="46"/>
    </row>
    <row r="466">
      <c r="D466" s="46"/>
      <c r="N466" s="46"/>
      <c r="Q466" s="46"/>
      <c r="R466" s="46"/>
      <c r="S466" s="46"/>
    </row>
    <row r="467">
      <c r="D467" s="46"/>
      <c r="N467" s="46"/>
      <c r="Q467" s="46"/>
      <c r="R467" s="46"/>
      <c r="S467" s="46"/>
    </row>
    <row r="468">
      <c r="D468" s="46"/>
      <c r="N468" s="46"/>
      <c r="Q468" s="46"/>
      <c r="R468" s="46"/>
      <c r="S468" s="46"/>
    </row>
    <row r="469">
      <c r="D469" s="46"/>
      <c r="N469" s="46"/>
      <c r="Q469" s="46"/>
      <c r="R469" s="46"/>
      <c r="S469" s="46"/>
    </row>
    <row r="470">
      <c r="D470" s="46"/>
      <c r="N470" s="46"/>
      <c r="Q470" s="46"/>
      <c r="R470" s="46"/>
      <c r="S470" s="46"/>
    </row>
    <row r="471">
      <c r="D471" s="46"/>
      <c r="N471" s="46"/>
      <c r="Q471" s="46"/>
      <c r="R471" s="46"/>
      <c r="S471" s="46"/>
    </row>
    <row r="472">
      <c r="D472" s="46"/>
      <c r="N472" s="46"/>
      <c r="Q472" s="46"/>
      <c r="R472" s="46"/>
      <c r="S472" s="46"/>
    </row>
    <row r="473">
      <c r="D473" s="46"/>
      <c r="N473" s="46"/>
      <c r="Q473" s="46"/>
      <c r="R473" s="46"/>
      <c r="S473" s="46"/>
    </row>
    <row r="474">
      <c r="D474" s="46"/>
      <c r="N474" s="46"/>
      <c r="Q474" s="46"/>
      <c r="R474" s="46"/>
      <c r="S474" s="46"/>
    </row>
    <row r="475">
      <c r="D475" s="46"/>
      <c r="N475" s="46"/>
      <c r="Q475" s="46"/>
      <c r="R475" s="46"/>
      <c r="S475" s="46"/>
    </row>
    <row r="476">
      <c r="D476" s="46"/>
      <c r="N476" s="46"/>
      <c r="Q476" s="46"/>
      <c r="R476" s="46"/>
      <c r="S476" s="46"/>
    </row>
    <row r="477">
      <c r="D477" s="46"/>
      <c r="N477" s="46"/>
      <c r="Q477" s="46"/>
      <c r="R477" s="46"/>
      <c r="S477" s="46"/>
    </row>
    <row r="478">
      <c r="D478" s="46"/>
      <c r="N478" s="46"/>
      <c r="Q478" s="46"/>
      <c r="R478" s="46"/>
      <c r="S478" s="46"/>
    </row>
    <row r="479">
      <c r="D479" s="46"/>
      <c r="N479" s="46"/>
      <c r="Q479" s="46"/>
      <c r="R479" s="46"/>
      <c r="S479" s="46"/>
    </row>
    <row r="480">
      <c r="D480" s="46"/>
      <c r="N480" s="46"/>
      <c r="Q480" s="46"/>
      <c r="R480" s="46"/>
      <c r="S480" s="46"/>
    </row>
    <row r="481">
      <c r="D481" s="46"/>
      <c r="N481" s="46"/>
      <c r="Q481" s="46"/>
      <c r="R481" s="46"/>
      <c r="S481" s="46"/>
    </row>
    <row r="482">
      <c r="D482" s="46"/>
      <c r="N482" s="46"/>
      <c r="Q482" s="46"/>
      <c r="R482" s="46"/>
      <c r="S482" s="46"/>
    </row>
    <row r="483">
      <c r="D483" s="46"/>
      <c r="N483" s="46"/>
      <c r="Q483" s="46"/>
      <c r="R483" s="46"/>
      <c r="S483" s="46"/>
    </row>
    <row r="484">
      <c r="D484" s="46"/>
      <c r="N484" s="46"/>
      <c r="Q484" s="46"/>
      <c r="R484" s="46"/>
      <c r="S484" s="46"/>
    </row>
    <row r="485">
      <c r="D485" s="46"/>
      <c r="N485" s="46"/>
      <c r="Q485" s="46"/>
      <c r="R485" s="46"/>
      <c r="S485" s="46"/>
    </row>
    <row r="486">
      <c r="D486" s="46"/>
      <c r="N486" s="46"/>
      <c r="Q486" s="46"/>
      <c r="R486" s="46"/>
      <c r="S486" s="46"/>
    </row>
    <row r="487">
      <c r="D487" s="46"/>
      <c r="N487" s="46"/>
      <c r="Q487" s="46"/>
      <c r="R487" s="46"/>
      <c r="S487" s="46"/>
    </row>
    <row r="488">
      <c r="D488" s="46"/>
      <c r="N488" s="46"/>
      <c r="Q488" s="46"/>
      <c r="R488" s="46"/>
      <c r="S488" s="46"/>
    </row>
    <row r="489">
      <c r="D489" s="46"/>
      <c r="N489" s="46"/>
      <c r="Q489" s="46"/>
      <c r="R489" s="46"/>
      <c r="S489" s="46"/>
    </row>
    <row r="490">
      <c r="D490" s="46"/>
      <c r="N490" s="46"/>
      <c r="Q490" s="46"/>
      <c r="R490" s="46"/>
      <c r="S490" s="46"/>
    </row>
    <row r="491">
      <c r="D491" s="46"/>
      <c r="N491" s="46"/>
      <c r="Q491" s="46"/>
      <c r="R491" s="46"/>
      <c r="S491" s="46"/>
    </row>
    <row r="492">
      <c r="D492" s="46"/>
      <c r="N492" s="46"/>
      <c r="Q492" s="46"/>
      <c r="R492" s="46"/>
      <c r="S492" s="46"/>
    </row>
    <row r="493">
      <c r="D493" s="46"/>
      <c r="N493" s="46"/>
      <c r="Q493" s="46"/>
      <c r="R493" s="46"/>
      <c r="S493" s="46"/>
    </row>
    <row r="494">
      <c r="D494" s="46"/>
      <c r="N494" s="46"/>
      <c r="Q494" s="46"/>
      <c r="R494" s="46"/>
      <c r="S494" s="46"/>
    </row>
    <row r="495">
      <c r="D495" s="46"/>
      <c r="N495" s="46"/>
      <c r="Q495" s="46"/>
      <c r="R495" s="46"/>
      <c r="S495" s="46"/>
    </row>
    <row r="496">
      <c r="D496" s="46"/>
      <c r="N496" s="46"/>
      <c r="Q496" s="46"/>
      <c r="R496" s="46"/>
      <c r="S496" s="46"/>
    </row>
    <row r="497">
      <c r="D497" s="46"/>
      <c r="N497" s="46"/>
      <c r="Q497" s="46"/>
      <c r="R497" s="46"/>
      <c r="S497" s="46"/>
    </row>
    <row r="498">
      <c r="D498" s="46"/>
      <c r="N498" s="46"/>
      <c r="Q498" s="46"/>
      <c r="R498" s="46"/>
      <c r="S498" s="46"/>
    </row>
    <row r="499">
      <c r="D499" s="46"/>
      <c r="N499" s="46"/>
      <c r="Q499" s="46"/>
      <c r="R499" s="46"/>
      <c r="S499" s="46"/>
    </row>
    <row r="500">
      <c r="D500" s="46"/>
      <c r="N500" s="46"/>
      <c r="Q500" s="46"/>
      <c r="R500" s="46"/>
      <c r="S500" s="46"/>
    </row>
    <row r="501">
      <c r="D501" s="46"/>
      <c r="N501" s="46"/>
      <c r="Q501" s="46"/>
      <c r="R501" s="46"/>
      <c r="S501" s="46"/>
    </row>
    <row r="502">
      <c r="D502" s="46"/>
      <c r="N502" s="46"/>
      <c r="Q502" s="46"/>
      <c r="R502" s="46"/>
      <c r="S502" s="46"/>
    </row>
    <row r="503">
      <c r="D503" s="46"/>
      <c r="N503" s="46"/>
      <c r="Q503" s="46"/>
      <c r="R503" s="46"/>
      <c r="S503" s="46"/>
    </row>
    <row r="504">
      <c r="D504" s="46"/>
      <c r="N504" s="46"/>
      <c r="Q504" s="46"/>
      <c r="R504" s="46"/>
      <c r="S504" s="46"/>
    </row>
    <row r="505">
      <c r="D505" s="46"/>
      <c r="N505" s="46"/>
      <c r="Q505" s="46"/>
      <c r="R505" s="46"/>
      <c r="S505" s="46"/>
    </row>
    <row r="506">
      <c r="D506" s="46"/>
      <c r="N506" s="46"/>
      <c r="Q506" s="46"/>
      <c r="R506" s="46"/>
      <c r="S506" s="46"/>
    </row>
    <row r="507">
      <c r="D507" s="46"/>
      <c r="N507" s="46"/>
      <c r="Q507" s="46"/>
      <c r="R507" s="46"/>
      <c r="S507" s="46"/>
    </row>
    <row r="508">
      <c r="D508" s="46"/>
      <c r="N508" s="46"/>
      <c r="Q508" s="46"/>
      <c r="R508" s="46"/>
      <c r="S508" s="46"/>
    </row>
    <row r="509">
      <c r="D509" s="46"/>
      <c r="N509" s="46"/>
      <c r="Q509" s="46"/>
      <c r="R509" s="46"/>
      <c r="S509" s="46"/>
    </row>
    <row r="510">
      <c r="D510" s="46"/>
      <c r="N510" s="46"/>
      <c r="Q510" s="46"/>
      <c r="R510" s="46"/>
      <c r="S510" s="46"/>
    </row>
    <row r="511">
      <c r="D511" s="46"/>
      <c r="N511" s="46"/>
      <c r="Q511" s="46"/>
      <c r="R511" s="46"/>
      <c r="S511" s="46"/>
    </row>
    <row r="512">
      <c r="D512" s="46"/>
      <c r="N512" s="46"/>
      <c r="Q512" s="46"/>
      <c r="R512" s="46"/>
      <c r="S512" s="46"/>
    </row>
    <row r="513">
      <c r="D513" s="46"/>
      <c r="N513" s="46"/>
      <c r="Q513" s="46"/>
      <c r="R513" s="46"/>
      <c r="S513" s="46"/>
    </row>
    <row r="514">
      <c r="D514" s="46"/>
      <c r="N514" s="46"/>
      <c r="Q514" s="46"/>
      <c r="R514" s="46"/>
      <c r="S514" s="46"/>
    </row>
    <row r="515">
      <c r="D515" s="46"/>
      <c r="N515" s="46"/>
      <c r="Q515" s="46"/>
      <c r="R515" s="46"/>
      <c r="S515" s="46"/>
    </row>
    <row r="516">
      <c r="D516" s="46"/>
      <c r="N516" s="46"/>
      <c r="Q516" s="46"/>
      <c r="R516" s="46"/>
      <c r="S516" s="46"/>
    </row>
    <row r="517">
      <c r="D517" s="46"/>
      <c r="N517" s="46"/>
      <c r="Q517" s="46"/>
      <c r="R517" s="46"/>
      <c r="S517" s="46"/>
    </row>
    <row r="518">
      <c r="D518" s="46"/>
      <c r="N518" s="46"/>
      <c r="Q518" s="46"/>
      <c r="R518" s="46"/>
      <c r="S518" s="46"/>
    </row>
    <row r="519">
      <c r="D519" s="46"/>
      <c r="N519" s="46"/>
      <c r="Q519" s="46"/>
      <c r="R519" s="46"/>
      <c r="S519" s="46"/>
    </row>
    <row r="520">
      <c r="D520" s="46"/>
      <c r="N520" s="46"/>
      <c r="Q520" s="46"/>
      <c r="R520" s="46"/>
      <c r="S520" s="46"/>
    </row>
    <row r="521">
      <c r="D521" s="46"/>
      <c r="N521" s="46"/>
      <c r="Q521" s="46"/>
      <c r="R521" s="46"/>
      <c r="S521" s="46"/>
    </row>
    <row r="522">
      <c r="D522" s="46"/>
      <c r="N522" s="46"/>
      <c r="Q522" s="46"/>
      <c r="R522" s="46"/>
      <c r="S522" s="46"/>
    </row>
    <row r="523">
      <c r="D523" s="46"/>
      <c r="N523" s="46"/>
      <c r="Q523" s="46"/>
      <c r="R523" s="46"/>
      <c r="S523" s="46"/>
    </row>
    <row r="524">
      <c r="D524" s="46"/>
      <c r="N524" s="46"/>
      <c r="Q524" s="46"/>
      <c r="R524" s="46"/>
      <c r="S524" s="46"/>
    </row>
    <row r="525">
      <c r="D525" s="46"/>
      <c r="N525" s="46"/>
      <c r="Q525" s="46"/>
      <c r="R525" s="46"/>
      <c r="S525" s="46"/>
    </row>
    <row r="526">
      <c r="D526" s="46"/>
      <c r="N526" s="46"/>
      <c r="Q526" s="46"/>
      <c r="R526" s="46"/>
      <c r="S526" s="46"/>
    </row>
    <row r="527">
      <c r="D527" s="46"/>
      <c r="N527" s="46"/>
      <c r="Q527" s="46"/>
      <c r="R527" s="46"/>
      <c r="S527" s="46"/>
    </row>
    <row r="528">
      <c r="D528" s="46"/>
      <c r="N528" s="46"/>
      <c r="Q528" s="46"/>
      <c r="R528" s="46"/>
      <c r="S528" s="46"/>
    </row>
    <row r="529">
      <c r="D529" s="46"/>
      <c r="N529" s="46"/>
      <c r="Q529" s="46"/>
      <c r="R529" s="46"/>
      <c r="S529" s="46"/>
    </row>
    <row r="530">
      <c r="D530" s="46"/>
      <c r="N530" s="46"/>
      <c r="Q530" s="46"/>
      <c r="R530" s="46"/>
      <c r="S530" s="46"/>
    </row>
    <row r="531">
      <c r="D531" s="46"/>
      <c r="N531" s="46"/>
      <c r="Q531" s="46"/>
      <c r="R531" s="46"/>
      <c r="S531" s="46"/>
    </row>
    <row r="532">
      <c r="D532" s="46"/>
      <c r="N532" s="46"/>
      <c r="Q532" s="46"/>
      <c r="R532" s="46"/>
      <c r="S532" s="46"/>
    </row>
    <row r="533">
      <c r="D533" s="46"/>
      <c r="N533" s="46"/>
      <c r="Q533" s="46"/>
      <c r="R533" s="46"/>
      <c r="S533" s="46"/>
    </row>
    <row r="534">
      <c r="D534" s="46"/>
      <c r="N534" s="46"/>
      <c r="Q534" s="46"/>
      <c r="R534" s="46"/>
      <c r="S534" s="46"/>
    </row>
    <row r="535">
      <c r="D535" s="46"/>
      <c r="N535" s="46"/>
      <c r="Q535" s="46"/>
      <c r="R535" s="46"/>
      <c r="S535" s="46"/>
    </row>
    <row r="536">
      <c r="D536" s="46"/>
      <c r="N536" s="46"/>
      <c r="Q536" s="46"/>
      <c r="R536" s="46"/>
      <c r="S536" s="46"/>
    </row>
    <row r="537">
      <c r="D537" s="46"/>
      <c r="N537" s="46"/>
      <c r="Q537" s="46"/>
      <c r="R537" s="46"/>
      <c r="S537" s="46"/>
    </row>
    <row r="538">
      <c r="D538" s="46"/>
      <c r="N538" s="46"/>
      <c r="Q538" s="46"/>
      <c r="R538" s="46"/>
      <c r="S538" s="46"/>
    </row>
    <row r="539">
      <c r="D539" s="46"/>
      <c r="N539" s="46"/>
      <c r="Q539" s="46"/>
      <c r="R539" s="46"/>
      <c r="S539" s="46"/>
    </row>
    <row r="540">
      <c r="D540" s="46"/>
      <c r="N540" s="46"/>
      <c r="Q540" s="46"/>
      <c r="R540" s="46"/>
      <c r="S540" s="46"/>
    </row>
    <row r="541">
      <c r="D541" s="46"/>
      <c r="N541" s="46"/>
      <c r="Q541" s="46"/>
      <c r="R541" s="46"/>
      <c r="S541" s="46"/>
    </row>
    <row r="542">
      <c r="D542" s="46"/>
      <c r="N542" s="46"/>
      <c r="Q542" s="46"/>
      <c r="R542" s="46"/>
      <c r="S542" s="46"/>
    </row>
    <row r="543">
      <c r="D543" s="46"/>
      <c r="N543" s="46"/>
      <c r="Q543" s="46"/>
      <c r="R543" s="46"/>
      <c r="S543" s="46"/>
    </row>
    <row r="544">
      <c r="D544" s="46"/>
      <c r="N544" s="46"/>
      <c r="Q544" s="46"/>
      <c r="R544" s="46"/>
      <c r="S544" s="46"/>
    </row>
    <row r="545">
      <c r="D545" s="46"/>
      <c r="N545" s="46"/>
      <c r="Q545" s="46"/>
      <c r="R545" s="46"/>
      <c r="S545" s="46"/>
    </row>
    <row r="546">
      <c r="D546" s="46"/>
      <c r="N546" s="46"/>
      <c r="Q546" s="46"/>
      <c r="R546" s="46"/>
      <c r="S546" s="46"/>
    </row>
    <row r="547">
      <c r="D547" s="46"/>
      <c r="N547" s="46"/>
      <c r="Q547" s="46"/>
      <c r="R547" s="46"/>
      <c r="S547" s="46"/>
    </row>
    <row r="548">
      <c r="D548" s="46"/>
      <c r="N548" s="46"/>
      <c r="Q548" s="46"/>
      <c r="R548" s="46"/>
      <c r="S548" s="46"/>
    </row>
    <row r="549">
      <c r="D549" s="46"/>
      <c r="N549" s="46"/>
      <c r="Q549" s="46"/>
      <c r="R549" s="46"/>
      <c r="S549" s="46"/>
    </row>
    <row r="550">
      <c r="D550" s="46"/>
      <c r="N550" s="46"/>
      <c r="Q550" s="46"/>
      <c r="R550" s="46"/>
      <c r="S550" s="46"/>
    </row>
    <row r="551">
      <c r="D551" s="46"/>
      <c r="N551" s="46"/>
      <c r="Q551" s="46"/>
      <c r="R551" s="46"/>
      <c r="S551" s="46"/>
    </row>
    <row r="552">
      <c r="D552" s="46"/>
      <c r="N552" s="46"/>
      <c r="Q552" s="46"/>
      <c r="R552" s="46"/>
      <c r="S552" s="46"/>
    </row>
    <row r="553">
      <c r="D553" s="46"/>
      <c r="N553" s="46"/>
      <c r="Q553" s="46"/>
      <c r="R553" s="46"/>
      <c r="S553" s="46"/>
    </row>
    <row r="554">
      <c r="D554" s="46"/>
      <c r="N554" s="46"/>
      <c r="Q554" s="46"/>
      <c r="R554" s="46"/>
      <c r="S554" s="46"/>
    </row>
    <row r="555">
      <c r="D555" s="46"/>
      <c r="N555" s="46"/>
      <c r="Q555" s="46"/>
      <c r="R555" s="46"/>
      <c r="S555" s="46"/>
    </row>
    <row r="556">
      <c r="D556" s="46"/>
      <c r="N556" s="46"/>
      <c r="Q556" s="46"/>
      <c r="R556" s="46"/>
      <c r="S556" s="46"/>
    </row>
    <row r="557">
      <c r="D557" s="46"/>
      <c r="N557" s="46"/>
      <c r="Q557" s="46"/>
      <c r="R557" s="46"/>
      <c r="S557" s="46"/>
    </row>
    <row r="558">
      <c r="D558" s="46"/>
      <c r="N558" s="46"/>
      <c r="Q558" s="46"/>
      <c r="R558" s="46"/>
      <c r="S558" s="46"/>
    </row>
    <row r="559">
      <c r="D559" s="46"/>
      <c r="N559" s="46"/>
      <c r="Q559" s="46"/>
      <c r="R559" s="46"/>
      <c r="S559" s="46"/>
    </row>
    <row r="560">
      <c r="D560" s="46"/>
      <c r="N560" s="46"/>
      <c r="Q560" s="46"/>
      <c r="R560" s="46"/>
      <c r="S560" s="46"/>
    </row>
    <row r="561">
      <c r="D561" s="46"/>
      <c r="N561" s="46"/>
      <c r="Q561" s="46"/>
      <c r="R561" s="46"/>
      <c r="S561" s="46"/>
    </row>
    <row r="562">
      <c r="D562" s="46"/>
      <c r="N562" s="46"/>
      <c r="Q562" s="46"/>
      <c r="R562" s="46"/>
      <c r="S562" s="46"/>
    </row>
    <row r="563">
      <c r="D563" s="46"/>
      <c r="N563" s="46"/>
      <c r="Q563" s="46"/>
      <c r="R563" s="46"/>
      <c r="S563" s="46"/>
    </row>
    <row r="564">
      <c r="D564" s="46"/>
      <c r="N564" s="46"/>
      <c r="Q564" s="46"/>
      <c r="R564" s="46"/>
      <c r="S564" s="46"/>
    </row>
    <row r="565">
      <c r="D565" s="46"/>
      <c r="N565" s="46"/>
      <c r="Q565" s="46"/>
      <c r="R565" s="46"/>
      <c r="S565" s="46"/>
    </row>
    <row r="566">
      <c r="D566" s="46"/>
      <c r="N566" s="46"/>
      <c r="Q566" s="46"/>
      <c r="R566" s="46"/>
      <c r="S566" s="46"/>
    </row>
    <row r="567">
      <c r="D567" s="46"/>
      <c r="N567" s="46"/>
      <c r="Q567" s="46"/>
      <c r="R567" s="46"/>
      <c r="S567" s="46"/>
    </row>
    <row r="568">
      <c r="D568" s="46"/>
      <c r="N568" s="46"/>
      <c r="Q568" s="46"/>
      <c r="R568" s="46"/>
      <c r="S568" s="46"/>
    </row>
    <row r="569">
      <c r="D569" s="46"/>
      <c r="N569" s="46"/>
      <c r="Q569" s="46"/>
      <c r="R569" s="46"/>
      <c r="S569" s="46"/>
    </row>
    <row r="570">
      <c r="D570" s="46"/>
      <c r="N570" s="46"/>
      <c r="Q570" s="46"/>
      <c r="R570" s="46"/>
      <c r="S570" s="46"/>
    </row>
    <row r="571">
      <c r="D571" s="46"/>
      <c r="N571" s="46"/>
      <c r="Q571" s="46"/>
      <c r="R571" s="46"/>
      <c r="S571" s="46"/>
    </row>
    <row r="572">
      <c r="D572" s="46"/>
      <c r="N572" s="46"/>
      <c r="Q572" s="46"/>
      <c r="R572" s="46"/>
      <c r="S572" s="46"/>
    </row>
    <row r="573">
      <c r="D573" s="46"/>
      <c r="N573" s="46"/>
      <c r="Q573" s="46"/>
      <c r="R573" s="46"/>
      <c r="S573" s="46"/>
    </row>
    <row r="574">
      <c r="D574" s="46"/>
      <c r="N574" s="46"/>
      <c r="Q574" s="46"/>
      <c r="R574" s="46"/>
      <c r="S574" s="46"/>
    </row>
    <row r="575">
      <c r="D575" s="46"/>
      <c r="N575" s="46"/>
      <c r="Q575" s="46"/>
      <c r="R575" s="46"/>
      <c r="S575" s="46"/>
    </row>
    <row r="576">
      <c r="D576" s="46"/>
      <c r="N576" s="46"/>
      <c r="Q576" s="46"/>
      <c r="R576" s="46"/>
      <c r="S576" s="46"/>
    </row>
    <row r="577">
      <c r="D577" s="46"/>
      <c r="N577" s="46"/>
      <c r="Q577" s="46"/>
      <c r="R577" s="46"/>
      <c r="S577" s="46"/>
    </row>
    <row r="578">
      <c r="D578" s="46"/>
      <c r="N578" s="46"/>
      <c r="Q578" s="46"/>
      <c r="R578" s="46"/>
      <c r="S578" s="46"/>
    </row>
    <row r="579">
      <c r="D579" s="46"/>
      <c r="N579" s="46"/>
      <c r="Q579" s="46"/>
      <c r="R579" s="46"/>
      <c r="S579" s="46"/>
    </row>
    <row r="580">
      <c r="D580" s="46"/>
      <c r="N580" s="46"/>
      <c r="Q580" s="46"/>
      <c r="R580" s="46"/>
      <c r="S580" s="46"/>
    </row>
    <row r="581">
      <c r="D581" s="46"/>
      <c r="N581" s="46"/>
      <c r="Q581" s="46"/>
      <c r="R581" s="46"/>
      <c r="S581" s="46"/>
    </row>
    <row r="582">
      <c r="D582" s="46"/>
      <c r="N582" s="46"/>
      <c r="Q582" s="46"/>
      <c r="R582" s="46"/>
      <c r="S582" s="46"/>
    </row>
    <row r="583">
      <c r="D583" s="46"/>
      <c r="N583" s="46"/>
      <c r="Q583" s="46"/>
      <c r="R583" s="46"/>
      <c r="S583" s="46"/>
    </row>
    <row r="584">
      <c r="D584" s="46"/>
      <c r="N584" s="46"/>
      <c r="Q584" s="46"/>
      <c r="R584" s="46"/>
      <c r="S584" s="46"/>
    </row>
    <row r="585">
      <c r="D585" s="46"/>
      <c r="N585" s="46"/>
      <c r="Q585" s="46"/>
      <c r="R585" s="46"/>
      <c r="S585" s="46"/>
    </row>
    <row r="586">
      <c r="D586" s="46"/>
      <c r="N586" s="46"/>
      <c r="Q586" s="46"/>
      <c r="R586" s="46"/>
      <c r="S586" s="46"/>
    </row>
    <row r="587">
      <c r="D587" s="46"/>
      <c r="N587" s="46"/>
      <c r="Q587" s="46"/>
      <c r="R587" s="46"/>
      <c r="S587" s="46"/>
    </row>
    <row r="588">
      <c r="D588" s="46"/>
      <c r="N588" s="46"/>
      <c r="Q588" s="46"/>
      <c r="R588" s="46"/>
      <c r="S588" s="46"/>
    </row>
    <row r="589">
      <c r="D589" s="46"/>
      <c r="N589" s="46"/>
      <c r="Q589" s="46"/>
      <c r="R589" s="46"/>
      <c r="S589" s="46"/>
    </row>
    <row r="590">
      <c r="D590" s="46"/>
      <c r="N590" s="46"/>
      <c r="Q590" s="46"/>
      <c r="R590" s="46"/>
      <c r="S590" s="46"/>
    </row>
    <row r="591">
      <c r="D591" s="46"/>
      <c r="N591" s="46"/>
      <c r="Q591" s="46"/>
      <c r="R591" s="46"/>
      <c r="S591" s="46"/>
    </row>
    <row r="592">
      <c r="D592" s="46"/>
      <c r="N592" s="46"/>
      <c r="Q592" s="46"/>
      <c r="R592" s="46"/>
      <c r="S592" s="46"/>
    </row>
    <row r="593">
      <c r="D593" s="46"/>
      <c r="N593" s="46"/>
      <c r="Q593" s="46"/>
      <c r="R593" s="46"/>
      <c r="S593" s="46"/>
    </row>
    <row r="594">
      <c r="D594" s="46"/>
      <c r="N594" s="46"/>
      <c r="Q594" s="46"/>
      <c r="R594" s="46"/>
      <c r="S594" s="46"/>
    </row>
    <row r="595">
      <c r="D595" s="46"/>
      <c r="N595" s="46"/>
      <c r="Q595" s="46"/>
      <c r="R595" s="46"/>
      <c r="S595" s="46"/>
    </row>
    <row r="596">
      <c r="D596" s="46"/>
      <c r="N596" s="46"/>
      <c r="Q596" s="46"/>
      <c r="R596" s="46"/>
      <c r="S596" s="46"/>
    </row>
    <row r="597">
      <c r="D597" s="46"/>
      <c r="N597" s="46"/>
      <c r="Q597" s="46"/>
      <c r="R597" s="46"/>
      <c r="S597" s="46"/>
    </row>
    <row r="598">
      <c r="D598" s="46"/>
      <c r="N598" s="46"/>
      <c r="Q598" s="46"/>
      <c r="R598" s="46"/>
      <c r="S598" s="46"/>
    </row>
    <row r="599">
      <c r="D599" s="46"/>
      <c r="N599" s="46"/>
      <c r="Q599" s="46"/>
      <c r="R599" s="46"/>
      <c r="S599" s="46"/>
    </row>
    <row r="600">
      <c r="D600" s="46"/>
      <c r="N600" s="46"/>
      <c r="Q600" s="46"/>
      <c r="R600" s="46"/>
      <c r="S600" s="46"/>
    </row>
    <row r="601">
      <c r="D601" s="46"/>
      <c r="N601" s="46"/>
      <c r="Q601" s="46"/>
      <c r="R601" s="46"/>
      <c r="S601" s="46"/>
    </row>
    <row r="602">
      <c r="D602" s="46"/>
      <c r="N602" s="46"/>
      <c r="Q602" s="46"/>
      <c r="R602" s="46"/>
      <c r="S602" s="46"/>
    </row>
    <row r="603">
      <c r="D603" s="46"/>
      <c r="N603" s="46"/>
      <c r="Q603" s="46"/>
      <c r="R603" s="46"/>
      <c r="S603" s="46"/>
    </row>
    <row r="604">
      <c r="D604" s="46"/>
      <c r="N604" s="46"/>
      <c r="Q604" s="46"/>
      <c r="R604" s="46"/>
      <c r="S604" s="46"/>
    </row>
    <row r="605">
      <c r="D605" s="46"/>
      <c r="N605" s="46"/>
      <c r="Q605" s="46"/>
      <c r="R605" s="46"/>
      <c r="S605" s="46"/>
    </row>
    <row r="606">
      <c r="D606" s="46"/>
      <c r="N606" s="46"/>
      <c r="Q606" s="46"/>
      <c r="R606" s="46"/>
      <c r="S606" s="46"/>
    </row>
    <row r="607">
      <c r="D607" s="46"/>
      <c r="N607" s="46"/>
      <c r="Q607" s="46"/>
      <c r="R607" s="46"/>
      <c r="S607" s="46"/>
    </row>
    <row r="608">
      <c r="D608" s="46"/>
      <c r="N608" s="46"/>
      <c r="Q608" s="46"/>
      <c r="R608" s="46"/>
      <c r="S608" s="46"/>
    </row>
    <row r="609">
      <c r="D609" s="46"/>
      <c r="N609" s="46"/>
      <c r="Q609" s="46"/>
      <c r="R609" s="46"/>
      <c r="S609" s="46"/>
    </row>
    <row r="610">
      <c r="D610" s="46"/>
      <c r="N610" s="46"/>
      <c r="Q610" s="46"/>
      <c r="R610" s="46"/>
      <c r="S610" s="46"/>
    </row>
    <row r="611">
      <c r="D611" s="46"/>
      <c r="N611" s="46"/>
      <c r="Q611" s="46"/>
      <c r="R611" s="46"/>
      <c r="S611" s="46"/>
    </row>
    <row r="612">
      <c r="D612" s="46"/>
      <c r="N612" s="46"/>
      <c r="Q612" s="46"/>
      <c r="R612" s="46"/>
      <c r="S612" s="46"/>
    </row>
    <row r="613">
      <c r="D613" s="46"/>
      <c r="N613" s="46"/>
      <c r="Q613" s="46"/>
      <c r="R613" s="46"/>
      <c r="S613" s="46"/>
    </row>
    <row r="614">
      <c r="D614" s="46"/>
      <c r="N614" s="46"/>
      <c r="Q614" s="46"/>
      <c r="R614" s="46"/>
      <c r="S614" s="46"/>
    </row>
    <row r="615">
      <c r="D615" s="46"/>
      <c r="N615" s="46"/>
      <c r="Q615" s="46"/>
      <c r="R615" s="46"/>
      <c r="S615" s="46"/>
    </row>
    <row r="616">
      <c r="D616" s="46"/>
      <c r="N616" s="46"/>
      <c r="Q616" s="46"/>
      <c r="R616" s="46"/>
      <c r="S616" s="46"/>
    </row>
    <row r="617">
      <c r="D617" s="46"/>
      <c r="N617" s="46"/>
      <c r="Q617" s="46"/>
      <c r="R617" s="46"/>
      <c r="S617" s="46"/>
    </row>
    <row r="618">
      <c r="D618" s="46"/>
      <c r="N618" s="46"/>
      <c r="Q618" s="46"/>
      <c r="R618" s="46"/>
      <c r="S618" s="46"/>
    </row>
    <row r="619">
      <c r="D619" s="46"/>
      <c r="N619" s="46"/>
      <c r="Q619" s="46"/>
      <c r="R619" s="46"/>
      <c r="S619" s="46"/>
    </row>
    <row r="620">
      <c r="D620" s="46"/>
      <c r="N620" s="46"/>
      <c r="Q620" s="46"/>
      <c r="R620" s="46"/>
      <c r="S620" s="46"/>
    </row>
    <row r="621">
      <c r="D621" s="46"/>
      <c r="N621" s="46"/>
      <c r="Q621" s="46"/>
      <c r="R621" s="46"/>
      <c r="S621" s="46"/>
    </row>
    <row r="622">
      <c r="D622" s="46"/>
      <c r="N622" s="46"/>
      <c r="Q622" s="46"/>
      <c r="R622" s="46"/>
      <c r="S622" s="46"/>
    </row>
    <row r="623">
      <c r="D623" s="46"/>
      <c r="N623" s="46"/>
      <c r="Q623" s="46"/>
      <c r="R623" s="46"/>
      <c r="S623" s="46"/>
    </row>
    <row r="624">
      <c r="D624" s="46"/>
      <c r="N624" s="46"/>
      <c r="Q624" s="46"/>
      <c r="R624" s="46"/>
      <c r="S624" s="46"/>
    </row>
    <row r="625">
      <c r="D625" s="46"/>
      <c r="N625" s="46"/>
      <c r="Q625" s="46"/>
      <c r="R625" s="46"/>
      <c r="S625" s="46"/>
    </row>
    <row r="626">
      <c r="D626" s="46"/>
      <c r="N626" s="46"/>
      <c r="Q626" s="46"/>
      <c r="R626" s="46"/>
      <c r="S626" s="46"/>
    </row>
    <row r="627">
      <c r="D627" s="46"/>
      <c r="N627" s="46"/>
      <c r="Q627" s="46"/>
      <c r="R627" s="46"/>
      <c r="S627" s="46"/>
    </row>
    <row r="628">
      <c r="D628" s="46"/>
      <c r="N628" s="46"/>
      <c r="Q628" s="46"/>
      <c r="R628" s="46"/>
      <c r="S628" s="46"/>
    </row>
    <row r="629">
      <c r="D629" s="46"/>
      <c r="N629" s="46"/>
      <c r="Q629" s="46"/>
      <c r="R629" s="46"/>
      <c r="S629" s="46"/>
    </row>
    <row r="630">
      <c r="D630" s="46"/>
      <c r="N630" s="46"/>
      <c r="Q630" s="46"/>
      <c r="R630" s="46"/>
      <c r="S630" s="46"/>
    </row>
    <row r="631">
      <c r="D631" s="46"/>
      <c r="N631" s="46"/>
      <c r="Q631" s="46"/>
      <c r="R631" s="46"/>
      <c r="S631" s="46"/>
    </row>
    <row r="632">
      <c r="D632" s="46"/>
      <c r="N632" s="46"/>
      <c r="Q632" s="46"/>
      <c r="R632" s="46"/>
      <c r="S632" s="46"/>
    </row>
    <row r="633">
      <c r="D633" s="46"/>
      <c r="N633" s="46"/>
      <c r="Q633" s="46"/>
      <c r="R633" s="46"/>
      <c r="S633" s="46"/>
    </row>
    <row r="634">
      <c r="D634" s="46"/>
      <c r="N634" s="46"/>
      <c r="Q634" s="46"/>
      <c r="R634" s="46"/>
      <c r="S634" s="46"/>
    </row>
    <row r="635">
      <c r="D635" s="46"/>
      <c r="N635" s="46"/>
      <c r="Q635" s="46"/>
      <c r="R635" s="46"/>
      <c r="S635" s="46"/>
    </row>
    <row r="636">
      <c r="D636" s="46"/>
      <c r="N636" s="46"/>
      <c r="Q636" s="46"/>
      <c r="R636" s="46"/>
      <c r="S636" s="46"/>
    </row>
    <row r="637">
      <c r="D637" s="46"/>
      <c r="N637" s="46"/>
      <c r="Q637" s="46"/>
      <c r="R637" s="46"/>
      <c r="S637" s="46"/>
    </row>
    <row r="638">
      <c r="D638" s="46"/>
      <c r="N638" s="46"/>
      <c r="Q638" s="46"/>
      <c r="R638" s="46"/>
      <c r="S638" s="46"/>
    </row>
    <row r="639">
      <c r="D639" s="46"/>
      <c r="N639" s="46"/>
      <c r="Q639" s="46"/>
      <c r="R639" s="46"/>
      <c r="S639" s="46"/>
    </row>
    <row r="640">
      <c r="D640" s="46"/>
      <c r="N640" s="46"/>
      <c r="Q640" s="46"/>
      <c r="R640" s="46"/>
      <c r="S640" s="46"/>
    </row>
    <row r="641">
      <c r="D641" s="46"/>
      <c r="N641" s="46"/>
      <c r="Q641" s="46"/>
      <c r="R641" s="46"/>
      <c r="S641" s="46"/>
    </row>
    <row r="642">
      <c r="D642" s="46"/>
      <c r="N642" s="46"/>
      <c r="Q642" s="46"/>
      <c r="R642" s="46"/>
      <c r="S642" s="46"/>
    </row>
    <row r="643">
      <c r="D643" s="46"/>
      <c r="N643" s="46"/>
      <c r="Q643" s="46"/>
      <c r="R643" s="46"/>
      <c r="S643" s="46"/>
    </row>
    <row r="644">
      <c r="D644" s="46"/>
      <c r="N644" s="46"/>
      <c r="Q644" s="46"/>
      <c r="R644" s="46"/>
      <c r="S644" s="46"/>
    </row>
    <row r="645">
      <c r="D645" s="46"/>
      <c r="N645" s="46"/>
      <c r="Q645" s="46"/>
      <c r="R645" s="46"/>
      <c r="S645" s="46"/>
    </row>
    <row r="646">
      <c r="D646" s="46"/>
      <c r="N646" s="46"/>
      <c r="Q646" s="46"/>
      <c r="R646" s="46"/>
      <c r="S646" s="46"/>
    </row>
    <row r="647">
      <c r="D647" s="46"/>
      <c r="N647" s="46"/>
      <c r="Q647" s="46"/>
      <c r="R647" s="46"/>
      <c r="S647" s="46"/>
    </row>
    <row r="648">
      <c r="D648" s="46"/>
      <c r="N648" s="46"/>
      <c r="Q648" s="46"/>
      <c r="R648" s="46"/>
      <c r="S648" s="46"/>
    </row>
    <row r="649">
      <c r="D649" s="46"/>
      <c r="N649" s="46"/>
      <c r="Q649" s="46"/>
      <c r="R649" s="46"/>
      <c r="S649" s="46"/>
    </row>
    <row r="650">
      <c r="D650" s="46"/>
      <c r="N650" s="46"/>
      <c r="Q650" s="46"/>
      <c r="R650" s="46"/>
      <c r="S650" s="46"/>
    </row>
    <row r="651">
      <c r="D651" s="46"/>
      <c r="N651" s="46"/>
      <c r="Q651" s="46"/>
      <c r="R651" s="46"/>
      <c r="S651" s="46"/>
    </row>
    <row r="652">
      <c r="D652" s="46"/>
      <c r="N652" s="46"/>
      <c r="Q652" s="46"/>
      <c r="R652" s="46"/>
      <c r="S652" s="46"/>
    </row>
    <row r="653">
      <c r="D653" s="46"/>
      <c r="N653" s="46"/>
      <c r="Q653" s="46"/>
      <c r="R653" s="46"/>
      <c r="S653" s="46"/>
    </row>
    <row r="654">
      <c r="D654" s="46"/>
      <c r="N654" s="46"/>
      <c r="Q654" s="46"/>
      <c r="R654" s="46"/>
      <c r="S654" s="46"/>
    </row>
    <row r="655">
      <c r="D655" s="46"/>
      <c r="N655" s="46"/>
      <c r="Q655" s="46"/>
      <c r="R655" s="46"/>
      <c r="S655" s="46"/>
    </row>
    <row r="656">
      <c r="D656" s="46"/>
      <c r="N656" s="46"/>
      <c r="Q656" s="46"/>
      <c r="R656" s="46"/>
      <c r="S656" s="46"/>
    </row>
    <row r="657">
      <c r="D657" s="46"/>
      <c r="N657" s="46"/>
      <c r="Q657" s="46"/>
      <c r="R657" s="46"/>
      <c r="S657" s="46"/>
    </row>
    <row r="658">
      <c r="D658" s="46"/>
      <c r="N658" s="46"/>
      <c r="Q658" s="46"/>
      <c r="R658" s="46"/>
      <c r="S658" s="46"/>
    </row>
    <row r="659">
      <c r="D659" s="46"/>
      <c r="N659" s="46"/>
      <c r="Q659" s="46"/>
      <c r="R659" s="46"/>
      <c r="S659" s="46"/>
    </row>
    <row r="660">
      <c r="D660" s="46"/>
      <c r="N660" s="46"/>
      <c r="Q660" s="46"/>
      <c r="R660" s="46"/>
      <c r="S660" s="46"/>
    </row>
    <row r="661">
      <c r="D661" s="46"/>
      <c r="N661" s="46"/>
      <c r="Q661" s="46"/>
      <c r="R661" s="46"/>
      <c r="S661" s="46"/>
    </row>
    <row r="662">
      <c r="D662" s="46"/>
      <c r="N662" s="46"/>
      <c r="Q662" s="46"/>
      <c r="R662" s="46"/>
      <c r="S662" s="46"/>
    </row>
    <row r="663">
      <c r="D663" s="46"/>
      <c r="N663" s="46"/>
      <c r="Q663" s="46"/>
      <c r="R663" s="46"/>
      <c r="S663" s="46"/>
    </row>
    <row r="664">
      <c r="D664" s="46"/>
      <c r="N664" s="46"/>
      <c r="Q664" s="46"/>
      <c r="R664" s="46"/>
      <c r="S664" s="46"/>
    </row>
    <row r="665">
      <c r="D665" s="46"/>
      <c r="N665" s="46"/>
      <c r="Q665" s="46"/>
      <c r="R665" s="46"/>
      <c r="S665" s="46"/>
    </row>
    <row r="666">
      <c r="D666" s="46"/>
      <c r="N666" s="46"/>
      <c r="Q666" s="46"/>
      <c r="R666" s="46"/>
      <c r="S666" s="46"/>
    </row>
    <row r="667">
      <c r="D667" s="46"/>
      <c r="N667" s="46"/>
      <c r="Q667" s="46"/>
      <c r="R667" s="46"/>
      <c r="S667" s="46"/>
    </row>
    <row r="668">
      <c r="D668" s="46"/>
      <c r="N668" s="46"/>
      <c r="Q668" s="46"/>
      <c r="R668" s="46"/>
      <c r="S668" s="46"/>
    </row>
    <row r="669">
      <c r="D669" s="46"/>
      <c r="N669" s="46"/>
      <c r="Q669" s="46"/>
      <c r="R669" s="46"/>
      <c r="S669" s="46"/>
    </row>
    <row r="670">
      <c r="D670" s="46"/>
      <c r="N670" s="46"/>
      <c r="Q670" s="46"/>
      <c r="R670" s="46"/>
      <c r="S670" s="46"/>
    </row>
    <row r="671">
      <c r="D671" s="46"/>
      <c r="N671" s="46"/>
      <c r="Q671" s="46"/>
      <c r="R671" s="46"/>
      <c r="S671" s="46"/>
    </row>
    <row r="672">
      <c r="D672" s="46"/>
      <c r="N672" s="46"/>
      <c r="Q672" s="46"/>
      <c r="R672" s="46"/>
      <c r="S672" s="46"/>
    </row>
    <row r="673">
      <c r="D673" s="46"/>
      <c r="N673" s="46"/>
      <c r="Q673" s="46"/>
      <c r="R673" s="46"/>
      <c r="S673" s="46"/>
    </row>
    <row r="674">
      <c r="D674" s="46"/>
      <c r="N674" s="46"/>
      <c r="Q674" s="46"/>
      <c r="R674" s="46"/>
      <c r="S674" s="46"/>
    </row>
    <row r="675">
      <c r="D675" s="46"/>
      <c r="N675" s="46"/>
      <c r="Q675" s="46"/>
      <c r="R675" s="46"/>
      <c r="S675" s="46"/>
    </row>
    <row r="676">
      <c r="D676" s="46"/>
      <c r="N676" s="46"/>
      <c r="Q676" s="46"/>
      <c r="R676" s="46"/>
      <c r="S676" s="46"/>
    </row>
    <row r="677">
      <c r="D677" s="46"/>
      <c r="N677" s="46"/>
      <c r="Q677" s="46"/>
      <c r="R677" s="46"/>
      <c r="S677" s="46"/>
    </row>
    <row r="678">
      <c r="D678" s="46"/>
      <c r="N678" s="46"/>
      <c r="Q678" s="46"/>
      <c r="R678" s="46"/>
      <c r="S678" s="46"/>
    </row>
    <row r="679">
      <c r="D679" s="46"/>
      <c r="N679" s="46"/>
      <c r="Q679" s="46"/>
      <c r="R679" s="46"/>
      <c r="S679" s="46"/>
    </row>
    <row r="680">
      <c r="D680" s="46"/>
      <c r="N680" s="46"/>
      <c r="Q680" s="46"/>
      <c r="R680" s="46"/>
      <c r="S680" s="46"/>
    </row>
    <row r="681">
      <c r="D681" s="46"/>
      <c r="N681" s="46"/>
      <c r="Q681" s="46"/>
      <c r="R681" s="46"/>
      <c r="S681" s="46"/>
    </row>
    <row r="682">
      <c r="D682" s="46"/>
      <c r="N682" s="46"/>
      <c r="Q682" s="46"/>
      <c r="R682" s="46"/>
      <c r="S682" s="46"/>
    </row>
    <row r="683">
      <c r="D683" s="46"/>
      <c r="N683" s="46"/>
      <c r="Q683" s="46"/>
      <c r="R683" s="46"/>
      <c r="S683" s="46"/>
    </row>
    <row r="684">
      <c r="D684" s="46"/>
      <c r="N684" s="46"/>
      <c r="Q684" s="46"/>
      <c r="R684" s="46"/>
      <c r="S684" s="46"/>
    </row>
    <row r="685">
      <c r="D685" s="46"/>
      <c r="N685" s="46"/>
      <c r="Q685" s="46"/>
      <c r="R685" s="46"/>
      <c r="S685" s="46"/>
    </row>
    <row r="686">
      <c r="D686" s="46"/>
      <c r="N686" s="46"/>
      <c r="Q686" s="46"/>
      <c r="R686" s="46"/>
      <c r="S686" s="46"/>
    </row>
    <row r="687">
      <c r="D687" s="46"/>
      <c r="N687" s="46"/>
      <c r="Q687" s="46"/>
      <c r="R687" s="46"/>
      <c r="S687" s="46"/>
    </row>
    <row r="688">
      <c r="D688" s="46"/>
      <c r="N688" s="46"/>
      <c r="Q688" s="46"/>
      <c r="R688" s="46"/>
      <c r="S688" s="46"/>
    </row>
    <row r="689">
      <c r="D689" s="46"/>
      <c r="N689" s="46"/>
      <c r="Q689" s="46"/>
      <c r="R689" s="46"/>
      <c r="S689" s="46"/>
    </row>
    <row r="690">
      <c r="D690" s="46"/>
      <c r="N690" s="46"/>
      <c r="Q690" s="46"/>
      <c r="R690" s="46"/>
      <c r="S690" s="46"/>
    </row>
    <row r="691">
      <c r="D691" s="46"/>
      <c r="N691" s="46"/>
      <c r="Q691" s="46"/>
      <c r="R691" s="46"/>
      <c r="S691" s="46"/>
    </row>
    <row r="692">
      <c r="D692" s="46"/>
      <c r="N692" s="46"/>
      <c r="Q692" s="46"/>
      <c r="R692" s="46"/>
      <c r="S692" s="46"/>
    </row>
    <row r="693">
      <c r="D693" s="46"/>
      <c r="N693" s="46"/>
      <c r="Q693" s="46"/>
      <c r="R693" s="46"/>
      <c r="S693" s="46"/>
    </row>
    <row r="694">
      <c r="D694" s="46"/>
      <c r="N694" s="46"/>
      <c r="Q694" s="46"/>
      <c r="R694" s="46"/>
      <c r="S694" s="46"/>
    </row>
    <row r="695">
      <c r="D695" s="46"/>
      <c r="N695" s="46"/>
      <c r="Q695" s="46"/>
      <c r="R695" s="46"/>
      <c r="S695" s="46"/>
    </row>
    <row r="696">
      <c r="D696" s="46"/>
      <c r="N696" s="46"/>
      <c r="Q696" s="46"/>
      <c r="R696" s="46"/>
      <c r="S696" s="46"/>
    </row>
    <row r="697">
      <c r="D697" s="46"/>
      <c r="N697" s="46"/>
      <c r="Q697" s="46"/>
      <c r="R697" s="46"/>
      <c r="S697" s="46"/>
    </row>
    <row r="698">
      <c r="D698" s="46"/>
      <c r="N698" s="46"/>
      <c r="Q698" s="46"/>
      <c r="R698" s="46"/>
      <c r="S698" s="46"/>
    </row>
    <row r="699">
      <c r="D699" s="46"/>
      <c r="N699" s="46"/>
      <c r="Q699" s="46"/>
      <c r="R699" s="46"/>
      <c r="S699" s="46"/>
    </row>
    <row r="700">
      <c r="D700" s="46"/>
      <c r="N700" s="46"/>
      <c r="Q700" s="46"/>
      <c r="R700" s="46"/>
      <c r="S700" s="46"/>
    </row>
    <row r="701">
      <c r="D701" s="46"/>
      <c r="N701" s="46"/>
      <c r="Q701" s="46"/>
      <c r="R701" s="46"/>
      <c r="S701" s="46"/>
    </row>
    <row r="702">
      <c r="D702" s="46"/>
      <c r="N702" s="46"/>
      <c r="Q702" s="46"/>
      <c r="R702" s="46"/>
      <c r="S702" s="46"/>
    </row>
    <row r="703">
      <c r="D703" s="46"/>
      <c r="N703" s="46"/>
      <c r="Q703" s="46"/>
      <c r="R703" s="46"/>
      <c r="S703" s="46"/>
    </row>
    <row r="704">
      <c r="D704" s="46"/>
      <c r="N704" s="46"/>
      <c r="Q704" s="46"/>
      <c r="R704" s="46"/>
      <c r="S704" s="46"/>
    </row>
    <row r="705">
      <c r="D705" s="46"/>
      <c r="N705" s="46"/>
      <c r="Q705" s="46"/>
      <c r="R705" s="46"/>
      <c r="S705" s="46"/>
    </row>
    <row r="706">
      <c r="D706" s="46"/>
      <c r="N706" s="46"/>
      <c r="Q706" s="46"/>
      <c r="R706" s="46"/>
      <c r="S706" s="46"/>
    </row>
    <row r="707">
      <c r="D707" s="46"/>
      <c r="N707" s="46"/>
      <c r="Q707" s="46"/>
      <c r="R707" s="46"/>
      <c r="S707" s="46"/>
    </row>
    <row r="708">
      <c r="D708" s="46"/>
      <c r="N708" s="46"/>
      <c r="Q708" s="46"/>
      <c r="R708" s="46"/>
      <c r="S708" s="46"/>
    </row>
    <row r="709">
      <c r="D709" s="46"/>
      <c r="N709" s="46"/>
      <c r="Q709" s="46"/>
      <c r="R709" s="46"/>
      <c r="S709" s="46"/>
    </row>
    <row r="710">
      <c r="D710" s="46"/>
      <c r="N710" s="46"/>
      <c r="Q710" s="46"/>
      <c r="R710" s="46"/>
      <c r="S710" s="46"/>
    </row>
    <row r="711">
      <c r="D711" s="46"/>
      <c r="N711" s="46"/>
      <c r="Q711" s="46"/>
      <c r="R711" s="46"/>
      <c r="S711" s="46"/>
    </row>
    <row r="712">
      <c r="D712" s="46"/>
      <c r="N712" s="46"/>
      <c r="Q712" s="46"/>
      <c r="R712" s="46"/>
      <c r="S712" s="46"/>
    </row>
    <row r="713">
      <c r="D713" s="46"/>
      <c r="N713" s="46"/>
      <c r="Q713" s="46"/>
      <c r="R713" s="46"/>
      <c r="S713" s="46"/>
    </row>
    <row r="714">
      <c r="D714" s="46"/>
      <c r="N714" s="46"/>
      <c r="Q714" s="46"/>
      <c r="R714" s="46"/>
      <c r="S714" s="46"/>
    </row>
    <row r="715">
      <c r="D715" s="46"/>
      <c r="N715" s="46"/>
      <c r="Q715" s="46"/>
      <c r="R715" s="46"/>
      <c r="S715" s="46"/>
    </row>
    <row r="716">
      <c r="D716" s="46"/>
      <c r="N716" s="46"/>
      <c r="Q716" s="46"/>
      <c r="R716" s="46"/>
      <c r="S716" s="46"/>
    </row>
    <row r="717">
      <c r="D717" s="46"/>
      <c r="N717" s="46"/>
      <c r="Q717" s="46"/>
      <c r="R717" s="46"/>
      <c r="S717" s="46"/>
    </row>
    <row r="718">
      <c r="D718" s="46"/>
      <c r="N718" s="46"/>
      <c r="Q718" s="46"/>
      <c r="R718" s="46"/>
      <c r="S718" s="46"/>
    </row>
    <row r="719">
      <c r="D719" s="46"/>
      <c r="N719" s="46"/>
      <c r="Q719" s="46"/>
      <c r="R719" s="46"/>
      <c r="S719" s="46"/>
    </row>
    <row r="720">
      <c r="D720" s="46"/>
      <c r="N720" s="46"/>
      <c r="Q720" s="46"/>
      <c r="R720" s="46"/>
      <c r="S720" s="46"/>
    </row>
    <row r="721">
      <c r="D721" s="46"/>
      <c r="N721" s="46"/>
      <c r="Q721" s="46"/>
      <c r="R721" s="46"/>
      <c r="S721" s="46"/>
    </row>
    <row r="722">
      <c r="D722" s="46"/>
      <c r="N722" s="46"/>
      <c r="Q722" s="46"/>
      <c r="R722" s="46"/>
      <c r="S722" s="46"/>
    </row>
    <row r="723">
      <c r="D723" s="46"/>
      <c r="N723" s="46"/>
      <c r="Q723" s="46"/>
      <c r="R723" s="46"/>
      <c r="S723" s="46"/>
    </row>
    <row r="724">
      <c r="D724" s="46"/>
      <c r="N724" s="46"/>
      <c r="Q724" s="46"/>
      <c r="R724" s="46"/>
      <c r="S724" s="46"/>
    </row>
    <row r="725">
      <c r="D725" s="46"/>
      <c r="N725" s="46"/>
      <c r="Q725" s="46"/>
      <c r="R725" s="46"/>
      <c r="S725" s="46"/>
    </row>
    <row r="726">
      <c r="D726" s="46"/>
      <c r="N726" s="46"/>
      <c r="Q726" s="46"/>
      <c r="R726" s="46"/>
      <c r="S726" s="46"/>
    </row>
    <row r="727">
      <c r="D727" s="46"/>
      <c r="N727" s="46"/>
      <c r="Q727" s="46"/>
      <c r="R727" s="46"/>
      <c r="S727" s="46"/>
    </row>
    <row r="728">
      <c r="D728" s="46"/>
      <c r="N728" s="46"/>
      <c r="Q728" s="46"/>
      <c r="R728" s="46"/>
      <c r="S728" s="46"/>
    </row>
    <row r="729">
      <c r="D729" s="46"/>
      <c r="N729" s="46"/>
      <c r="Q729" s="46"/>
      <c r="R729" s="46"/>
      <c r="S729" s="46"/>
    </row>
    <row r="730">
      <c r="D730" s="46"/>
      <c r="N730" s="46"/>
      <c r="Q730" s="46"/>
      <c r="R730" s="46"/>
      <c r="S730" s="46"/>
    </row>
    <row r="731">
      <c r="D731" s="46"/>
      <c r="N731" s="46"/>
      <c r="Q731" s="46"/>
      <c r="R731" s="46"/>
      <c r="S731" s="46"/>
    </row>
    <row r="732">
      <c r="D732" s="46"/>
      <c r="N732" s="46"/>
      <c r="Q732" s="46"/>
      <c r="R732" s="46"/>
      <c r="S732" s="46"/>
    </row>
    <row r="733">
      <c r="D733" s="46"/>
      <c r="N733" s="46"/>
      <c r="Q733" s="46"/>
      <c r="R733" s="46"/>
      <c r="S733" s="46"/>
    </row>
    <row r="734">
      <c r="D734" s="46"/>
      <c r="N734" s="46"/>
      <c r="Q734" s="46"/>
      <c r="R734" s="46"/>
      <c r="S734" s="46"/>
    </row>
    <row r="735">
      <c r="D735" s="46"/>
      <c r="N735" s="46"/>
      <c r="Q735" s="46"/>
      <c r="R735" s="46"/>
      <c r="S735" s="46"/>
    </row>
    <row r="736">
      <c r="D736" s="46"/>
      <c r="N736" s="46"/>
      <c r="Q736" s="46"/>
      <c r="R736" s="46"/>
      <c r="S736" s="46"/>
    </row>
    <row r="737">
      <c r="D737" s="46"/>
      <c r="N737" s="46"/>
      <c r="Q737" s="46"/>
      <c r="R737" s="46"/>
      <c r="S737" s="46"/>
    </row>
    <row r="738">
      <c r="D738" s="46"/>
      <c r="N738" s="46"/>
      <c r="Q738" s="46"/>
      <c r="R738" s="46"/>
      <c r="S738" s="46"/>
    </row>
    <row r="739">
      <c r="D739" s="46"/>
      <c r="N739" s="46"/>
      <c r="Q739" s="46"/>
      <c r="R739" s="46"/>
      <c r="S739" s="46"/>
    </row>
    <row r="740">
      <c r="D740" s="46"/>
      <c r="N740" s="46"/>
      <c r="Q740" s="46"/>
      <c r="R740" s="46"/>
      <c r="S740" s="46"/>
    </row>
    <row r="741">
      <c r="D741" s="46"/>
      <c r="N741" s="46"/>
      <c r="Q741" s="46"/>
      <c r="R741" s="46"/>
      <c r="S741" s="46"/>
    </row>
    <row r="742">
      <c r="D742" s="46"/>
      <c r="N742" s="46"/>
      <c r="Q742" s="46"/>
      <c r="R742" s="46"/>
      <c r="S742" s="46"/>
    </row>
    <row r="743">
      <c r="D743" s="46"/>
      <c r="N743" s="46"/>
      <c r="Q743" s="46"/>
      <c r="R743" s="46"/>
      <c r="S743" s="46"/>
    </row>
    <row r="744">
      <c r="D744" s="46"/>
      <c r="N744" s="46"/>
      <c r="Q744" s="46"/>
      <c r="R744" s="46"/>
      <c r="S744" s="46"/>
    </row>
    <row r="745">
      <c r="D745" s="46"/>
      <c r="N745" s="46"/>
      <c r="Q745" s="46"/>
      <c r="R745" s="46"/>
      <c r="S745" s="46"/>
    </row>
    <row r="746">
      <c r="D746" s="46"/>
      <c r="N746" s="46"/>
      <c r="Q746" s="46"/>
      <c r="R746" s="46"/>
      <c r="S746" s="46"/>
    </row>
    <row r="747">
      <c r="D747" s="46"/>
      <c r="N747" s="46"/>
      <c r="Q747" s="46"/>
      <c r="R747" s="46"/>
      <c r="S747" s="46"/>
    </row>
    <row r="748">
      <c r="D748" s="46"/>
      <c r="N748" s="46"/>
      <c r="Q748" s="46"/>
      <c r="R748" s="46"/>
      <c r="S748" s="46"/>
    </row>
    <row r="749">
      <c r="D749" s="46"/>
      <c r="N749" s="46"/>
      <c r="Q749" s="46"/>
      <c r="R749" s="46"/>
      <c r="S749" s="46"/>
    </row>
    <row r="750">
      <c r="D750" s="46"/>
      <c r="N750" s="46"/>
      <c r="Q750" s="46"/>
      <c r="R750" s="46"/>
      <c r="S750" s="46"/>
    </row>
    <row r="751">
      <c r="D751" s="46"/>
      <c r="N751" s="46"/>
      <c r="Q751" s="46"/>
      <c r="R751" s="46"/>
      <c r="S751" s="46"/>
    </row>
    <row r="752">
      <c r="D752" s="46"/>
      <c r="N752" s="46"/>
      <c r="Q752" s="46"/>
      <c r="R752" s="46"/>
      <c r="S752" s="46"/>
    </row>
    <row r="753">
      <c r="D753" s="46"/>
      <c r="N753" s="46"/>
      <c r="Q753" s="46"/>
      <c r="R753" s="46"/>
      <c r="S753" s="46"/>
    </row>
    <row r="754">
      <c r="D754" s="46"/>
      <c r="N754" s="46"/>
      <c r="Q754" s="46"/>
      <c r="R754" s="46"/>
      <c r="S754" s="46"/>
    </row>
    <row r="755">
      <c r="D755" s="46"/>
      <c r="N755" s="46"/>
      <c r="Q755" s="46"/>
      <c r="R755" s="46"/>
      <c r="S755" s="46"/>
    </row>
    <row r="756">
      <c r="D756" s="46"/>
      <c r="N756" s="46"/>
      <c r="Q756" s="46"/>
      <c r="R756" s="46"/>
      <c r="S756" s="46"/>
    </row>
    <row r="757">
      <c r="D757" s="46"/>
      <c r="N757" s="46"/>
      <c r="Q757" s="46"/>
      <c r="R757" s="46"/>
      <c r="S757" s="46"/>
    </row>
    <row r="758">
      <c r="D758" s="46"/>
      <c r="N758" s="46"/>
      <c r="Q758" s="46"/>
      <c r="R758" s="46"/>
      <c r="S758" s="46"/>
    </row>
    <row r="759">
      <c r="D759" s="46"/>
      <c r="N759" s="46"/>
      <c r="Q759" s="46"/>
      <c r="R759" s="46"/>
      <c r="S759" s="46"/>
    </row>
    <row r="760">
      <c r="D760" s="46"/>
      <c r="N760" s="46"/>
      <c r="Q760" s="46"/>
      <c r="R760" s="46"/>
      <c r="S760" s="46"/>
    </row>
    <row r="761">
      <c r="D761" s="46"/>
      <c r="N761" s="46"/>
      <c r="Q761" s="46"/>
      <c r="R761" s="46"/>
      <c r="S761" s="46"/>
    </row>
    <row r="762">
      <c r="D762" s="46"/>
      <c r="N762" s="46"/>
      <c r="Q762" s="46"/>
      <c r="R762" s="46"/>
      <c r="S762" s="46"/>
    </row>
    <row r="763">
      <c r="D763" s="46"/>
      <c r="N763" s="46"/>
      <c r="Q763" s="46"/>
      <c r="R763" s="46"/>
      <c r="S763" s="46"/>
    </row>
    <row r="764">
      <c r="D764" s="46"/>
      <c r="N764" s="46"/>
      <c r="Q764" s="46"/>
      <c r="R764" s="46"/>
      <c r="S764" s="46"/>
    </row>
    <row r="765">
      <c r="D765" s="46"/>
      <c r="N765" s="46"/>
      <c r="Q765" s="46"/>
      <c r="R765" s="46"/>
      <c r="S765" s="46"/>
    </row>
    <row r="766">
      <c r="D766" s="46"/>
      <c r="N766" s="46"/>
      <c r="Q766" s="46"/>
      <c r="R766" s="46"/>
      <c r="S766" s="46"/>
    </row>
    <row r="767">
      <c r="D767" s="46"/>
      <c r="N767" s="46"/>
      <c r="Q767" s="46"/>
      <c r="R767" s="46"/>
      <c r="S767" s="46"/>
    </row>
    <row r="768">
      <c r="D768" s="46"/>
      <c r="N768" s="46"/>
      <c r="Q768" s="46"/>
      <c r="R768" s="46"/>
      <c r="S768" s="46"/>
    </row>
    <row r="769">
      <c r="D769" s="46"/>
      <c r="N769" s="46"/>
      <c r="Q769" s="46"/>
      <c r="R769" s="46"/>
      <c r="S769" s="46"/>
    </row>
    <row r="770">
      <c r="D770" s="46"/>
      <c r="N770" s="46"/>
      <c r="Q770" s="46"/>
      <c r="R770" s="46"/>
      <c r="S770" s="46"/>
    </row>
    <row r="771">
      <c r="D771" s="46"/>
      <c r="N771" s="46"/>
      <c r="Q771" s="46"/>
      <c r="R771" s="46"/>
      <c r="S771" s="46"/>
    </row>
    <row r="772">
      <c r="D772" s="46"/>
      <c r="N772" s="46"/>
      <c r="Q772" s="46"/>
      <c r="R772" s="46"/>
      <c r="S772" s="46"/>
    </row>
    <row r="773">
      <c r="D773" s="46"/>
      <c r="N773" s="46"/>
      <c r="Q773" s="46"/>
      <c r="R773" s="46"/>
      <c r="S773" s="46"/>
    </row>
    <row r="774">
      <c r="D774" s="46"/>
      <c r="N774" s="46"/>
      <c r="Q774" s="46"/>
      <c r="R774" s="46"/>
      <c r="S774" s="46"/>
    </row>
    <row r="775">
      <c r="D775" s="46"/>
      <c r="N775" s="46"/>
      <c r="Q775" s="46"/>
      <c r="R775" s="46"/>
      <c r="S775" s="46"/>
    </row>
    <row r="776">
      <c r="D776" s="46"/>
      <c r="N776" s="46"/>
      <c r="Q776" s="46"/>
      <c r="R776" s="46"/>
      <c r="S776" s="46"/>
    </row>
    <row r="777">
      <c r="D777" s="46"/>
      <c r="N777" s="46"/>
      <c r="Q777" s="46"/>
      <c r="R777" s="46"/>
      <c r="S777" s="46"/>
    </row>
    <row r="778">
      <c r="D778" s="46"/>
      <c r="N778" s="46"/>
      <c r="Q778" s="46"/>
      <c r="R778" s="46"/>
      <c r="S778" s="46"/>
    </row>
    <row r="779">
      <c r="D779" s="46"/>
      <c r="N779" s="46"/>
      <c r="Q779" s="46"/>
      <c r="R779" s="46"/>
      <c r="S779" s="46"/>
    </row>
    <row r="780">
      <c r="D780" s="46"/>
      <c r="N780" s="46"/>
      <c r="Q780" s="46"/>
      <c r="R780" s="46"/>
      <c r="S780" s="46"/>
    </row>
    <row r="781">
      <c r="D781" s="46"/>
      <c r="N781" s="46"/>
      <c r="Q781" s="46"/>
      <c r="R781" s="46"/>
      <c r="S781" s="46"/>
    </row>
    <row r="782">
      <c r="D782" s="46"/>
      <c r="N782" s="46"/>
      <c r="Q782" s="46"/>
      <c r="R782" s="46"/>
      <c r="S782" s="46"/>
    </row>
    <row r="783">
      <c r="D783" s="46"/>
      <c r="N783" s="46"/>
      <c r="Q783" s="46"/>
      <c r="R783" s="46"/>
      <c r="S783" s="46"/>
    </row>
    <row r="784">
      <c r="D784" s="46"/>
      <c r="N784" s="46"/>
      <c r="Q784" s="46"/>
      <c r="R784" s="46"/>
      <c r="S784" s="46"/>
    </row>
    <row r="785">
      <c r="D785" s="46"/>
      <c r="N785" s="46"/>
      <c r="Q785" s="46"/>
      <c r="R785" s="46"/>
      <c r="S785" s="46"/>
    </row>
    <row r="786">
      <c r="D786" s="46"/>
      <c r="N786" s="46"/>
      <c r="Q786" s="46"/>
      <c r="R786" s="46"/>
      <c r="S786" s="46"/>
    </row>
    <row r="787">
      <c r="D787" s="46"/>
      <c r="N787" s="46"/>
      <c r="Q787" s="46"/>
      <c r="R787" s="46"/>
      <c r="S787" s="46"/>
    </row>
    <row r="788">
      <c r="D788" s="46"/>
      <c r="N788" s="46"/>
      <c r="Q788" s="46"/>
      <c r="R788" s="46"/>
      <c r="S788" s="46"/>
    </row>
    <row r="789">
      <c r="D789" s="46"/>
      <c r="N789" s="46"/>
      <c r="Q789" s="46"/>
      <c r="R789" s="46"/>
      <c r="S789" s="46"/>
    </row>
    <row r="790">
      <c r="D790" s="46"/>
      <c r="N790" s="46"/>
      <c r="Q790" s="46"/>
      <c r="R790" s="46"/>
      <c r="S790" s="46"/>
    </row>
    <row r="791">
      <c r="D791" s="46"/>
      <c r="N791" s="46"/>
      <c r="Q791" s="46"/>
      <c r="R791" s="46"/>
      <c r="S791" s="46"/>
    </row>
    <row r="792">
      <c r="D792" s="46"/>
      <c r="N792" s="46"/>
      <c r="Q792" s="46"/>
      <c r="R792" s="46"/>
      <c r="S792" s="46"/>
    </row>
    <row r="793">
      <c r="D793" s="46"/>
      <c r="N793" s="46"/>
      <c r="Q793" s="46"/>
      <c r="R793" s="46"/>
      <c r="S793" s="46"/>
    </row>
    <row r="794">
      <c r="D794" s="46"/>
      <c r="N794" s="46"/>
      <c r="Q794" s="46"/>
      <c r="R794" s="46"/>
      <c r="S794" s="46"/>
    </row>
    <row r="795">
      <c r="D795" s="46"/>
      <c r="N795" s="46"/>
      <c r="Q795" s="46"/>
      <c r="R795" s="46"/>
      <c r="S795" s="46"/>
    </row>
    <row r="796">
      <c r="D796" s="46"/>
      <c r="N796" s="46"/>
      <c r="Q796" s="46"/>
      <c r="R796" s="46"/>
      <c r="S796" s="46"/>
    </row>
    <row r="797">
      <c r="D797" s="46"/>
      <c r="N797" s="46"/>
      <c r="Q797" s="46"/>
      <c r="R797" s="46"/>
      <c r="S797" s="46"/>
    </row>
    <row r="798">
      <c r="D798" s="46"/>
      <c r="N798" s="46"/>
      <c r="Q798" s="46"/>
      <c r="R798" s="46"/>
      <c r="S798" s="46"/>
    </row>
    <row r="799">
      <c r="D799" s="46"/>
      <c r="N799" s="46"/>
      <c r="Q799" s="46"/>
      <c r="R799" s="46"/>
      <c r="S799" s="46"/>
    </row>
    <row r="800">
      <c r="D800" s="46"/>
      <c r="N800" s="46"/>
      <c r="Q800" s="46"/>
      <c r="R800" s="46"/>
      <c r="S800" s="46"/>
    </row>
    <row r="801">
      <c r="D801" s="46"/>
      <c r="N801" s="46"/>
      <c r="Q801" s="46"/>
      <c r="R801" s="46"/>
      <c r="S801" s="46"/>
    </row>
    <row r="802">
      <c r="D802" s="46"/>
      <c r="N802" s="46"/>
      <c r="Q802" s="46"/>
      <c r="R802" s="46"/>
      <c r="S802" s="46"/>
    </row>
    <row r="803">
      <c r="D803" s="46"/>
      <c r="N803" s="46"/>
      <c r="Q803" s="46"/>
      <c r="R803" s="46"/>
      <c r="S803" s="46"/>
    </row>
    <row r="804">
      <c r="D804" s="46"/>
      <c r="N804" s="46"/>
      <c r="Q804" s="46"/>
      <c r="R804" s="46"/>
      <c r="S804" s="46"/>
    </row>
    <row r="805">
      <c r="D805" s="46"/>
      <c r="N805" s="46"/>
      <c r="Q805" s="46"/>
      <c r="R805" s="46"/>
      <c r="S805" s="46"/>
    </row>
    <row r="806">
      <c r="D806" s="46"/>
      <c r="N806" s="46"/>
      <c r="Q806" s="46"/>
      <c r="R806" s="46"/>
      <c r="S806" s="46"/>
    </row>
    <row r="807">
      <c r="D807" s="46"/>
      <c r="N807" s="46"/>
      <c r="Q807" s="46"/>
      <c r="R807" s="46"/>
      <c r="S807" s="46"/>
    </row>
    <row r="808">
      <c r="D808" s="46"/>
      <c r="N808" s="46"/>
      <c r="Q808" s="46"/>
      <c r="R808" s="46"/>
      <c r="S808" s="46"/>
    </row>
    <row r="809">
      <c r="D809" s="46"/>
      <c r="N809" s="46"/>
      <c r="Q809" s="46"/>
      <c r="R809" s="46"/>
      <c r="S809" s="46"/>
    </row>
    <row r="810">
      <c r="D810" s="46"/>
      <c r="N810" s="46"/>
      <c r="Q810" s="46"/>
      <c r="R810" s="46"/>
      <c r="S810" s="46"/>
    </row>
    <row r="811">
      <c r="D811" s="46"/>
      <c r="N811" s="46"/>
      <c r="Q811" s="46"/>
      <c r="R811" s="46"/>
      <c r="S811" s="46"/>
    </row>
    <row r="812">
      <c r="D812" s="46"/>
      <c r="N812" s="46"/>
      <c r="Q812" s="46"/>
      <c r="R812" s="46"/>
      <c r="S812" s="46"/>
    </row>
    <row r="813">
      <c r="D813" s="46"/>
      <c r="N813" s="46"/>
      <c r="Q813" s="46"/>
      <c r="R813" s="46"/>
      <c r="S813" s="46"/>
    </row>
    <row r="814">
      <c r="D814" s="46"/>
      <c r="N814" s="46"/>
      <c r="Q814" s="46"/>
      <c r="R814" s="46"/>
      <c r="S814" s="46"/>
    </row>
    <row r="815">
      <c r="D815" s="46"/>
      <c r="N815" s="46"/>
      <c r="Q815" s="46"/>
      <c r="R815" s="46"/>
      <c r="S815" s="46"/>
    </row>
    <row r="816">
      <c r="D816" s="46"/>
      <c r="N816" s="46"/>
      <c r="Q816" s="46"/>
      <c r="R816" s="46"/>
      <c r="S816" s="46"/>
    </row>
    <row r="817">
      <c r="D817" s="46"/>
      <c r="N817" s="46"/>
      <c r="Q817" s="46"/>
      <c r="R817" s="46"/>
      <c r="S817" s="46"/>
    </row>
    <row r="818">
      <c r="D818" s="46"/>
      <c r="N818" s="46"/>
      <c r="Q818" s="46"/>
      <c r="R818" s="46"/>
      <c r="S818" s="46"/>
    </row>
    <row r="819">
      <c r="D819" s="46"/>
      <c r="N819" s="46"/>
      <c r="Q819" s="46"/>
      <c r="R819" s="46"/>
      <c r="S819" s="46"/>
    </row>
    <row r="820">
      <c r="D820" s="46"/>
      <c r="N820" s="46"/>
      <c r="Q820" s="46"/>
      <c r="R820" s="46"/>
      <c r="S820" s="46"/>
    </row>
    <row r="821">
      <c r="D821" s="46"/>
      <c r="N821" s="46"/>
      <c r="Q821" s="46"/>
      <c r="R821" s="46"/>
      <c r="S821" s="46"/>
    </row>
    <row r="822">
      <c r="D822" s="46"/>
      <c r="N822" s="46"/>
      <c r="Q822" s="46"/>
      <c r="R822" s="46"/>
      <c r="S822" s="46"/>
    </row>
    <row r="823">
      <c r="D823" s="46"/>
      <c r="N823" s="46"/>
      <c r="Q823" s="46"/>
      <c r="R823" s="46"/>
      <c r="S823" s="46"/>
    </row>
    <row r="824">
      <c r="D824" s="46"/>
      <c r="N824" s="46"/>
      <c r="Q824" s="46"/>
      <c r="R824" s="46"/>
      <c r="S824" s="46"/>
    </row>
    <row r="825">
      <c r="D825" s="46"/>
      <c r="N825" s="46"/>
      <c r="Q825" s="46"/>
      <c r="R825" s="46"/>
      <c r="S825" s="46"/>
    </row>
    <row r="826">
      <c r="D826" s="46"/>
      <c r="N826" s="46"/>
      <c r="Q826" s="46"/>
      <c r="R826" s="46"/>
      <c r="S826" s="46"/>
    </row>
    <row r="827">
      <c r="D827" s="46"/>
      <c r="N827" s="46"/>
      <c r="Q827" s="46"/>
      <c r="R827" s="46"/>
      <c r="S827" s="46"/>
    </row>
    <row r="828">
      <c r="D828" s="46"/>
      <c r="N828" s="46"/>
      <c r="Q828" s="46"/>
      <c r="R828" s="46"/>
      <c r="S828" s="46"/>
    </row>
    <row r="829">
      <c r="D829" s="46"/>
      <c r="N829" s="46"/>
      <c r="Q829" s="46"/>
      <c r="R829" s="46"/>
      <c r="S829" s="46"/>
    </row>
    <row r="830">
      <c r="D830" s="46"/>
      <c r="N830" s="46"/>
      <c r="Q830" s="46"/>
      <c r="R830" s="46"/>
      <c r="S830" s="46"/>
    </row>
    <row r="831">
      <c r="D831" s="46"/>
      <c r="N831" s="46"/>
      <c r="Q831" s="46"/>
      <c r="R831" s="46"/>
      <c r="S831" s="46"/>
    </row>
    <row r="832">
      <c r="D832" s="46"/>
      <c r="N832" s="46"/>
      <c r="Q832" s="46"/>
      <c r="R832" s="46"/>
      <c r="S832" s="46"/>
    </row>
    <row r="833">
      <c r="D833" s="46"/>
      <c r="N833" s="46"/>
      <c r="Q833" s="46"/>
      <c r="R833" s="46"/>
      <c r="S833" s="46"/>
    </row>
    <row r="834">
      <c r="D834" s="46"/>
      <c r="N834" s="46"/>
      <c r="Q834" s="46"/>
      <c r="R834" s="46"/>
      <c r="S834" s="46"/>
    </row>
    <row r="835">
      <c r="D835" s="46"/>
      <c r="N835" s="46"/>
      <c r="Q835" s="46"/>
      <c r="R835" s="46"/>
      <c r="S835" s="46"/>
    </row>
    <row r="836">
      <c r="D836" s="46"/>
      <c r="N836" s="46"/>
      <c r="Q836" s="46"/>
      <c r="R836" s="46"/>
      <c r="S836" s="46"/>
    </row>
    <row r="837">
      <c r="D837" s="46"/>
      <c r="N837" s="46"/>
      <c r="Q837" s="46"/>
      <c r="R837" s="46"/>
      <c r="S837" s="46"/>
    </row>
    <row r="838">
      <c r="D838" s="46"/>
      <c r="N838" s="46"/>
      <c r="Q838" s="46"/>
      <c r="R838" s="46"/>
      <c r="S838" s="46"/>
    </row>
    <row r="839">
      <c r="D839" s="46"/>
      <c r="N839" s="46"/>
      <c r="Q839" s="46"/>
      <c r="R839" s="46"/>
      <c r="S839" s="46"/>
    </row>
    <row r="840">
      <c r="D840" s="46"/>
      <c r="N840" s="46"/>
      <c r="Q840" s="46"/>
      <c r="R840" s="46"/>
      <c r="S840" s="46"/>
    </row>
    <row r="841">
      <c r="D841" s="46"/>
      <c r="N841" s="46"/>
      <c r="Q841" s="46"/>
      <c r="R841" s="46"/>
      <c r="S841" s="46"/>
    </row>
    <row r="842">
      <c r="D842" s="46"/>
      <c r="N842" s="46"/>
      <c r="Q842" s="46"/>
      <c r="R842" s="46"/>
      <c r="S842" s="46"/>
    </row>
    <row r="843">
      <c r="D843" s="46"/>
      <c r="N843" s="46"/>
      <c r="Q843" s="46"/>
      <c r="R843" s="46"/>
      <c r="S843" s="46"/>
    </row>
    <row r="844">
      <c r="D844" s="46"/>
      <c r="N844" s="46"/>
      <c r="Q844" s="46"/>
      <c r="R844" s="46"/>
      <c r="S844" s="46"/>
    </row>
    <row r="845">
      <c r="D845" s="46"/>
      <c r="N845" s="46"/>
      <c r="Q845" s="46"/>
      <c r="R845" s="46"/>
      <c r="S845" s="46"/>
    </row>
    <row r="846">
      <c r="D846" s="46"/>
      <c r="N846" s="46"/>
      <c r="Q846" s="46"/>
      <c r="R846" s="46"/>
      <c r="S846" s="46"/>
    </row>
    <row r="847">
      <c r="D847" s="46"/>
      <c r="N847" s="46"/>
      <c r="Q847" s="46"/>
      <c r="R847" s="46"/>
      <c r="S847" s="46"/>
    </row>
    <row r="848">
      <c r="D848" s="46"/>
      <c r="N848" s="46"/>
      <c r="Q848" s="46"/>
      <c r="R848" s="46"/>
      <c r="S848" s="46"/>
    </row>
    <row r="849">
      <c r="D849" s="46"/>
      <c r="N849" s="46"/>
      <c r="Q849" s="46"/>
      <c r="R849" s="46"/>
      <c r="S849" s="46"/>
    </row>
    <row r="850">
      <c r="D850" s="46"/>
      <c r="N850" s="46"/>
      <c r="Q850" s="46"/>
      <c r="R850" s="46"/>
      <c r="S850" s="46"/>
    </row>
    <row r="851">
      <c r="D851" s="46"/>
      <c r="N851" s="46"/>
      <c r="Q851" s="46"/>
      <c r="R851" s="46"/>
      <c r="S851" s="46"/>
    </row>
    <row r="852">
      <c r="D852" s="46"/>
      <c r="N852" s="46"/>
      <c r="Q852" s="46"/>
      <c r="R852" s="46"/>
      <c r="S852" s="46"/>
    </row>
    <row r="853">
      <c r="D853" s="46"/>
      <c r="N853" s="46"/>
      <c r="Q853" s="46"/>
      <c r="R853" s="46"/>
      <c r="S853" s="46"/>
    </row>
    <row r="854">
      <c r="D854" s="46"/>
      <c r="N854" s="46"/>
      <c r="Q854" s="46"/>
      <c r="R854" s="46"/>
      <c r="S854" s="46"/>
    </row>
    <row r="855">
      <c r="D855" s="46"/>
      <c r="N855" s="46"/>
      <c r="Q855" s="46"/>
      <c r="R855" s="46"/>
      <c r="S855" s="46"/>
    </row>
    <row r="856">
      <c r="D856" s="46"/>
      <c r="N856" s="46"/>
      <c r="Q856" s="46"/>
      <c r="R856" s="46"/>
      <c r="S856" s="46"/>
    </row>
    <row r="857">
      <c r="D857" s="46"/>
      <c r="N857" s="46"/>
      <c r="Q857" s="46"/>
      <c r="R857" s="46"/>
      <c r="S857" s="46"/>
    </row>
    <row r="858">
      <c r="D858" s="46"/>
      <c r="N858" s="46"/>
      <c r="Q858" s="46"/>
      <c r="R858" s="46"/>
      <c r="S858" s="46"/>
    </row>
    <row r="859">
      <c r="D859" s="46"/>
      <c r="N859" s="46"/>
      <c r="Q859" s="46"/>
      <c r="R859" s="46"/>
      <c r="S859" s="46"/>
    </row>
    <row r="860">
      <c r="D860" s="46"/>
      <c r="N860" s="46"/>
      <c r="Q860" s="46"/>
      <c r="R860" s="46"/>
      <c r="S860" s="46"/>
    </row>
    <row r="861">
      <c r="D861" s="46"/>
      <c r="N861" s="46"/>
      <c r="Q861" s="46"/>
      <c r="R861" s="46"/>
      <c r="S861" s="46"/>
    </row>
    <row r="862">
      <c r="D862" s="46"/>
      <c r="N862" s="46"/>
      <c r="Q862" s="46"/>
      <c r="R862" s="46"/>
      <c r="S862" s="46"/>
    </row>
    <row r="863">
      <c r="D863" s="46"/>
      <c r="N863" s="46"/>
      <c r="Q863" s="46"/>
      <c r="R863" s="46"/>
      <c r="S863" s="46"/>
    </row>
    <row r="864">
      <c r="D864" s="46"/>
      <c r="N864" s="46"/>
      <c r="Q864" s="46"/>
      <c r="R864" s="46"/>
      <c r="S864" s="46"/>
    </row>
    <row r="865">
      <c r="D865" s="46"/>
      <c r="N865" s="46"/>
      <c r="Q865" s="46"/>
      <c r="R865" s="46"/>
      <c r="S865" s="46"/>
    </row>
    <row r="866">
      <c r="D866" s="46"/>
      <c r="N866" s="46"/>
      <c r="Q866" s="46"/>
      <c r="R866" s="46"/>
      <c r="S866" s="46"/>
    </row>
    <row r="867">
      <c r="D867" s="46"/>
      <c r="N867" s="46"/>
      <c r="Q867" s="46"/>
      <c r="R867" s="46"/>
      <c r="S867" s="46"/>
    </row>
    <row r="868">
      <c r="D868" s="46"/>
      <c r="N868" s="46"/>
      <c r="Q868" s="46"/>
      <c r="R868" s="46"/>
      <c r="S868" s="46"/>
    </row>
    <row r="869">
      <c r="D869" s="46"/>
      <c r="N869" s="46"/>
      <c r="Q869" s="46"/>
      <c r="R869" s="46"/>
      <c r="S869" s="46"/>
    </row>
    <row r="870">
      <c r="D870" s="46"/>
      <c r="N870" s="46"/>
      <c r="Q870" s="46"/>
      <c r="R870" s="46"/>
      <c r="S870" s="46"/>
    </row>
    <row r="871">
      <c r="D871" s="46"/>
      <c r="N871" s="46"/>
      <c r="Q871" s="46"/>
      <c r="R871" s="46"/>
      <c r="S871" s="46"/>
    </row>
    <row r="872">
      <c r="D872" s="46"/>
      <c r="N872" s="46"/>
      <c r="Q872" s="46"/>
      <c r="R872" s="46"/>
      <c r="S872" s="46"/>
    </row>
    <row r="873">
      <c r="D873" s="46"/>
      <c r="N873" s="46"/>
      <c r="Q873" s="46"/>
      <c r="R873" s="46"/>
      <c r="S873" s="46"/>
    </row>
    <row r="874">
      <c r="D874" s="46"/>
      <c r="N874" s="46"/>
      <c r="Q874" s="46"/>
      <c r="R874" s="46"/>
      <c r="S874" s="46"/>
    </row>
    <row r="875">
      <c r="D875" s="46"/>
      <c r="N875" s="46"/>
      <c r="Q875" s="46"/>
      <c r="R875" s="46"/>
      <c r="S875" s="46"/>
    </row>
    <row r="876">
      <c r="D876" s="46"/>
      <c r="N876" s="46"/>
      <c r="Q876" s="46"/>
      <c r="R876" s="46"/>
      <c r="S876" s="46"/>
    </row>
    <row r="877">
      <c r="D877" s="46"/>
      <c r="N877" s="46"/>
      <c r="Q877" s="46"/>
      <c r="R877" s="46"/>
      <c r="S877" s="46"/>
    </row>
    <row r="878">
      <c r="D878" s="46"/>
      <c r="N878" s="46"/>
      <c r="Q878" s="46"/>
      <c r="R878" s="46"/>
      <c r="S878" s="46"/>
    </row>
    <row r="879">
      <c r="D879" s="46"/>
      <c r="N879" s="46"/>
      <c r="Q879" s="46"/>
      <c r="R879" s="46"/>
      <c r="S879" s="46"/>
    </row>
    <row r="880">
      <c r="D880" s="46"/>
      <c r="N880" s="46"/>
      <c r="Q880" s="46"/>
      <c r="R880" s="46"/>
      <c r="S880" s="46"/>
    </row>
    <row r="881">
      <c r="D881" s="46"/>
      <c r="N881" s="46"/>
      <c r="Q881" s="46"/>
      <c r="R881" s="46"/>
      <c r="S881" s="46"/>
    </row>
    <row r="882">
      <c r="D882" s="46"/>
      <c r="N882" s="46"/>
      <c r="Q882" s="46"/>
      <c r="R882" s="46"/>
      <c r="S882" s="46"/>
    </row>
    <row r="883">
      <c r="D883" s="46"/>
      <c r="N883" s="46"/>
      <c r="Q883" s="46"/>
      <c r="R883" s="46"/>
      <c r="S883" s="46"/>
    </row>
    <row r="884">
      <c r="D884" s="46"/>
      <c r="N884" s="46"/>
      <c r="Q884" s="46"/>
      <c r="R884" s="46"/>
      <c r="S884" s="46"/>
    </row>
    <row r="885">
      <c r="D885" s="46"/>
      <c r="N885" s="46"/>
      <c r="Q885" s="46"/>
      <c r="R885" s="46"/>
      <c r="S885" s="46"/>
    </row>
    <row r="886">
      <c r="D886" s="46"/>
      <c r="N886" s="46"/>
      <c r="Q886" s="46"/>
      <c r="R886" s="46"/>
      <c r="S886" s="46"/>
    </row>
    <row r="887">
      <c r="D887" s="46"/>
      <c r="N887" s="46"/>
      <c r="Q887" s="46"/>
      <c r="R887" s="46"/>
      <c r="S887" s="46"/>
    </row>
    <row r="888">
      <c r="D888" s="46"/>
      <c r="N888" s="46"/>
      <c r="Q888" s="46"/>
      <c r="R888" s="46"/>
      <c r="S888" s="46"/>
    </row>
    <row r="889">
      <c r="D889" s="46"/>
      <c r="N889" s="46"/>
      <c r="Q889" s="46"/>
      <c r="R889" s="46"/>
      <c r="S889" s="46"/>
    </row>
    <row r="890">
      <c r="D890" s="46"/>
      <c r="N890" s="46"/>
      <c r="Q890" s="46"/>
      <c r="R890" s="46"/>
      <c r="S890" s="46"/>
    </row>
    <row r="891">
      <c r="D891" s="46"/>
      <c r="N891" s="46"/>
      <c r="Q891" s="46"/>
      <c r="R891" s="46"/>
      <c r="S891" s="46"/>
    </row>
    <row r="892">
      <c r="D892" s="46"/>
      <c r="N892" s="46"/>
      <c r="Q892" s="46"/>
      <c r="R892" s="46"/>
      <c r="S892" s="46"/>
    </row>
    <row r="893">
      <c r="D893" s="46"/>
      <c r="N893" s="46"/>
      <c r="Q893" s="46"/>
      <c r="R893" s="46"/>
      <c r="S893" s="46"/>
    </row>
    <row r="894">
      <c r="D894" s="46"/>
      <c r="N894" s="46"/>
      <c r="Q894" s="46"/>
      <c r="R894" s="46"/>
      <c r="S894" s="46"/>
    </row>
    <row r="895">
      <c r="D895" s="46"/>
      <c r="N895" s="46"/>
      <c r="Q895" s="46"/>
      <c r="R895" s="46"/>
      <c r="S895" s="46"/>
    </row>
    <row r="896">
      <c r="D896" s="46"/>
      <c r="N896" s="46"/>
      <c r="Q896" s="46"/>
      <c r="R896" s="46"/>
      <c r="S896" s="46"/>
    </row>
    <row r="897">
      <c r="D897" s="46"/>
      <c r="N897" s="46"/>
      <c r="Q897" s="46"/>
      <c r="R897" s="46"/>
      <c r="S897" s="46"/>
    </row>
    <row r="898">
      <c r="D898" s="46"/>
      <c r="N898" s="46"/>
      <c r="Q898" s="46"/>
      <c r="R898" s="46"/>
      <c r="S898" s="46"/>
    </row>
    <row r="899">
      <c r="D899" s="46"/>
      <c r="N899" s="46"/>
      <c r="Q899" s="46"/>
      <c r="R899" s="46"/>
      <c r="S899" s="46"/>
    </row>
    <row r="900">
      <c r="D900" s="46"/>
      <c r="N900" s="46"/>
      <c r="Q900" s="46"/>
      <c r="R900" s="46"/>
      <c r="S900" s="46"/>
    </row>
    <row r="901">
      <c r="D901" s="46"/>
      <c r="N901" s="46"/>
      <c r="Q901" s="46"/>
      <c r="R901" s="46"/>
      <c r="S901" s="46"/>
    </row>
    <row r="902">
      <c r="D902" s="46"/>
      <c r="N902" s="46"/>
      <c r="Q902" s="46"/>
      <c r="R902" s="46"/>
      <c r="S902" s="46"/>
    </row>
    <row r="903">
      <c r="D903" s="46"/>
      <c r="N903" s="46"/>
      <c r="Q903" s="46"/>
      <c r="R903" s="46"/>
      <c r="S903" s="46"/>
    </row>
    <row r="904">
      <c r="D904" s="46"/>
      <c r="N904" s="46"/>
      <c r="Q904" s="46"/>
      <c r="R904" s="46"/>
      <c r="S904" s="46"/>
    </row>
    <row r="905">
      <c r="D905" s="46"/>
      <c r="N905" s="46"/>
      <c r="Q905" s="46"/>
      <c r="R905" s="46"/>
      <c r="S905" s="46"/>
    </row>
    <row r="906">
      <c r="D906" s="46"/>
      <c r="N906" s="46"/>
      <c r="Q906" s="46"/>
      <c r="R906" s="46"/>
      <c r="S906" s="46"/>
    </row>
    <row r="907">
      <c r="D907" s="46"/>
      <c r="N907" s="46"/>
      <c r="Q907" s="46"/>
      <c r="R907" s="46"/>
      <c r="S907" s="46"/>
    </row>
    <row r="908">
      <c r="D908" s="46"/>
      <c r="N908" s="46"/>
      <c r="Q908" s="46"/>
      <c r="R908" s="46"/>
      <c r="S908" s="46"/>
    </row>
    <row r="909">
      <c r="D909" s="46"/>
      <c r="N909" s="46"/>
      <c r="Q909" s="46"/>
      <c r="R909" s="46"/>
      <c r="S909" s="46"/>
    </row>
    <row r="910">
      <c r="D910" s="46"/>
      <c r="N910" s="46"/>
      <c r="Q910" s="46"/>
      <c r="R910" s="46"/>
      <c r="S910" s="46"/>
    </row>
    <row r="911">
      <c r="D911" s="46"/>
      <c r="N911" s="46"/>
      <c r="Q911" s="46"/>
      <c r="R911" s="46"/>
      <c r="S911" s="46"/>
    </row>
    <row r="912">
      <c r="D912" s="46"/>
      <c r="N912" s="46"/>
      <c r="Q912" s="46"/>
      <c r="R912" s="46"/>
      <c r="S912" s="46"/>
    </row>
    <row r="913">
      <c r="D913" s="46"/>
      <c r="N913" s="46"/>
      <c r="Q913" s="46"/>
      <c r="R913" s="46"/>
      <c r="S913" s="46"/>
    </row>
    <row r="914">
      <c r="D914" s="46"/>
      <c r="N914" s="46"/>
      <c r="Q914" s="46"/>
      <c r="R914" s="46"/>
      <c r="S914" s="46"/>
    </row>
    <row r="915">
      <c r="D915" s="46"/>
      <c r="N915" s="46"/>
      <c r="Q915" s="46"/>
      <c r="R915" s="46"/>
      <c r="S915" s="46"/>
    </row>
    <row r="916">
      <c r="D916" s="46"/>
      <c r="N916" s="46"/>
      <c r="Q916" s="46"/>
      <c r="R916" s="46"/>
      <c r="S916" s="46"/>
    </row>
    <row r="917">
      <c r="D917" s="46"/>
      <c r="N917" s="46"/>
      <c r="Q917" s="46"/>
      <c r="R917" s="46"/>
      <c r="S917" s="46"/>
    </row>
    <row r="918">
      <c r="D918" s="46"/>
      <c r="N918" s="46"/>
      <c r="Q918" s="46"/>
      <c r="R918" s="46"/>
      <c r="S918" s="46"/>
    </row>
    <row r="919">
      <c r="D919" s="46"/>
      <c r="N919" s="46"/>
      <c r="Q919" s="46"/>
      <c r="R919" s="46"/>
      <c r="S919" s="46"/>
    </row>
    <row r="920">
      <c r="D920" s="46"/>
      <c r="N920" s="46"/>
      <c r="Q920" s="46"/>
      <c r="R920" s="46"/>
      <c r="S920" s="46"/>
    </row>
    <row r="921">
      <c r="D921" s="46"/>
      <c r="N921" s="46"/>
      <c r="Q921" s="46"/>
      <c r="R921" s="46"/>
      <c r="S921" s="46"/>
    </row>
    <row r="922">
      <c r="D922" s="46"/>
      <c r="N922" s="46"/>
      <c r="Q922" s="46"/>
      <c r="R922" s="46"/>
      <c r="S922" s="46"/>
    </row>
    <row r="923">
      <c r="D923" s="46"/>
      <c r="N923" s="46"/>
      <c r="Q923" s="46"/>
      <c r="R923" s="46"/>
      <c r="S923" s="46"/>
    </row>
    <row r="924">
      <c r="D924" s="46"/>
      <c r="N924" s="46"/>
      <c r="Q924" s="46"/>
      <c r="R924" s="46"/>
      <c r="S924" s="46"/>
    </row>
    <row r="925">
      <c r="D925" s="46"/>
      <c r="N925" s="46"/>
      <c r="Q925" s="46"/>
      <c r="R925" s="46"/>
      <c r="S925" s="46"/>
    </row>
    <row r="926">
      <c r="D926" s="46"/>
      <c r="N926" s="46"/>
      <c r="Q926" s="46"/>
      <c r="R926" s="46"/>
      <c r="S926" s="46"/>
    </row>
    <row r="927">
      <c r="D927" s="46"/>
      <c r="N927" s="46"/>
      <c r="Q927" s="46"/>
      <c r="R927" s="46"/>
      <c r="S927" s="46"/>
    </row>
    <row r="928">
      <c r="D928" s="46"/>
      <c r="N928" s="46"/>
      <c r="Q928" s="46"/>
      <c r="R928" s="46"/>
      <c r="S928" s="46"/>
    </row>
    <row r="929">
      <c r="D929" s="46"/>
      <c r="N929" s="46"/>
      <c r="Q929" s="46"/>
      <c r="R929" s="46"/>
      <c r="S929" s="46"/>
    </row>
    <row r="930">
      <c r="D930" s="46"/>
      <c r="N930" s="46"/>
      <c r="Q930" s="46"/>
      <c r="R930" s="46"/>
      <c r="S930" s="46"/>
    </row>
    <row r="931">
      <c r="D931" s="46"/>
      <c r="N931" s="46"/>
      <c r="Q931" s="46"/>
      <c r="R931" s="46"/>
      <c r="S931" s="46"/>
    </row>
    <row r="932">
      <c r="D932" s="46"/>
      <c r="N932" s="46"/>
      <c r="Q932" s="46"/>
      <c r="R932" s="46"/>
      <c r="S932" s="46"/>
    </row>
    <row r="933">
      <c r="D933" s="46"/>
      <c r="N933" s="46"/>
      <c r="Q933" s="46"/>
      <c r="R933" s="46"/>
      <c r="S933" s="46"/>
    </row>
    <row r="934">
      <c r="D934" s="46"/>
      <c r="N934" s="46"/>
      <c r="Q934" s="46"/>
      <c r="R934" s="46"/>
      <c r="S934" s="46"/>
    </row>
    <row r="935">
      <c r="D935" s="46"/>
      <c r="N935" s="46"/>
      <c r="Q935" s="46"/>
      <c r="R935" s="46"/>
      <c r="S935" s="46"/>
    </row>
    <row r="936">
      <c r="D936" s="46"/>
      <c r="N936" s="46"/>
      <c r="Q936" s="46"/>
      <c r="R936" s="46"/>
      <c r="S936" s="46"/>
    </row>
    <row r="937">
      <c r="D937" s="46"/>
      <c r="N937" s="46"/>
      <c r="Q937" s="46"/>
      <c r="R937" s="46"/>
      <c r="S937" s="46"/>
    </row>
    <row r="938">
      <c r="D938" s="46"/>
      <c r="N938" s="46"/>
      <c r="Q938" s="46"/>
      <c r="R938" s="46"/>
      <c r="S938" s="46"/>
    </row>
    <row r="939">
      <c r="D939" s="46"/>
      <c r="N939" s="46"/>
      <c r="Q939" s="46"/>
      <c r="R939" s="46"/>
      <c r="S939" s="46"/>
    </row>
    <row r="940">
      <c r="D940" s="46"/>
      <c r="N940" s="46"/>
      <c r="Q940" s="46"/>
      <c r="R940" s="46"/>
      <c r="S940" s="46"/>
    </row>
    <row r="941">
      <c r="D941" s="46"/>
      <c r="N941" s="46"/>
      <c r="Q941" s="46"/>
      <c r="R941" s="46"/>
      <c r="S941" s="46"/>
    </row>
    <row r="942">
      <c r="D942" s="46"/>
      <c r="N942" s="46"/>
      <c r="Q942" s="46"/>
      <c r="R942" s="46"/>
      <c r="S942" s="46"/>
    </row>
    <row r="943">
      <c r="D943" s="46"/>
      <c r="N943" s="46"/>
      <c r="Q943" s="46"/>
      <c r="R943" s="46"/>
      <c r="S943" s="46"/>
    </row>
    <row r="944">
      <c r="D944" s="46"/>
      <c r="N944" s="46"/>
      <c r="Q944" s="46"/>
      <c r="R944" s="46"/>
      <c r="S944" s="46"/>
    </row>
    <row r="945">
      <c r="D945" s="46"/>
      <c r="N945" s="46"/>
      <c r="Q945" s="46"/>
      <c r="R945" s="46"/>
      <c r="S945" s="46"/>
    </row>
    <row r="946">
      <c r="D946" s="46"/>
      <c r="N946" s="46"/>
      <c r="Q946" s="46"/>
      <c r="R946" s="46"/>
      <c r="S946" s="46"/>
    </row>
    <row r="947">
      <c r="D947" s="46"/>
      <c r="N947" s="46"/>
      <c r="Q947" s="46"/>
      <c r="R947" s="46"/>
      <c r="S947" s="46"/>
    </row>
    <row r="948">
      <c r="D948" s="46"/>
      <c r="N948" s="46"/>
      <c r="Q948" s="46"/>
      <c r="R948" s="46"/>
      <c r="S948" s="46"/>
    </row>
    <row r="949">
      <c r="D949" s="46"/>
      <c r="N949" s="46"/>
      <c r="Q949" s="46"/>
      <c r="R949" s="46"/>
      <c r="S949" s="46"/>
    </row>
    <row r="950">
      <c r="D950" s="46"/>
      <c r="N950" s="46"/>
      <c r="Q950" s="46"/>
      <c r="R950" s="46"/>
      <c r="S950" s="46"/>
    </row>
    <row r="951">
      <c r="D951" s="46"/>
      <c r="N951" s="46"/>
      <c r="Q951" s="46"/>
      <c r="R951" s="46"/>
      <c r="S951" s="46"/>
    </row>
    <row r="952">
      <c r="D952" s="46"/>
      <c r="N952" s="46"/>
      <c r="Q952" s="46"/>
      <c r="R952" s="46"/>
      <c r="S952" s="46"/>
    </row>
    <row r="953">
      <c r="D953" s="46"/>
      <c r="N953" s="46"/>
      <c r="Q953" s="46"/>
      <c r="R953" s="46"/>
      <c r="S953" s="46"/>
    </row>
    <row r="954">
      <c r="D954" s="46"/>
      <c r="N954" s="46"/>
      <c r="Q954" s="46"/>
      <c r="R954" s="46"/>
      <c r="S954" s="46"/>
    </row>
    <row r="955">
      <c r="D955" s="46"/>
      <c r="N955" s="46"/>
      <c r="Q955" s="46"/>
      <c r="R955" s="46"/>
      <c r="S955" s="46"/>
    </row>
    <row r="956">
      <c r="D956" s="46"/>
      <c r="N956" s="46"/>
      <c r="Q956" s="46"/>
      <c r="R956" s="46"/>
      <c r="S956" s="46"/>
    </row>
    <row r="957">
      <c r="D957" s="46"/>
      <c r="N957" s="46"/>
      <c r="Q957" s="46"/>
      <c r="R957" s="46"/>
      <c r="S957" s="46"/>
    </row>
    <row r="958">
      <c r="D958" s="46"/>
      <c r="N958" s="46"/>
      <c r="Q958" s="46"/>
      <c r="R958" s="46"/>
      <c r="S958" s="46"/>
    </row>
    <row r="959">
      <c r="D959" s="46"/>
      <c r="N959" s="46"/>
      <c r="Q959" s="46"/>
      <c r="R959" s="46"/>
      <c r="S959" s="46"/>
    </row>
    <row r="960">
      <c r="D960" s="46"/>
      <c r="N960" s="46"/>
      <c r="Q960" s="46"/>
      <c r="R960" s="46"/>
      <c r="S960" s="46"/>
    </row>
    <row r="961">
      <c r="D961" s="46"/>
      <c r="N961" s="46"/>
      <c r="Q961" s="46"/>
      <c r="R961" s="46"/>
      <c r="S961" s="46"/>
    </row>
    <row r="962">
      <c r="D962" s="46"/>
      <c r="N962" s="46"/>
      <c r="Q962" s="46"/>
      <c r="R962" s="46"/>
      <c r="S962" s="46"/>
    </row>
    <row r="963">
      <c r="D963" s="46"/>
      <c r="N963" s="46"/>
      <c r="Q963" s="46"/>
      <c r="R963" s="46"/>
      <c r="S963" s="46"/>
    </row>
    <row r="964">
      <c r="D964" s="46"/>
      <c r="N964" s="46"/>
      <c r="Q964" s="46"/>
      <c r="R964" s="46"/>
      <c r="S964" s="46"/>
    </row>
    <row r="965">
      <c r="D965" s="46"/>
      <c r="N965" s="46"/>
      <c r="Q965" s="46"/>
      <c r="R965" s="46"/>
      <c r="S965" s="46"/>
    </row>
    <row r="966">
      <c r="D966" s="46"/>
      <c r="N966" s="46"/>
      <c r="Q966" s="46"/>
      <c r="R966" s="46"/>
      <c r="S966" s="46"/>
    </row>
    <row r="967">
      <c r="D967" s="46"/>
      <c r="N967" s="46"/>
      <c r="Q967" s="46"/>
      <c r="R967" s="46"/>
      <c r="S967" s="46"/>
    </row>
    <row r="968">
      <c r="D968" s="46"/>
      <c r="N968" s="46"/>
      <c r="Q968" s="46"/>
      <c r="R968" s="46"/>
      <c r="S968" s="46"/>
    </row>
    <row r="969">
      <c r="D969" s="46"/>
      <c r="N969" s="46"/>
      <c r="Q969" s="46"/>
      <c r="R969" s="46"/>
      <c r="S969" s="46"/>
    </row>
    <row r="970">
      <c r="D970" s="46"/>
      <c r="N970" s="46"/>
      <c r="Q970" s="46"/>
      <c r="R970" s="46"/>
      <c r="S970" s="46"/>
    </row>
    <row r="971">
      <c r="D971" s="46"/>
      <c r="N971" s="46"/>
      <c r="Q971" s="46"/>
      <c r="R971" s="46"/>
      <c r="S971" s="46"/>
    </row>
    <row r="972">
      <c r="D972" s="46"/>
      <c r="N972" s="46"/>
      <c r="Q972" s="46"/>
      <c r="R972" s="46"/>
      <c r="S972" s="46"/>
    </row>
    <row r="973">
      <c r="D973" s="46"/>
      <c r="N973" s="46"/>
      <c r="Q973" s="46"/>
      <c r="R973" s="46"/>
      <c r="S973" s="46"/>
    </row>
    <row r="974">
      <c r="D974" s="46"/>
      <c r="N974" s="46"/>
      <c r="Q974" s="46"/>
      <c r="R974" s="46"/>
      <c r="S974" s="46"/>
    </row>
    <row r="975">
      <c r="D975" s="46"/>
      <c r="N975" s="46"/>
      <c r="Q975" s="46"/>
      <c r="R975" s="46"/>
      <c r="S975" s="46"/>
    </row>
    <row r="976">
      <c r="D976" s="46"/>
      <c r="N976" s="46"/>
      <c r="Q976" s="46"/>
      <c r="R976" s="46"/>
      <c r="S976" s="46"/>
    </row>
    <row r="977">
      <c r="D977" s="46"/>
      <c r="N977" s="46"/>
      <c r="Q977" s="46"/>
      <c r="R977" s="46"/>
      <c r="S977" s="46"/>
    </row>
    <row r="978">
      <c r="D978" s="46"/>
      <c r="N978" s="46"/>
      <c r="Q978" s="46"/>
      <c r="R978" s="46"/>
      <c r="S978" s="46"/>
    </row>
    <row r="979">
      <c r="D979" s="46"/>
      <c r="N979" s="46"/>
      <c r="Q979" s="46"/>
      <c r="R979" s="46"/>
      <c r="S979" s="46"/>
    </row>
    <row r="980">
      <c r="D980" s="46"/>
      <c r="N980" s="46"/>
      <c r="Q980" s="46"/>
      <c r="R980" s="46"/>
      <c r="S980" s="46"/>
    </row>
    <row r="981">
      <c r="D981" s="46"/>
      <c r="N981" s="46"/>
      <c r="Q981" s="46"/>
      <c r="R981" s="46"/>
      <c r="S981" s="46"/>
    </row>
    <row r="982">
      <c r="D982" s="46"/>
      <c r="N982" s="46"/>
      <c r="Q982" s="46"/>
      <c r="R982" s="46"/>
      <c r="S982" s="46"/>
    </row>
    <row r="983">
      <c r="D983" s="46"/>
      <c r="N983" s="46"/>
      <c r="Q983" s="46"/>
      <c r="R983" s="46"/>
      <c r="S983" s="46"/>
    </row>
    <row r="984">
      <c r="D984" s="46"/>
      <c r="N984" s="46"/>
      <c r="Q984" s="46"/>
      <c r="R984" s="46"/>
      <c r="S984" s="46"/>
    </row>
    <row r="985">
      <c r="D985" s="46"/>
      <c r="N985" s="46"/>
      <c r="Q985" s="46"/>
      <c r="R985" s="46"/>
      <c r="S985" s="46"/>
    </row>
    <row r="986">
      <c r="D986" s="46"/>
      <c r="N986" s="46"/>
      <c r="Q986" s="46"/>
      <c r="R986" s="46"/>
      <c r="S986" s="46"/>
    </row>
    <row r="987">
      <c r="D987" s="46"/>
      <c r="N987" s="46"/>
      <c r="Q987" s="46"/>
      <c r="R987" s="46"/>
      <c r="S987" s="46"/>
    </row>
    <row r="988">
      <c r="D988" s="46"/>
      <c r="N988" s="46"/>
      <c r="Q988" s="46"/>
      <c r="R988" s="46"/>
      <c r="S988" s="46"/>
    </row>
    <row r="989">
      <c r="D989" s="46"/>
      <c r="N989" s="46"/>
      <c r="Q989" s="46"/>
      <c r="R989" s="46"/>
      <c r="S989" s="46"/>
    </row>
    <row r="990">
      <c r="D990" s="46"/>
      <c r="N990" s="46"/>
      <c r="Q990" s="46"/>
      <c r="R990" s="46"/>
      <c r="S990" s="46"/>
    </row>
    <row r="991">
      <c r="D991" s="46"/>
      <c r="N991" s="46"/>
      <c r="Q991" s="46"/>
      <c r="R991" s="46"/>
      <c r="S991" s="46"/>
    </row>
    <row r="992">
      <c r="D992" s="46"/>
      <c r="N992" s="46"/>
      <c r="Q992" s="46"/>
      <c r="R992" s="46"/>
      <c r="S992" s="46"/>
    </row>
    <row r="993">
      <c r="D993" s="46"/>
      <c r="N993" s="46"/>
      <c r="Q993" s="46"/>
      <c r="R993" s="46"/>
      <c r="S993" s="46"/>
    </row>
    <row r="994">
      <c r="D994" s="46"/>
      <c r="N994" s="46"/>
      <c r="Q994" s="46"/>
      <c r="R994" s="46"/>
      <c r="S994" s="46"/>
    </row>
    <row r="995">
      <c r="D995" s="46"/>
      <c r="N995" s="46"/>
      <c r="Q995" s="46"/>
      <c r="R995" s="46"/>
      <c r="S995" s="46"/>
    </row>
    <row r="996">
      <c r="D996" s="46"/>
      <c r="N996" s="46"/>
      <c r="Q996" s="46"/>
      <c r="R996" s="46"/>
      <c r="S996" s="46"/>
    </row>
    <row r="997">
      <c r="D997" s="46"/>
      <c r="N997" s="46"/>
      <c r="Q997" s="46"/>
      <c r="R997" s="46"/>
      <c r="S997" s="46"/>
    </row>
    <row r="998">
      <c r="D998" s="46"/>
      <c r="N998" s="46"/>
      <c r="Q998" s="46"/>
      <c r="R998" s="46"/>
      <c r="S998" s="46"/>
    </row>
    <row r="999">
      <c r="D999" s="46"/>
      <c r="N999" s="46"/>
      <c r="Q999" s="46"/>
      <c r="R999" s="46"/>
      <c r="S999" s="46"/>
    </row>
    <row r="1000">
      <c r="D1000" s="46"/>
      <c r="N1000" s="46"/>
      <c r="Q1000" s="46"/>
      <c r="R1000" s="46"/>
      <c r="S1000" s="46"/>
    </row>
  </sheetData>
  <mergeCells count="12">
    <mergeCell ref="O4:S4"/>
    <mergeCell ref="B52:S52"/>
    <mergeCell ref="B53:S53"/>
    <mergeCell ref="B54:S54"/>
    <mergeCell ref="B55:S55"/>
    <mergeCell ref="A1:E2"/>
    <mergeCell ref="G1:K1"/>
    <mergeCell ref="G2:H2"/>
    <mergeCell ref="I2:K2"/>
    <mergeCell ref="A4:E4"/>
    <mergeCell ref="F4:J4"/>
    <mergeCell ref="K4:N4"/>
  </mergeCells>
  <conditionalFormatting sqref="R1:R51 S1:S51 R56:R1000 S56:S1000">
    <cfRule type="containsText" dxfId="18" priority="1" operator="containsText" text="1">
      <formula>NOT(ISERROR(SEARCH(("1"),(R1))))</formula>
    </cfRule>
  </conditionalFormatting>
  <conditionalFormatting sqref="R1:R51 S1:S51 R56:R1000 S56:S1000">
    <cfRule type="containsText" dxfId="26" priority="2" operator="containsText" text="2">
      <formula>NOT(ISERROR(SEARCH(("2"),(R1))))</formula>
    </cfRule>
  </conditionalFormatting>
  <conditionalFormatting sqref="R1:R51 S1:S51 R56:R1000 S56:S1000">
    <cfRule type="containsText" dxfId="20" priority="3" operator="containsText" text="3">
      <formula>NOT(ISERROR(SEARCH(("3"),(R1))))</formula>
    </cfRule>
  </conditionalFormatting>
  <conditionalFormatting sqref="S6:S50">
    <cfRule type="containsText" dxfId="21" priority="4" operator="containsText" text="0">
      <formula>NOT(ISERROR(SEARCH(("0"),(S6))))</formula>
    </cfRule>
  </conditionalFormatting>
  <conditionalFormatting sqref="R6:R9">
    <cfRule type="containsText" dxfId="21" priority="5" operator="containsText" text="0">
      <formula>NOT(ISERROR(SEARCH(("0"),(R6))))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3" width="5.88"/>
    <col customWidth="1" min="4" max="4" width="10.75"/>
    <col customWidth="1" min="5" max="5" width="6.88"/>
    <col customWidth="1" min="6" max="6" width="25.0"/>
    <col customWidth="1" min="7" max="7" width="4.38"/>
    <col customWidth="1" min="8" max="8" width="6.13"/>
    <col customWidth="1" min="9" max="9" width="10.75"/>
    <col customWidth="1" min="10" max="10" width="6.88"/>
    <col customWidth="1" min="11" max="11" width="23.75"/>
    <col customWidth="1" min="12" max="12" width="5.63"/>
    <col customWidth="1" min="13" max="13" width="6.13"/>
    <col customWidth="1" min="14" max="14" width="6.88"/>
    <col customWidth="1" min="15" max="15" width="22.88"/>
    <col customWidth="1" min="17" max="17" width="6.88"/>
    <col customWidth="1" min="18" max="18" width="6.63"/>
    <col customWidth="1" min="19" max="19" width="6.5"/>
  </cols>
  <sheetData>
    <row r="1" ht="19.5" customHeight="1">
      <c r="A1" s="215" t="s">
        <v>1548</v>
      </c>
      <c r="B1" s="150"/>
      <c r="C1" s="150"/>
      <c r="D1" s="150"/>
      <c r="E1" s="151"/>
      <c r="F1" s="216" t="s">
        <v>1534</v>
      </c>
      <c r="G1" s="217" t="s">
        <v>1549</v>
      </c>
      <c r="L1" s="218"/>
      <c r="M1" s="218"/>
      <c r="N1" s="218"/>
      <c r="O1" s="216" t="s">
        <v>1534</v>
      </c>
      <c r="P1" s="218"/>
      <c r="Q1" s="218"/>
      <c r="R1" s="218"/>
      <c r="S1" s="218"/>
      <c r="T1" s="154"/>
      <c r="U1" s="154"/>
      <c r="V1" s="154"/>
      <c r="W1" s="154"/>
      <c r="X1" s="154"/>
      <c r="Y1" s="154"/>
    </row>
    <row r="2" ht="14.25" customHeight="1">
      <c r="A2" s="155"/>
      <c r="B2" s="156"/>
      <c r="C2" s="156"/>
      <c r="D2" s="156"/>
      <c r="E2" s="157"/>
      <c r="F2" s="219" t="s">
        <v>1534</v>
      </c>
      <c r="L2" s="218"/>
      <c r="M2" s="218"/>
      <c r="N2" s="218"/>
      <c r="O2" s="219" t="s">
        <v>1534</v>
      </c>
      <c r="P2" s="218"/>
      <c r="Q2" s="218"/>
      <c r="R2" s="218"/>
      <c r="S2" s="218"/>
      <c r="T2" s="154"/>
      <c r="U2" s="154"/>
      <c r="V2" s="154"/>
      <c r="W2" s="154"/>
      <c r="X2" s="154"/>
      <c r="Y2" s="154"/>
    </row>
    <row r="3">
      <c r="A3" s="218"/>
      <c r="B3" s="218"/>
      <c r="C3" s="218"/>
      <c r="D3" s="218"/>
      <c r="E3" s="218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</row>
    <row r="4" ht="25.5" customHeight="1">
      <c r="A4" s="221" t="s">
        <v>1536</v>
      </c>
      <c r="B4" s="150"/>
      <c r="C4" s="150"/>
      <c r="D4" s="150"/>
      <c r="E4" s="151"/>
      <c r="F4" s="222" t="s">
        <v>1537</v>
      </c>
      <c r="G4" s="150"/>
      <c r="H4" s="150"/>
      <c r="I4" s="150"/>
      <c r="J4" s="151"/>
      <c r="K4" s="223" t="s">
        <v>1538</v>
      </c>
      <c r="L4" s="150"/>
      <c r="M4" s="150"/>
      <c r="N4" s="151"/>
      <c r="O4" s="224" t="s">
        <v>1539</v>
      </c>
      <c r="P4" s="150"/>
      <c r="Q4" s="150"/>
      <c r="R4" s="150"/>
      <c r="S4" s="151"/>
    </row>
    <row r="5">
      <c r="A5" s="225" t="s">
        <v>1511</v>
      </c>
      <c r="B5" s="226" t="s">
        <v>1512</v>
      </c>
      <c r="C5" s="227" t="s">
        <v>1540</v>
      </c>
      <c r="D5" s="226" t="s">
        <v>1517</v>
      </c>
      <c r="E5" s="228" t="s">
        <v>1541</v>
      </c>
      <c r="F5" s="229" t="s">
        <v>1511</v>
      </c>
      <c r="G5" s="230" t="s">
        <v>1512</v>
      </c>
      <c r="H5" s="231" t="s">
        <v>1540</v>
      </c>
      <c r="I5" s="230" t="s">
        <v>1517</v>
      </c>
      <c r="J5" s="232" t="s">
        <v>1541</v>
      </c>
      <c r="K5" s="233" t="s">
        <v>1511</v>
      </c>
      <c r="L5" s="234" t="s">
        <v>1519</v>
      </c>
      <c r="M5" s="234" t="s">
        <v>1542</v>
      </c>
      <c r="N5" s="235" t="s">
        <v>1541</v>
      </c>
      <c r="O5" s="236" t="s">
        <v>1511</v>
      </c>
      <c r="P5" s="237" t="s">
        <v>1515</v>
      </c>
      <c r="Q5" s="237" t="s">
        <v>1541</v>
      </c>
      <c r="R5" s="237" t="s">
        <v>1522</v>
      </c>
      <c r="S5" s="238" t="s">
        <v>1543</v>
      </c>
    </row>
    <row r="6">
      <c r="A6" s="239" t="s">
        <v>1457</v>
      </c>
      <c r="B6" s="240">
        <v>0.76</v>
      </c>
      <c r="C6" s="240">
        <v>0.705</v>
      </c>
      <c r="D6" s="241">
        <v>0.5161904761904762</v>
      </c>
      <c r="E6" s="242">
        <v>16.0</v>
      </c>
      <c r="F6" s="243" t="s">
        <v>122</v>
      </c>
      <c r="G6" s="244">
        <v>0.825</v>
      </c>
      <c r="H6" s="245">
        <v>0.837</v>
      </c>
      <c r="I6" s="245">
        <v>0.2508278145695364</v>
      </c>
      <c r="J6" s="246">
        <v>17.0</v>
      </c>
      <c r="K6" s="247"/>
      <c r="L6" s="248" t="s">
        <v>1550</v>
      </c>
      <c r="M6" s="248" t="s">
        <v>1550</v>
      </c>
      <c r="N6" s="249" t="s">
        <v>1550</v>
      </c>
      <c r="O6" s="250" t="s">
        <v>538</v>
      </c>
      <c r="P6" s="251">
        <v>556.0</v>
      </c>
      <c r="Q6" s="251">
        <v>15.0</v>
      </c>
      <c r="R6" s="252" t="s">
        <v>1551</v>
      </c>
      <c r="S6" s="253" t="s">
        <v>1552</v>
      </c>
    </row>
    <row r="7">
      <c r="A7" s="239" t="s">
        <v>1460</v>
      </c>
      <c r="B7" s="240">
        <v>0.771</v>
      </c>
      <c r="C7" s="240">
        <v>0.706</v>
      </c>
      <c r="D7" s="241">
        <v>0.6718528995756718</v>
      </c>
      <c r="E7" s="242">
        <v>20.0</v>
      </c>
      <c r="F7" s="243" t="s">
        <v>352</v>
      </c>
      <c r="G7" s="244">
        <v>0.792</v>
      </c>
      <c r="H7" s="245">
        <v>0.807</v>
      </c>
      <c r="I7" s="245">
        <v>0.20445225541886347</v>
      </c>
      <c r="J7" s="246">
        <v>16.0</v>
      </c>
      <c r="K7" s="247"/>
      <c r="L7" s="248" t="s">
        <v>1550</v>
      </c>
      <c r="M7" s="248" t="s">
        <v>1550</v>
      </c>
      <c r="N7" s="249" t="s">
        <v>1550</v>
      </c>
      <c r="O7" s="250" t="s">
        <v>1126</v>
      </c>
      <c r="P7" s="251">
        <v>508.0</v>
      </c>
      <c r="Q7" s="251">
        <v>19.0</v>
      </c>
      <c r="R7" s="252" t="s">
        <v>1551</v>
      </c>
      <c r="S7" s="253" t="s">
        <v>1551</v>
      </c>
    </row>
    <row r="8">
      <c r="A8" s="239" t="s">
        <v>553</v>
      </c>
      <c r="B8" s="240">
        <v>0.932</v>
      </c>
      <c r="C8" s="240">
        <v>0.919</v>
      </c>
      <c r="D8" s="241">
        <v>0.5335276967930029</v>
      </c>
      <c r="E8" s="242">
        <v>9.0</v>
      </c>
      <c r="F8" s="243" t="s">
        <v>526</v>
      </c>
      <c r="G8" s="244">
        <v>0.839</v>
      </c>
      <c r="H8" s="245">
        <v>0.839</v>
      </c>
      <c r="I8" s="245">
        <v>0.4319327731092437</v>
      </c>
      <c r="J8" s="246">
        <v>14.0</v>
      </c>
      <c r="K8" s="247"/>
      <c r="L8" s="248" t="s">
        <v>1550</v>
      </c>
      <c r="M8" s="248" t="s">
        <v>1550</v>
      </c>
      <c r="N8" s="249" t="s">
        <v>1550</v>
      </c>
      <c r="O8" s="254"/>
      <c r="P8" s="251" t="s">
        <v>1550</v>
      </c>
      <c r="Q8" s="251" t="s">
        <v>1550</v>
      </c>
      <c r="R8" s="255" t="s">
        <v>1550</v>
      </c>
      <c r="S8" s="256" t="s">
        <v>1550</v>
      </c>
    </row>
    <row r="9">
      <c r="A9" s="239" t="s">
        <v>1553</v>
      </c>
      <c r="B9" s="240">
        <v>0.91</v>
      </c>
      <c r="C9" s="240">
        <v>0.944</v>
      </c>
      <c r="D9" s="241">
        <v>0.6637744034707158</v>
      </c>
      <c r="E9" s="242">
        <v>16.0</v>
      </c>
      <c r="F9" s="243" t="s">
        <v>1554</v>
      </c>
      <c r="G9" s="244">
        <v>0.975</v>
      </c>
      <c r="H9" s="245">
        <v>0.969</v>
      </c>
      <c r="I9" s="245">
        <v>0.3077699293642785</v>
      </c>
      <c r="J9" s="246">
        <v>24.0</v>
      </c>
      <c r="K9" s="247"/>
      <c r="L9" s="248" t="s">
        <v>1550</v>
      </c>
      <c r="M9" s="248" t="s">
        <v>1550</v>
      </c>
      <c r="N9" s="249" t="s">
        <v>1550</v>
      </c>
      <c r="O9" s="254"/>
      <c r="P9" s="257" t="s">
        <v>1550</v>
      </c>
      <c r="Q9" s="257" t="s">
        <v>1550</v>
      </c>
      <c r="R9" s="257" t="s">
        <v>1550</v>
      </c>
      <c r="S9" s="258" t="s">
        <v>1550</v>
      </c>
    </row>
    <row r="10">
      <c r="A10" s="239" t="s">
        <v>1471</v>
      </c>
      <c r="B10" s="240">
        <v>0.876</v>
      </c>
      <c r="C10" s="240">
        <v>0.897</v>
      </c>
      <c r="D10" s="241">
        <v>0.518232044198895</v>
      </c>
      <c r="E10" s="242">
        <v>17.0</v>
      </c>
      <c r="F10" s="243" t="s">
        <v>1461</v>
      </c>
      <c r="G10" s="244">
        <v>0.903</v>
      </c>
      <c r="H10" s="245">
        <v>0.967</v>
      </c>
      <c r="I10" s="245">
        <v>0.12210648148148151</v>
      </c>
      <c r="J10" s="246">
        <v>16.0</v>
      </c>
      <c r="K10" s="247"/>
      <c r="L10" s="248" t="s">
        <v>1550</v>
      </c>
      <c r="M10" s="248" t="s">
        <v>1550</v>
      </c>
      <c r="N10" s="249" t="s">
        <v>1550</v>
      </c>
      <c r="O10" s="254"/>
      <c r="P10" s="257" t="s">
        <v>1550</v>
      </c>
      <c r="Q10" s="257" t="s">
        <v>1550</v>
      </c>
      <c r="R10" s="257" t="s">
        <v>1550</v>
      </c>
      <c r="S10" s="258" t="s">
        <v>1550</v>
      </c>
    </row>
    <row r="11">
      <c r="A11" s="239" t="s">
        <v>1555</v>
      </c>
      <c r="B11" s="240">
        <v>0.802</v>
      </c>
      <c r="C11" s="240">
        <v>0.892</v>
      </c>
      <c r="D11" s="241">
        <v>0.6612309310889006</v>
      </c>
      <c r="E11" s="242">
        <v>19.0</v>
      </c>
      <c r="F11" s="243" t="s">
        <v>622</v>
      </c>
      <c r="G11" s="244">
        <v>0.785</v>
      </c>
      <c r="H11" s="245">
        <v>0.782</v>
      </c>
      <c r="I11" s="245">
        <v>0.25409836065573765</v>
      </c>
      <c r="J11" s="246">
        <v>16.0</v>
      </c>
      <c r="K11" s="247"/>
      <c r="L11" s="248" t="s">
        <v>1550</v>
      </c>
      <c r="M11" s="248" t="s">
        <v>1550</v>
      </c>
      <c r="N11" s="249" t="s">
        <v>1550</v>
      </c>
      <c r="O11" s="254"/>
      <c r="P11" s="257" t="s">
        <v>1550</v>
      </c>
      <c r="Q11" s="257" t="s">
        <v>1550</v>
      </c>
      <c r="R11" s="257" t="s">
        <v>1550</v>
      </c>
      <c r="S11" s="258" t="s">
        <v>1550</v>
      </c>
    </row>
    <row r="12">
      <c r="A12" s="239" t="s">
        <v>1220</v>
      </c>
      <c r="B12" s="259">
        <v>0.839</v>
      </c>
      <c r="C12" s="259">
        <v>0.709</v>
      </c>
      <c r="D12" s="260">
        <v>0.6005830903790088</v>
      </c>
      <c r="E12" s="261">
        <v>10.0</v>
      </c>
      <c r="F12" s="243" t="s">
        <v>635</v>
      </c>
      <c r="G12" s="244">
        <v>0.775</v>
      </c>
      <c r="H12" s="245">
        <v>0.771</v>
      </c>
      <c r="I12" s="245">
        <v>0.34214186369958277</v>
      </c>
      <c r="J12" s="246">
        <v>14.0</v>
      </c>
      <c r="K12" s="247"/>
      <c r="L12" s="248" t="s">
        <v>1550</v>
      </c>
      <c r="M12" s="248" t="s">
        <v>1550</v>
      </c>
      <c r="N12" s="249" t="s">
        <v>1550</v>
      </c>
      <c r="O12" s="254"/>
      <c r="P12" s="257" t="s">
        <v>1550</v>
      </c>
      <c r="Q12" s="257" t="s">
        <v>1550</v>
      </c>
      <c r="R12" s="257" t="s">
        <v>1550</v>
      </c>
      <c r="S12" s="258" t="s">
        <v>1550</v>
      </c>
    </row>
    <row r="13">
      <c r="A13" s="239" t="s">
        <v>1256</v>
      </c>
      <c r="B13" s="259">
        <v>0.792</v>
      </c>
      <c r="C13" s="259">
        <v>0.775</v>
      </c>
      <c r="D13" s="260">
        <v>0.5350877192982456</v>
      </c>
      <c r="E13" s="261">
        <v>13.0</v>
      </c>
      <c r="F13" s="243" t="s">
        <v>758</v>
      </c>
      <c r="G13" s="244">
        <v>0.87</v>
      </c>
      <c r="H13" s="245">
        <v>0.814</v>
      </c>
      <c r="I13" s="245">
        <v>0.1976635514018692</v>
      </c>
      <c r="J13" s="246">
        <v>26.0</v>
      </c>
      <c r="K13" s="247"/>
      <c r="L13" s="248" t="s">
        <v>1550</v>
      </c>
      <c r="M13" s="248" t="s">
        <v>1550</v>
      </c>
      <c r="N13" s="249" t="s">
        <v>1550</v>
      </c>
      <c r="O13" s="254"/>
      <c r="P13" s="257" t="s">
        <v>1550</v>
      </c>
      <c r="Q13" s="257" t="s">
        <v>1550</v>
      </c>
      <c r="R13" s="257" t="s">
        <v>1550</v>
      </c>
      <c r="S13" s="258" t="s">
        <v>1550</v>
      </c>
    </row>
    <row r="14">
      <c r="A14" s="239" t="s">
        <v>1413</v>
      </c>
      <c r="B14" s="259">
        <v>0.954</v>
      </c>
      <c r="C14" s="259">
        <v>0.912</v>
      </c>
      <c r="D14" s="260">
        <v>0.5864197530864197</v>
      </c>
      <c r="E14" s="261">
        <v>13.0</v>
      </c>
      <c r="F14" s="243" t="s">
        <v>956</v>
      </c>
      <c r="G14" s="244">
        <v>0.848</v>
      </c>
      <c r="H14" s="245">
        <v>0.75</v>
      </c>
      <c r="I14" s="245">
        <v>0.17833456153279292</v>
      </c>
      <c r="J14" s="246">
        <v>19.0</v>
      </c>
      <c r="K14" s="247"/>
      <c r="L14" s="248" t="s">
        <v>1550</v>
      </c>
      <c r="M14" s="248" t="s">
        <v>1550</v>
      </c>
      <c r="N14" s="249" t="s">
        <v>1550</v>
      </c>
      <c r="O14" s="254"/>
      <c r="P14" s="257" t="s">
        <v>1550</v>
      </c>
      <c r="Q14" s="257" t="s">
        <v>1550</v>
      </c>
      <c r="R14" s="257" t="s">
        <v>1550</v>
      </c>
      <c r="S14" s="258" t="s">
        <v>1550</v>
      </c>
    </row>
    <row r="15">
      <c r="A15" s="239"/>
      <c r="B15" s="259" t="s">
        <v>1550</v>
      </c>
      <c r="C15" s="259" t="s">
        <v>1550</v>
      </c>
      <c r="D15" s="260" t="s">
        <v>1550</v>
      </c>
      <c r="E15" s="261" t="s">
        <v>1550</v>
      </c>
      <c r="F15" s="243" t="s">
        <v>1556</v>
      </c>
      <c r="G15" s="244">
        <v>0.827</v>
      </c>
      <c r="H15" s="245">
        <v>0.825</v>
      </c>
      <c r="I15" s="245">
        <v>0.3446547884187082</v>
      </c>
      <c r="J15" s="246">
        <v>14.0</v>
      </c>
      <c r="K15" s="247"/>
      <c r="L15" s="248" t="s">
        <v>1550</v>
      </c>
      <c r="M15" s="248" t="s">
        <v>1550</v>
      </c>
      <c r="N15" s="249" t="s">
        <v>1550</v>
      </c>
      <c r="O15" s="254"/>
      <c r="P15" s="257" t="s">
        <v>1550</v>
      </c>
      <c r="Q15" s="257" t="s">
        <v>1550</v>
      </c>
      <c r="R15" s="257" t="s">
        <v>1550</v>
      </c>
      <c r="S15" s="258" t="s">
        <v>1550</v>
      </c>
    </row>
    <row r="16">
      <c r="A16" s="239"/>
      <c r="B16" s="259" t="s">
        <v>1550</v>
      </c>
      <c r="C16" s="259" t="s">
        <v>1550</v>
      </c>
      <c r="D16" s="260" t="s">
        <v>1550</v>
      </c>
      <c r="E16" s="261" t="s">
        <v>1550</v>
      </c>
      <c r="F16" s="243" t="s">
        <v>1036</v>
      </c>
      <c r="G16" s="244">
        <v>0.841</v>
      </c>
      <c r="H16" s="245">
        <v>0.807</v>
      </c>
      <c r="I16" s="245">
        <v>0.22085889570552142</v>
      </c>
      <c r="J16" s="246">
        <v>22.0</v>
      </c>
      <c r="K16" s="247"/>
      <c r="L16" s="248" t="s">
        <v>1550</v>
      </c>
      <c r="M16" s="248" t="s">
        <v>1550</v>
      </c>
      <c r="N16" s="249" t="s">
        <v>1550</v>
      </c>
      <c r="O16" s="254"/>
      <c r="P16" s="257" t="s">
        <v>1550</v>
      </c>
      <c r="Q16" s="257" t="s">
        <v>1550</v>
      </c>
      <c r="R16" s="257" t="s">
        <v>1550</v>
      </c>
      <c r="S16" s="258" t="s">
        <v>1550</v>
      </c>
    </row>
    <row r="17">
      <c r="A17" s="239"/>
      <c r="B17" s="259" t="s">
        <v>1550</v>
      </c>
      <c r="C17" s="259" t="s">
        <v>1550</v>
      </c>
      <c r="D17" s="260" t="s">
        <v>1550</v>
      </c>
      <c r="E17" s="261" t="s">
        <v>1550</v>
      </c>
      <c r="F17" s="243" t="s">
        <v>1065</v>
      </c>
      <c r="G17" s="244">
        <v>0.934</v>
      </c>
      <c r="H17" s="245">
        <v>0.937</v>
      </c>
      <c r="I17" s="245">
        <v>0.3545454545454545</v>
      </c>
      <c r="J17" s="246">
        <v>15.0</v>
      </c>
      <c r="K17" s="247"/>
      <c r="L17" s="248" t="s">
        <v>1550</v>
      </c>
      <c r="M17" s="248" t="s">
        <v>1550</v>
      </c>
      <c r="N17" s="249" t="s">
        <v>1550</v>
      </c>
      <c r="O17" s="254"/>
      <c r="P17" s="257" t="s">
        <v>1550</v>
      </c>
      <c r="Q17" s="257" t="s">
        <v>1550</v>
      </c>
      <c r="R17" s="257" t="s">
        <v>1550</v>
      </c>
      <c r="S17" s="258" t="s">
        <v>1550</v>
      </c>
    </row>
    <row r="18">
      <c r="A18" s="239"/>
      <c r="B18" s="259" t="s">
        <v>1550</v>
      </c>
      <c r="C18" s="259" t="s">
        <v>1550</v>
      </c>
      <c r="D18" s="260" t="s">
        <v>1550</v>
      </c>
      <c r="E18" s="261" t="s">
        <v>1550</v>
      </c>
      <c r="F18" s="243" t="s">
        <v>1158</v>
      </c>
      <c r="G18" s="244">
        <v>0.811</v>
      </c>
      <c r="H18" s="245">
        <v>0.808</v>
      </c>
      <c r="I18" s="245">
        <v>0.2201659221442246</v>
      </c>
      <c r="J18" s="246">
        <v>17.0</v>
      </c>
      <c r="K18" s="247"/>
      <c r="L18" s="248" t="s">
        <v>1550</v>
      </c>
      <c r="M18" s="248" t="s">
        <v>1550</v>
      </c>
      <c r="N18" s="249" t="s">
        <v>1550</v>
      </c>
      <c r="O18" s="254"/>
      <c r="P18" s="257" t="s">
        <v>1550</v>
      </c>
      <c r="Q18" s="257" t="s">
        <v>1550</v>
      </c>
      <c r="R18" s="257" t="s">
        <v>1550</v>
      </c>
      <c r="S18" s="258" t="s">
        <v>1550</v>
      </c>
    </row>
    <row r="19">
      <c r="A19" s="239"/>
      <c r="B19" s="259" t="s">
        <v>1550</v>
      </c>
      <c r="C19" s="259" t="s">
        <v>1550</v>
      </c>
      <c r="D19" s="260" t="s">
        <v>1550</v>
      </c>
      <c r="E19" s="261" t="s">
        <v>1550</v>
      </c>
      <c r="F19" s="243" t="s">
        <v>1270</v>
      </c>
      <c r="G19" s="244">
        <v>0.82</v>
      </c>
      <c r="H19" s="245">
        <v>0.825</v>
      </c>
      <c r="I19" s="245">
        <v>0.4958283671036948</v>
      </c>
      <c r="J19" s="246">
        <v>17.0</v>
      </c>
      <c r="K19" s="247"/>
      <c r="L19" s="248" t="s">
        <v>1550</v>
      </c>
      <c r="M19" s="248" t="s">
        <v>1550</v>
      </c>
      <c r="N19" s="249" t="s">
        <v>1550</v>
      </c>
      <c r="O19" s="254"/>
      <c r="P19" s="257" t="s">
        <v>1550</v>
      </c>
      <c r="Q19" s="257" t="s">
        <v>1550</v>
      </c>
      <c r="R19" s="257" t="s">
        <v>1550</v>
      </c>
      <c r="S19" s="258" t="s">
        <v>1550</v>
      </c>
    </row>
    <row r="20">
      <c r="A20" s="239"/>
      <c r="B20" s="259" t="s">
        <v>1550</v>
      </c>
      <c r="C20" s="259" t="s">
        <v>1550</v>
      </c>
      <c r="D20" s="260" t="s">
        <v>1550</v>
      </c>
      <c r="E20" s="261" t="s">
        <v>1550</v>
      </c>
      <c r="F20" s="243" t="s">
        <v>1310</v>
      </c>
      <c r="G20" s="244">
        <v>0.822</v>
      </c>
      <c r="H20" s="245">
        <v>0.816</v>
      </c>
      <c r="I20" s="245">
        <v>0.2428666224286662</v>
      </c>
      <c r="J20" s="246">
        <v>20.0</v>
      </c>
      <c r="K20" s="247"/>
      <c r="L20" s="248" t="s">
        <v>1550</v>
      </c>
      <c r="M20" s="248" t="s">
        <v>1550</v>
      </c>
      <c r="N20" s="249" t="s">
        <v>1550</v>
      </c>
      <c r="O20" s="254"/>
      <c r="P20" s="257" t="s">
        <v>1550</v>
      </c>
      <c r="Q20" s="257" t="s">
        <v>1550</v>
      </c>
      <c r="R20" s="257" t="s">
        <v>1550</v>
      </c>
      <c r="S20" s="258" t="s">
        <v>1550</v>
      </c>
    </row>
    <row r="21">
      <c r="A21" s="239"/>
      <c r="B21" s="259" t="s">
        <v>1550</v>
      </c>
      <c r="C21" s="259" t="s">
        <v>1550</v>
      </c>
      <c r="D21" s="260" t="s">
        <v>1550</v>
      </c>
      <c r="E21" s="261" t="s">
        <v>1550</v>
      </c>
      <c r="F21" s="243"/>
      <c r="G21" s="244" t="s">
        <v>1550</v>
      </c>
      <c r="H21" s="245" t="s">
        <v>1550</v>
      </c>
      <c r="I21" s="245" t="s">
        <v>1550</v>
      </c>
      <c r="J21" s="246" t="s">
        <v>1550</v>
      </c>
      <c r="K21" s="247"/>
      <c r="L21" s="248" t="s">
        <v>1550</v>
      </c>
      <c r="M21" s="248" t="s">
        <v>1550</v>
      </c>
      <c r="N21" s="249" t="s">
        <v>1550</v>
      </c>
      <c r="O21" s="254"/>
      <c r="P21" s="257" t="s">
        <v>1550</v>
      </c>
      <c r="Q21" s="257" t="s">
        <v>1550</v>
      </c>
      <c r="R21" s="257" t="s">
        <v>1550</v>
      </c>
      <c r="S21" s="258" t="s">
        <v>1550</v>
      </c>
    </row>
    <row r="22">
      <c r="A22" s="239"/>
      <c r="B22" s="259" t="s">
        <v>1550</v>
      </c>
      <c r="C22" s="259" t="s">
        <v>1550</v>
      </c>
      <c r="D22" s="260" t="s">
        <v>1550</v>
      </c>
      <c r="E22" s="261" t="s">
        <v>1550</v>
      </c>
      <c r="F22" s="243"/>
      <c r="G22" s="244" t="s">
        <v>1550</v>
      </c>
      <c r="H22" s="245" t="s">
        <v>1550</v>
      </c>
      <c r="I22" s="245" t="s">
        <v>1550</v>
      </c>
      <c r="J22" s="246" t="s">
        <v>1550</v>
      </c>
      <c r="K22" s="247"/>
      <c r="L22" s="248" t="s">
        <v>1550</v>
      </c>
      <c r="M22" s="248" t="s">
        <v>1550</v>
      </c>
      <c r="N22" s="249" t="s">
        <v>1550</v>
      </c>
      <c r="O22" s="254"/>
      <c r="P22" s="257" t="s">
        <v>1550</v>
      </c>
      <c r="Q22" s="257" t="s">
        <v>1550</v>
      </c>
      <c r="R22" s="257" t="s">
        <v>1550</v>
      </c>
      <c r="S22" s="258" t="s">
        <v>1550</v>
      </c>
    </row>
    <row r="23">
      <c r="A23" s="239"/>
      <c r="B23" s="259" t="s">
        <v>1550</v>
      </c>
      <c r="C23" s="259" t="s">
        <v>1550</v>
      </c>
      <c r="D23" s="260" t="s">
        <v>1550</v>
      </c>
      <c r="E23" s="261" t="s">
        <v>1550</v>
      </c>
      <c r="F23" s="243"/>
      <c r="G23" s="244" t="s">
        <v>1550</v>
      </c>
      <c r="H23" s="245" t="s">
        <v>1550</v>
      </c>
      <c r="I23" s="245" t="s">
        <v>1550</v>
      </c>
      <c r="J23" s="246" t="s">
        <v>1550</v>
      </c>
      <c r="K23" s="247"/>
      <c r="L23" s="248" t="s">
        <v>1550</v>
      </c>
      <c r="M23" s="248" t="s">
        <v>1550</v>
      </c>
      <c r="N23" s="249" t="s">
        <v>1550</v>
      </c>
      <c r="O23" s="254"/>
      <c r="P23" s="257" t="s">
        <v>1550</v>
      </c>
      <c r="Q23" s="257" t="s">
        <v>1550</v>
      </c>
      <c r="R23" s="257" t="s">
        <v>1550</v>
      </c>
      <c r="S23" s="258" t="s">
        <v>1550</v>
      </c>
    </row>
    <row r="24">
      <c r="A24" s="239"/>
      <c r="B24" s="259" t="s">
        <v>1550</v>
      </c>
      <c r="C24" s="259" t="s">
        <v>1550</v>
      </c>
      <c r="D24" s="260" t="s">
        <v>1550</v>
      </c>
      <c r="E24" s="261" t="s">
        <v>1550</v>
      </c>
      <c r="F24" s="243"/>
      <c r="G24" s="244" t="s">
        <v>1550</v>
      </c>
      <c r="H24" s="245" t="s">
        <v>1550</v>
      </c>
      <c r="I24" s="245" t="s">
        <v>1550</v>
      </c>
      <c r="J24" s="246" t="s">
        <v>1550</v>
      </c>
      <c r="K24" s="247"/>
      <c r="L24" s="248" t="s">
        <v>1550</v>
      </c>
      <c r="M24" s="248" t="s">
        <v>1550</v>
      </c>
      <c r="N24" s="249" t="s">
        <v>1550</v>
      </c>
      <c r="O24" s="254"/>
      <c r="P24" s="257" t="s">
        <v>1550</v>
      </c>
      <c r="Q24" s="257" t="s">
        <v>1550</v>
      </c>
      <c r="R24" s="257" t="s">
        <v>1550</v>
      </c>
      <c r="S24" s="258" t="s">
        <v>1550</v>
      </c>
    </row>
    <row r="25">
      <c r="A25" s="239"/>
      <c r="B25" s="259" t="s">
        <v>1550</v>
      </c>
      <c r="C25" s="259" t="s">
        <v>1550</v>
      </c>
      <c r="D25" s="260" t="s">
        <v>1550</v>
      </c>
      <c r="E25" s="261" t="s">
        <v>1550</v>
      </c>
      <c r="F25" s="243"/>
      <c r="G25" s="244" t="s">
        <v>1550</v>
      </c>
      <c r="H25" s="245" t="s">
        <v>1550</v>
      </c>
      <c r="I25" s="245" t="s">
        <v>1550</v>
      </c>
      <c r="J25" s="246" t="s">
        <v>1550</v>
      </c>
      <c r="K25" s="247"/>
      <c r="L25" s="248" t="s">
        <v>1550</v>
      </c>
      <c r="M25" s="248" t="s">
        <v>1550</v>
      </c>
      <c r="N25" s="249" t="s">
        <v>1550</v>
      </c>
      <c r="O25" s="254"/>
      <c r="P25" s="257" t="s">
        <v>1550</v>
      </c>
      <c r="Q25" s="257" t="s">
        <v>1550</v>
      </c>
      <c r="R25" s="257" t="s">
        <v>1550</v>
      </c>
      <c r="S25" s="258" t="s">
        <v>1550</v>
      </c>
    </row>
    <row r="26">
      <c r="A26" s="239"/>
      <c r="B26" s="259" t="s">
        <v>1550</v>
      </c>
      <c r="C26" s="259" t="s">
        <v>1550</v>
      </c>
      <c r="D26" s="260" t="s">
        <v>1550</v>
      </c>
      <c r="E26" s="261" t="s">
        <v>1550</v>
      </c>
      <c r="F26" s="243"/>
      <c r="G26" s="244" t="s">
        <v>1550</v>
      </c>
      <c r="H26" s="245" t="s">
        <v>1550</v>
      </c>
      <c r="I26" s="245" t="s">
        <v>1550</v>
      </c>
      <c r="J26" s="246" t="s">
        <v>1550</v>
      </c>
      <c r="K26" s="247"/>
      <c r="L26" s="248" t="s">
        <v>1550</v>
      </c>
      <c r="M26" s="248" t="s">
        <v>1550</v>
      </c>
      <c r="N26" s="249" t="s">
        <v>1550</v>
      </c>
      <c r="O26" s="254"/>
      <c r="P26" s="257" t="s">
        <v>1550</v>
      </c>
      <c r="Q26" s="257" t="s">
        <v>1550</v>
      </c>
      <c r="R26" s="257" t="s">
        <v>1550</v>
      </c>
      <c r="S26" s="258" t="s">
        <v>1550</v>
      </c>
    </row>
    <row r="27">
      <c r="A27" s="239"/>
      <c r="B27" s="259" t="s">
        <v>1550</v>
      </c>
      <c r="C27" s="259" t="s">
        <v>1550</v>
      </c>
      <c r="D27" s="260" t="s">
        <v>1550</v>
      </c>
      <c r="E27" s="261" t="s">
        <v>1550</v>
      </c>
      <c r="F27" s="243"/>
      <c r="G27" s="262" t="s">
        <v>1550</v>
      </c>
      <c r="H27" s="262" t="s">
        <v>1550</v>
      </c>
      <c r="I27" s="262" t="s">
        <v>1550</v>
      </c>
      <c r="J27" s="263" t="s">
        <v>1550</v>
      </c>
      <c r="K27" s="247"/>
      <c r="L27" s="248" t="s">
        <v>1550</v>
      </c>
      <c r="M27" s="248" t="s">
        <v>1550</v>
      </c>
      <c r="N27" s="249" t="s">
        <v>1550</v>
      </c>
      <c r="O27" s="254"/>
      <c r="P27" s="257" t="s">
        <v>1550</v>
      </c>
      <c r="Q27" s="257" t="s">
        <v>1550</v>
      </c>
      <c r="R27" s="257" t="s">
        <v>1550</v>
      </c>
      <c r="S27" s="258" t="s">
        <v>1550</v>
      </c>
    </row>
    <row r="28" hidden="1">
      <c r="A28" s="239"/>
      <c r="B28" s="259" t="s">
        <v>1550</v>
      </c>
      <c r="C28" s="259" t="s">
        <v>1550</v>
      </c>
      <c r="D28" s="260" t="s">
        <v>1550</v>
      </c>
      <c r="E28" s="261" t="s">
        <v>1550</v>
      </c>
      <c r="F28" s="243"/>
      <c r="G28" s="262" t="s">
        <v>1550</v>
      </c>
      <c r="H28" s="262" t="s">
        <v>1550</v>
      </c>
      <c r="I28" s="262" t="s">
        <v>1550</v>
      </c>
      <c r="J28" s="263" t="s">
        <v>1550</v>
      </c>
      <c r="K28" s="247"/>
      <c r="L28" s="248" t="s">
        <v>1550</v>
      </c>
      <c r="M28" s="248" t="s">
        <v>1550</v>
      </c>
      <c r="N28" s="249" t="s">
        <v>1550</v>
      </c>
      <c r="O28" s="254"/>
      <c r="P28" s="257" t="s">
        <v>1550</v>
      </c>
      <c r="Q28" s="257" t="s">
        <v>1550</v>
      </c>
      <c r="R28" s="257" t="s">
        <v>1550</v>
      </c>
      <c r="S28" s="258" t="s">
        <v>1550</v>
      </c>
    </row>
    <row r="29" hidden="1">
      <c r="A29" s="239"/>
      <c r="B29" s="259" t="s">
        <v>1550</v>
      </c>
      <c r="C29" s="259" t="s">
        <v>1550</v>
      </c>
      <c r="D29" s="260" t="s">
        <v>1550</v>
      </c>
      <c r="E29" s="261" t="s">
        <v>1550</v>
      </c>
      <c r="F29" s="243"/>
      <c r="G29" s="262" t="s">
        <v>1550</v>
      </c>
      <c r="H29" s="262" t="s">
        <v>1550</v>
      </c>
      <c r="I29" s="262" t="s">
        <v>1550</v>
      </c>
      <c r="J29" s="263" t="s">
        <v>1550</v>
      </c>
      <c r="K29" s="247"/>
      <c r="L29" s="248" t="s">
        <v>1550</v>
      </c>
      <c r="M29" s="248" t="s">
        <v>1550</v>
      </c>
      <c r="N29" s="249" t="s">
        <v>1550</v>
      </c>
      <c r="O29" s="254"/>
      <c r="P29" s="257" t="s">
        <v>1550</v>
      </c>
      <c r="Q29" s="257" t="s">
        <v>1550</v>
      </c>
      <c r="R29" s="257" t="s">
        <v>1550</v>
      </c>
      <c r="S29" s="258" t="s">
        <v>1550</v>
      </c>
    </row>
    <row r="30" hidden="1">
      <c r="A30" s="239"/>
      <c r="B30" s="259" t="s">
        <v>1550</v>
      </c>
      <c r="C30" s="259" t="s">
        <v>1550</v>
      </c>
      <c r="D30" s="260" t="s">
        <v>1550</v>
      </c>
      <c r="E30" s="261" t="s">
        <v>1550</v>
      </c>
      <c r="F30" s="243"/>
      <c r="G30" s="262" t="s">
        <v>1550</v>
      </c>
      <c r="H30" s="262" t="s">
        <v>1550</v>
      </c>
      <c r="I30" s="262" t="s">
        <v>1550</v>
      </c>
      <c r="J30" s="263" t="s">
        <v>1550</v>
      </c>
      <c r="K30" s="247"/>
      <c r="L30" s="248" t="s">
        <v>1550</v>
      </c>
      <c r="M30" s="248" t="s">
        <v>1550</v>
      </c>
      <c r="N30" s="249" t="s">
        <v>1550</v>
      </c>
      <c r="O30" s="254"/>
      <c r="P30" s="257" t="s">
        <v>1550</v>
      </c>
      <c r="Q30" s="257" t="s">
        <v>1550</v>
      </c>
      <c r="R30" s="257" t="s">
        <v>1550</v>
      </c>
      <c r="S30" s="258" t="s">
        <v>1550</v>
      </c>
    </row>
    <row r="31" hidden="1">
      <c r="A31" s="239"/>
      <c r="B31" s="259" t="s">
        <v>1550</v>
      </c>
      <c r="C31" s="259" t="s">
        <v>1550</v>
      </c>
      <c r="D31" s="260" t="s">
        <v>1550</v>
      </c>
      <c r="E31" s="261" t="s">
        <v>1550</v>
      </c>
      <c r="F31" s="243"/>
      <c r="G31" s="262" t="s">
        <v>1550</v>
      </c>
      <c r="H31" s="262" t="s">
        <v>1550</v>
      </c>
      <c r="I31" s="262" t="s">
        <v>1550</v>
      </c>
      <c r="J31" s="263" t="s">
        <v>1550</v>
      </c>
      <c r="K31" s="247"/>
      <c r="L31" s="248" t="s">
        <v>1550</v>
      </c>
      <c r="M31" s="248" t="s">
        <v>1550</v>
      </c>
      <c r="N31" s="249" t="s">
        <v>1550</v>
      </c>
      <c r="O31" s="254"/>
      <c r="P31" s="257" t="s">
        <v>1550</v>
      </c>
      <c r="Q31" s="257" t="s">
        <v>1550</v>
      </c>
      <c r="R31" s="257" t="s">
        <v>1550</v>
      </c>
      <c r="S31" s="258" t="s">
        <v>1550</v>
      </c>
    </row>
    <row r="32" hidden="1">
      <c r="A32" s="239"/>
      <c r="B32" s="259" t="s">
        <v>1550</v>
      </c>
      <c r="C32" s="259" t="s">
        <v>1550</v>
      </c>
      <c r="D32" s="260" t="s">
        <v>1550</v>
      </c>
      <c r="E32" s="261" t="s">
        <v>1550</v>
      </c>
      <c r="F32" s="243"/>
      <c r="G32" s="262" t="s">
        <v>1550</v>
      </c>
      <c r="H32" s="262" t="s">
        <v>1550</v>
      </c>
      <c r="I32" s="262" t="s">
        <v>1550</v>
      </c>
      <c r="J32" s="263" t="s">
        <v>1550</v>
      </c>
      <c r="K32" s="247"/>
      <c r="L32" s="248" t="s">
        <v>1550</v>
      </c>
      <c r="M32" s="248" t="s">
        <v>1550</v>
      </c>
      <c r="N32" s="249" t="s">
        <v>1550</v>
      </c>
      <c r="O32" s="254"/>
      <c r="P32" s="257" t="s">
        <v>1550</v>
      </c>
      <c r="Q32" s="257" t="s">
        <v>1550</v>
      </c>
      <c r="R32" s="257" t="s">
        <v>1550</v>
      </c>
      <c r="S32" s="258" t="s">
        <v>1550</v>
      </c>
    </row>
    <row r="33" hidden="1">
      <c r="A33" s="239"/>
      <c r="B33" s="259" t="s">
        <v>1550</v>
      </c>
      <c r="C33" s="259" t="s">
        <v>1550</v>
      </c>
      <c r="D33" s="260" t="s">
        <v>1550</v>
      </c>
      <c r="E33" s="261" t="s">
        <v>1550</v>
      </c>
      <c r="F33" s="243"/>
      <c r="G33" s="262" t="s">
        <v>1550</v>
      </c>
      <c r="H33" s="262" t="s">
        <v>1550</v>
      </c>
      <c r="I33" s="262" t="s">
        <v>1550</v>
      </c>
      <c r="J33" s="263" t="s">
        <v>1550</v>
      </c>
      <c r="K33" s="247"/>
      <c r="L33" s="248" t="s">
        <v>1550</v>
      </c>
      <c r="M33" s="248" t="s">
        <v>1550</v>
      </c>
      <c r="N33" s="249" t="s">
        <v>1550</v>
      </c>
      <c r="O33" s="254"/>
      <c r="P33" s="257" t="s">
        <v>1550</v>
      </c>
      <c r="Q33" s="257" t="s">
        <v>1550</v>
      </c>
      <c r="R33" s="257" t="s">
        <v>1550</v>
      </c>
      <c r="S33" s="258" t="s">
        <v>1550</v>
      </c>
    </row>
    <row r="34" hidden="1">
      <c r="A34" s="239"/>
      <c r="B34" s="259" t="s">
        <v>1550</v>
      </c>
      <c r="C34" s="259" t="s">
        <v>1550</v>
      </c>
      <c r="D34" s="260" t="s">
        <v>1550</v>
      </c>
      <c r="E34" s="261" t="s">
        <v>1550</v>
      </c>
      <c r="F34" s="243"/>
      <c r="G34" s="262" t="s">
        <v>1550</v>
      </c>
      <c r="H34" s="262" t="s">
        <v>1550</v>
      </c>
      <c r="I34" s="262" t="s">
        <v>1550</v>
      </c>
      <c r="J34" s="263" t="s">
        <v>1550</v>
      </c>
      <c r="K34" s="247"/>
      <c r="L34" s="248" t="s">
        <v>1550</v>
      </c>
      <c r="M34" s="248" t="s">
        <v>1550</v>
      </c>
      <c r="N34" s="249" t="s">
        <v>1550</v>
      </c>
      <c r="O34" s="254"/>
      <c r="P34" s="257" t="s">
        <v>1550</v>
      </c>
      <c r="Q34" s="257" t="s">
        <v>1550</v>
      </c>
      <c r="R34" s="257" t="s">
        <v>1550</v>
      </c>
      <c r="S34" s="258" t="s">
        <v>1550</v>
      </c>
    </row>
    <row r="35" hidden="1">
      <c r="A35" s="239"/>
      <c r="B35" s="259" t="s">
        <v>1550</v>
      </c>
      <c r="C35" s="259" t="s">
        <v>1550</v>
      </c>
      <c r="D35" s="260" t="s">
        <v>1550</v>
      </c>
      <c r="E35" s="261" t="s">
        <v>1550</v>
      </c>
      <c r="F35" s="243"/>
      <c r="G35" s="262" t="s">
        <v>1550</v>
      </c>
      <c r="H35" s="262" t="s">
        <v>1550</v>
      </c>
      <c r="I35" s="262" t="s">
        <v>1550</v>
      </c>
      <c r="J35" s="263" t="s">
        <v>1550</v>
      </c>
      <c r="K35" s="247"/>
      <c r="L35" s="248" t="s">
        <v>1550</v>
      </c>
      <c r="M35" s="248" t="s">
        <v>1550</v>
      </c>
      <c r="N35" s="249" t="s">
        <v>1550</v>
      </c>
      <c r="O35" s="254"/>
      <c r="P35" s="257" t="s">
        <v>1550</v>
      </c>
      <c r="Q35" s="257" t="s">
        <v>1550</v>
      </c>
      <c r="R35" s="257" t="s">
        <v>1550</v>
      </c>
      <c r="S35" s="258" t="s">
        <v>1550</v>
      </c>
    </row>
    <row r="36" hidden="1">
      <c r="A36" s="239"/>
      <c r="B36" s="259" t="s">
        <v>1550</v>
      </c>
      <c r="C36" s="259" t="s">
        <v>1550</v>
      </c>
      <c r="D36" s="260" t="s">
        <v>1550</v>
      </c>
      <c r="E36" s="261" t="s">
        <v>1550</v>
      </c>
      <c r="F36" s="243"/>
      <c r="G36" s="262" t="s">
        <v>1550</v>
      </c>
      <c r="H36" s="262" t="s">
        <v>1550</v>
      </c>
      <c r="I36" s="262" t="s">
        <v>1550</v>
      </c>
      <c r="J36" s="263" t="s">
        <v>1550</v>
      </c>
      <c r="K36" s="247"/>
      <c r="L36" s="248" t="s">
        <v>1550</v>
      </c>
      <c r="M36" s="248" t="s">
        <v>1550</v>
      </c>
      <c r="N36" s="249" t="s">
        <v>1550</v>
      </c>
      <c r="O36" s="254"/>
      <c r="P36" s="257" t="s">
        <v>1550</v>
      </c>
      <c r="Q36" s="257" t="s">
        <v>1550</v>
      </c>
      <c r="R36" s="257" t="s">
        <v>1550</v>
      </c>
      <c r="S36" s="258" t="s">
        <v>1550</v>
      </c>
    </row>
    <row r="37" hidden="1">
      <c r="A37" s="239"/>
      <c r="B37" s="259" t="s">
        <v>1550</v>
      </c>
      <c r="C37" s="259" t="s">
        <v>1550</v>
      </c>
      <c r="D37" s="260" t="s">
        <v>1550</v>
      </c>
      <c r="E37" s="261" t="s">
        <v>1550</v>
      </c>
      <c r="F37" s="243"/>
      <c r="G37" s="262" t="s">
        <v>1550</v>
      </c>
      <c r="H37" s="262" t="s">
        <v>1550</v>
      </c>
      <c r="I37" s="262" t="s">
        <v>1550</v>
      </c>
      <c r="J37" s="263" t="s">
        <v>1550</v>
      </c>
      <c r="K37" s="247"/>
      <c r="L37" s="248" t="s">
        <v>1550</v>
      </c>
      <c r="M37" s="248" t="s">
        <v>1550</v>
      </c>
      <c r="N37" s="249" t="s">
        <v>1550</v>
      </c>
      <c r="O37" s="254"/>
      <c r="P37" s="257" t="s">
        <v>1550</v>
      </c>
      <c r="Q37" s="257" t="s">
        <v>1550</v>
      </c>
      <c r="R37" s="257" t="s">
        <v>1550</v>
      </c>
      <c r="S37" s="258" t="s">
        <v>1550</v>
      </c>
    </row>
    <row r="38" hidden="1">
      <c r="A38" s="239"/>
      <c r="B38" s="259" t="s">
        <v>1550</v>
      </c>
      <c r="C38" s="259" t="s">
        <v>1550</v>
      </c>
      <c r="D38" s="260" t="s">
        <v>1550</v>
      </c>
      <c r="E38" s="261" t="s">
        <v>1550</v>
      </c>
      <c r="F38" s="243"/>
      <c r="G38" s="262" t="s">
        <v>1550</v>
      </c>
      <c r="H38" s="262" t="s">
        <v>1550</v>
      </c>
      <c r="I38" s="262" t="s">
        <v>1550</v>
      </c>
      <c r="J38" s="263" t="s">
        <v>1550</v>
      </c>
      <c r="K38" s="247"/>
      <c r="L38" s="248" t="s">
        <v>1550</v>
      </c>
      <c r="M38" s="248" t="s">
        <v>1550</v>
      </c>
      <c r="N38" s="249" t="s">
        <v>1550</v>
      </c>
      <c r="O38" s="254"/>
      <c r="P38" s="257" t="s">
        <v>1550</v>
      </c>
      <c r="Q38" s="257" t="s">
        <v>1550</v>
      </c>
      <c r="R38" s="257" t="s">
        <v>1550</v>
      </c>
      <c r="S38" s="258" t="s">
        <v>1550</v>
      </c>
    </row>
    <row r="39" hidden="1">
      <c r="A39" s="239"/>
      <c r="B39" s="259" t="s">
        <v>1550</v>
      </c>
      <c r="C39" s="259" t="s">
        <v>1550</v>
      </c>
      <c r="D39" s="260" t="s">
        <v>1550</v>
      </c>
      <c r="E39" s="261" t="s">
        <v>1550</v>
      </c>
      <c r="F39" s="243"/>
      <c r="G39" s="262" t="s">
        <v>1550</v>
      </c>
      <c r="H39" s="262" t="s">
        <v>1550</v>
      </c>
      <c r="I39" s="262" t="s">
        <v>1550</v>
      </c>
      <c r="J39" s="263" t="s">
        <v>1550</v>
      </c>
      <c r="K39" s="247"/>
      <c r="L39" s="248" t="s">
        <v>1550</v>
      </c>
      <c r="M39" s="248" t="s">
        <v>1550</v>
      </c>
      <c r="N39" s="249" t="s">
        <v>1550</v>
      </c>
      <c r="O39" s="254"/>
      <c r="P39" s="257" t="s">
        <v>1550</v>
      </c>
      <c r="Q39" s="257" t="s">
        <v>1550</v>
      </c>
      <c r="R39" s="257" t="s">
        <v>1550</v>
      </c>
      <c r="S39" s="258" t="s">
        <v>1550</v>
      </c>
    </row>
    <row r="40" hidden="1">
      <c r="A40" s="239"/>
      <c r="B40" s="259" t="s">
        <v>1550</v>
      </c>
      <c r="C40" s="259" t="s">
        <v>1550</v>
      </c>
      <c r="D40" s="260" t="s">
        <v>1550</v>
      </c>
      <c r="E40" s="261" t="s">
        <v>1550</v>
      </c>
      <c r="F40" s="243"/>
      <c r="G40" s="262" t="s">
        <v>1550</v>
      </c>
      <c r="H40" s="262" t="s">
        <v>1550</v>
      </c>
      <c r="I40" s="262" t="s">
        <v>1550</v>
      </c>
      <c r="J40" s="263" t="s">
        <v>1550</v>
      </c>
      <c r="K40" s="247"/>
      <c r="L40" s="248" t="s">
        <v>1550</v>
      </c>
      <c r="M40" s="248" t="s">
        <v>1550</v>
      </c>
      <c r="N40" s="249" t="s">
        <v>1550</v>
      </c>
      <c r="O40" s="254"/>
      <c r="P40" s="257" t="s">
        <v>1550</v>
      </c>
      <c r="Q40" s="257" t="s">
        <v>1550</v>
      </c>
      <c r="R40" s="257" t="s">
        <v>1550</v>
      </c>
      <c r="S40" s="258" t="s">
        <v>1550</v>
      </c>
    </row>
    <row r="41" hidden="1">
      <c r="A41" s="239"/>
      <c r="B41" s="259" t="s">
        <v>1550</v>
      </c>
      <c r="C41" s="259" t="s">
        <v>1550</v>
      </c>
      <c r="D41" s="260" t="s">
        <v>1550</v>
      </c>
      <c r="E41" s="261" t="s">
        <v>1550</v>
      </c>
      <c r="F41" s="243"/>
      <c r="G41" s="262" t="s">
        <v>1550</v>
      </c>
      <c r="H41" s="262" t="s">
        <v>1550</v>
      </c>
      <c r="I41" s="262" t="s">
        <v>1550</v>
      </c>
      <c r="J41" s="263" t="s">
        <v>1550</v>
      </c>
      <c r="K41" s="247"/>
      <c r="L41" s="248" t="s">
        <v>1550</v>
      </c>
      <c r="M41" s="248" t="s">
        <v>1550</v>
      </c>
      <c r="N41" s="249" t="s">
        <v>1550</v>
      </c>
      <c r="O41" s="254"/>
      <c r="P41" s="257" t="s">
        <v>1550</v>
      </c>
      <c r="Q41" s="257" t="s">
        <v>1550</v>
      </c>
      <c r="R41" s="257" t="s">
        <v>1550</v>
      </c>
      <c r="S41" s="258" t="s">
        <v>1550</v>
      </c>
    </row>
    <row r="42" hidden="1">
      <c r="A42" s="239"/>
      <c r="B42" s="259" t="s">
        <v>1550</v>
      </c>
      <c r="C42" s="259" t="s">
        <v>1550</v>
      </c>
      <c r="D42" s="260" t="s">
        <v>1550</v>
      </c>
      <c r="E42" s="261" t="s">
        <v>1550</v>
      </c>
      <c r="F42" s="243"/>
      <c r="G42" s="262" t="s">
        <v>1550</v>
      </c>
      <c r="H42" s="262" t="s">
        <v>1550</v>
      </c>
      <c r="I42" s="262" t="s">
        <v>1550</v>
      </c>
      <c r="J42" s="263" t="s">
        <v>1550</v>
      </c>
      <c r="K42" s="247"/>
      <c r="L42" s="248" t="s">
        <v>1550</v>
      </c>
      <c r="M42" s="248" t="s">
        <v>1550</v>
      </c>
      <c r="N42" s="249" t="s">
        <v>1550</v>
      </c>
      <c r="O42" s="254"/>
      <c r="P42" s="257" t="s">
        <v>1550</v>
      </c>
      <c r="Q42" s="257" t="s">
        <v>1550</v>
      </c>
      <c r="R42" s="257" t="s">
        <v>1550</v>
      </c>
      <c r="S42" s="258" t="s">
        <v>1550</v>
      </c>
    </row>
    <row r="43" hidden="1">
      <c r="A43" s="239"/>
      <c r="B43" s="259" t="s">
        <v>1550</v>
      </c>
      <c r="C43" s="259" t="s">
        <v>1550</v>
      </c>
      <c r="D43" s="260" t="s">
        <v>1550</v>
      </c>
      <c r="E43" s="261" t="s">
        <v>1550</v>
      </c>
      <c r="F43" s="243"/>
      <c r="G43" s="262" t="s">
        <v>1550</v>
      </c>
      <c r="H43" s="262" t="s">
        <v>1550</v>
      </c>
      <c r="I43" s="262" t="s">
        <v>1550</v>
      </c>
      <c r="J43" s="263" t="s">
        <v>1550</v>
      </c>
      <c r="K43" s="247"/>
      <c r="L43" s="248" t="s">
        <v>1550</v>
      </c>
      <c r="M43" s="248" t="s">
        <v>1550</v>
      </c>
      <c r="N43" s="249" t="s">
        <v>1550</v>
      </c>
      <c r="O43" s="254"/>
      <c r="P43" s="257" t="s">
        <v>1550</v>
      </c>
      <c r="Q43" s="257" t="s">
        <v>1550</v>
      </c>
      <c r="R43" s="257" t="s">
        <v>1550</v>
      </c>
      <c r="S43" s="258" t="s">
        <v>1550</v>
      </c>
    </row>
    <row r="44" hidden="1">
      <c r="A44" s="239"/>
      <c r="B44" s="259" t="s">
        <v>1550</v>
      </c>
      <c r="C44" s="259" t="s">
        <v>1550</v>
      </c>
      <c r="D44" s="260" t="s">
        <v>1550</v>
      </c>
      <c r="E44" s="261" t="s">
        <v>1550</v>
      </c>
      <c r="F44" s="243"/>
      <c r="G44" s="262" t="s">
        <v>1550</v>
      </c>
      <c r="H44" s="262" t="s">
        <v>1550</v>
      </c>
      <c r="I44" s="262" t="s">
        <v>1550</v>
      </c>
      <c r="J44" s="263" t="s">
        <v>1550</v>
      </c>
      <c r="K44" s="247"/>
      <c r="L44" s="248" t="s">
        <v>1550</v>
      </c>
      <c r="M44" s="248" t="s">
        <v>1550</v>
      </c>
      <c r="N44" s="249" t="s">
        <v>1550</v>
      </c>
      <c r="O44" s="254"/>
      <c r="P44" s="257" t="s">
        <v>1550</v>
      </c>
      <c r="Q44" s="257" t="s">
        <v>1550</v>
      </c>
      <c r="R44" s="257" t="s">
        <v>1550</v>
      </c>
      <c r="S44" s="258" t="s">
        <v>1550</v>
      </c>
    </row>
    <row r="45" hidden="1">
      <c r="A45" s="239"/>
      <c r="B45" s="259" t="s">
        <v>1550</v>
      </c>
      <c r="C45" s="259" t="s">
        <v>1550</v>
      </c>
      <c r="D45" s="260" t="s">
        <v>1550</v>
      </c>
      <c r="E45" s="261" t="s">
        <v>1550</v>
      </c>
      <c r="F45" s="243"/>
      <c r="G45" s="262" t="s">
        <v>1550</v>
      </c>
      <c r="H45" s="262" t="s">
        <v>1550</v>
      </c>
      <c r="I45" s="262" t="s">
        <v>1550</v>
      </c>
      <c r="J45" s="263" t="s">
        <v>1550</v>
      </c>
      <c r="K45" s="247"/>
      <c r="L45" s="248" t="s">
        <v>1550</v>
      </c>
      <c r="M45" s="248" t="s">
        <v>1550</v>
      </c>
      <c r="N45" s="249" t="s">
        <v>1550</v>
      </c>
      <c r="O45" s="254"/>
      <c r="P45" s="257" t="s">
        <v>1550</v>
      </c>
      <c r="Q45" s="257" t="s">
        <v>1550</v>
      </c>
      <c r="R45" s="257" t="s">
        <v>1550</v>
      </c>
      <c r="S45" s="258" t="s">
        <v>1550</v>
      </c>
    </row>
    <row r="46" hidden="1">
      <c r="A46" s="239"/>
      <c r="B46" s="259" t="s">
        <v>1550</v>
      </c>
      <c r="C46" s="259" t="s">
        <v>1550</v>
      </c>
      <c r="D46" s="260" t="s">
        <v>1550</v>
      </c>
      <c r="E46" s="261" t="s">
        <v>1550</v>
      </c>
      <c r="F46" s="243"/>
      <c r="G46" s="262" t="s">
        <v>1550</v>
      </c>
      <c r="H46" s="262" t="s">
        <v>1550</v>
      </c>
      <c r="I46" s="262" t="s">
        <v>1550</v>
      </c>
      <c r="J46" s="263" t="s">
        <v>1550</v>
      </c>
      <c r="K46" s="247"/>
      <c r="L46" s="248" t="s">
        <v>1550</v>
      </c>
      <c r="M46" s="248" t="s">
        <v>1550</v>
      </c>
      <c r="N46" s="249" t="s">
        <v>1550</v>
      </c>
      <c r="O46" s="254"/>
      <c r="P46" s="257" t="s">
        <v>1550</v>
      </c>
      <c r="Q46" s="257" t="s">
        <v>1550</v>
      </c>
      <c r="R46" s="257" t="s">
        <v>1550</v>
      </c>
      <c r="S46" s="258" t="s">
        <v>1550</v>
      </c>
    </row>
    <row r="47" hidden="1">
      <c r="A47" s="239"/>
      <c r="B47" s="259" t="s">
        <v>1550</v>
      </c>
      <c r="C47" s="259" t="s">
        <v>1550</v>
      </c>
      <c r="D47" s="260" t="s">
        <v>1550</v>
      </c>
      <c r="E47" s="261" t="s">
        <v>1550</v>
      </c>
      <c r="F47" s="243"/>
      <c r="G47" s="262" t="s">
        <v>1550</v>
      </c>
      <c r="H47" s="262" t="s">
        <v>1550</v>
      </c>
      <c r="I47" s="262" t="s">
        <v>1550</v>
      </c>
      <c r="J47" s="263" t="s">
        <v>1550</v>
      </c>
      <c r="K47" s="247"/>
      <c r="L47" s="248" t="s">
        <v>1550</v>
      </c>
      <c r="M47" s="248" t="s">
        <v>1550</v>
      </c>
      <c r="N47" s="249" t="s">
        <v>1550</v>
      </c>
      <c r="O47" s="254"/>
      <c r="P47" s="257" t="s">
        <v>1550</v>
      </c>
      <c r="Q47" s="257" t="s">
        <v>1550</v>
      </c>
      <c r="R47" s="257" t="s">
        <v>1550</v>
      </c>
      <c r="S47" s="258" t="s">
        <v>1550</v>
      </c>
    </row>
    <row r="48" hidden="1">
      <c r="A48" s="239"/>
      <c r="B48" s="259" t="s">
        <v>1550</v>
      </c>
      <c r="C48" s="259" t="s">
        <v>1550</v>
      </c>
      <c r="D48" s="260" t="s">
        <v>1550</v>
      </c>
      <c r="E48" s="261" t="s">
        <v>1550</v>
      </c>
      <c r="F48" s="243"/>
      <c r="G48" s="262" t="s">
        <v>1550</v>
      </c>
      <c r="H48" s="262" t="s">
        <v>1550</v>
      </c>
      <c r="I48" s="262" t="s">
        <v>1550</v>
      </c>
      <c r="J48" s="263" t="s">
        <v>1550</v>
      </c>
      <c r="K48" s="247"/>
      <c r="L48" s="248" t="s">
        <v>1550</v>
      </c>
      <c r="M48" s="248" t="s">
        <v>1550</v>
      </c>
      <c r="N48" s="249" t="s">
        <v>1550</v>
      </c>
      <c r="O48" s="254"/>
      <c r="P48" s="257" t="s">
        <v>1550</v>
      </c>
      <c r="Q48" s="257" t="s">
        <v>1550</v>
      </c>
      <c r="R48" s="257" t="s">
        <v>1550</v>
      </c>
      <c r="S48" s="258" t="s">
        <v>1550</v>
      </c>
    </row>
    <row r="49" hidden="1">
      <c r="A49" s="239"/>
      <c r="B49" s="259" t="s">
        <v>1550</v>
      </c>
      <c r="C49" s="259" t="s">
        <v>1550</v>
      </c>
      <c r="D49" s="260" t="s">
        <v>1550</v>
      </c>
      <c r="E49" s="261" t="s">
        <v>1550</v>
      </c>
      <c r="F49" s="243"/>
      <c r="G49" s="262" t="s">
        <v>1550</v>
      </c>
      <c r="H49" s="262" t="s">
        <v>1550</v>
      </c>
      <c r="I49" s="262" t="s">
        <v>1550</v>
      </c>
      <c r="J49" s="263" t="s">
        <v>1550</v>
      </c>
      <c r="K49" s="247"/>
      <c r="L49" s="248" t="s">
        <v>1550</v>
      </c>
      <c r="M49" s="248" t="s">
        <v>1550</v>
      </c>
      <c r="N49" s="249" t="s">
        <v>1550</v>
      </c>
      <c r="O49" s="254"/>
      <c r="P49" s="257" t="s">
        <v>1550</v>
      </c>
      <c r="Q49" s="257" t="s">
        <v>1550</v>
      </c>
      <c r="R49" s="257" t="s">
        <v>1550</v>
      </c>
      <c r="S49" s="258" t="s">
        <v>1550</v>
      </c>
    </row>
    <row r="50">
      <c r="A50" s="264"/>
      <c r="B50" s="259" t="s">
        <v>1550</v>
      </c>
      <c r="C50" s="259" t="s">
        <v>1550</v>
      </c>
      <c r="D50" s="260" t="s">
        <v>1550</v>
      </c>
      <c r="E50" s="261" t="s">
        <v>1550</v>
      </c>
      <c r="F50" s="265"/>
      <c r="G50" s="262" t="s">
        <v>1550</v>
      </c>
      <c r="H50" s="262" t="s">
        <v>1550</v>
      </c>
      <c r="I50" s="262" t="s">
        <v>1550</v>
      </c>
      <c r="J50" s="263" t="s">
        <v>1550</v>
      </c>
      <c r="K50" s="266"/>
      <c r="L50" s="248" t="s">
        <v>1550</v>
      </c>
      <c r="M50" s="248" t="s">
        <v>1550</v>
      </c>
      <c r="N50" s="249" t="s">
        <v>1550</v>
      </c>
      <c r="O50" s="267"/>
      <c r="P50" s="257" t="s">
        <v>1550</v>
      </c>
      <c r="Q50" s="257" t="s">
        <v>1550</v>
      </c>
      <c r="R50" s="257" t="s">
        <v>1550</v>
      </c>
      <c r="S50" s="258" t="s">
        <v>1550</v>
      </c>
    </row>
    <row r="51">
      <c r="A51" s="200"/>
      <c r="B51" s="200"/>
      <c r="C51" s="200"/>
      <c r="D51" s="201"/>
      <c r="E51" s="200"/>
      <c r="F51" s="200"/>
      <c r="G51" s="200"/>
      <c r="H51" s="200"/>
      <c r="I51" s="200"/>
      <c r="J51" s="200"/>
      <c r="K51" s="200"/>
      <c r="L51" s="200"/>
      <c r="M51" s="200"/>
      <c r="N51" s="201"/>
      <c r="O51" s="200"/>
      <c r="P51" s="200"/>
      <c r="Q51" s="201"/>
      <c r="R51" s="201"/>
      <c r="S51" s="201"/>
    </row>
    <row r="52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</row>
    <row r="53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</row>
    <row r="54">
      <c r="A54" s="268"/>
      <c r="B54" s="268"/>
      <c r="C54" s="268"/>
      <c r="D54" s="268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</row>
    <row r="55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</row>
    <row r="56">
      <c r="D56" s="46"/>
      <c r="F56" s="216" t="s">
        <v>1534</v>
      </c>
      <c r="G56" s="217" t="s">
        <v>1557</v>
      </c>
      <c r="L56" s="218"/>
      <c r="M56" s="218"/>
      <c r="N56" s="218"/>
      <c r="O56" s="216" t="s">
        <v>1534</v>
      </c>
      <c r="Q56" s="46"/>
      <c r="R56" s="46"/>
      <c r="S56" s="46"/>
    </row>
    <row r="57">
      <c r="D57" s="46"/>
      <c r="F57" s="219" t="s">
        <v>1534</v>
      </c>
      <c r="L57" s="218"/>
      <c r="M57" s="218"/>
      <c r="N57" s="218"/>
      <c r="O57" s="219" t="s">
        <v>1534</v>
      </c>
      <c r="Q57" s="46"/>
      <c r="R57" s="46"/>
      <c r="S57" s="46"/>
    </row>
    <row r="58">
      <c r="D58" s="46"/>
      <c r="N58" s="46"/>
      <c r="Q58" s="46"/>
      <c r="R58" s="46"/>
      <c r="S58" s="46"/>
    </row>
    <row r="59">
      <c r="A59" s="162" t="s">
        <v>1536</v>
      </c>
      <c r="B59" s="150"/>
      <c r="C59" s="150"/>
      <c r="D59" s="150"/>
      <c r="E59" s="151"/>
      <c r="F59" s="163" t="s">
        <v>1537</v>
      </c>
      <c r="G59" s="150"/>
      <c r="H59" s="150"/>
      <c r="I59" s="150"/>
      <c r="J59" s="151"/>
      <c r="K59" s="164" t="s">
        <v>1538</v>
      </c>
      <c r="L59" s="150"/>
      <c r="M59" s="150"/>
      <c r="N59" s="151"/>
      <c r="O59" s="165" t="s">
        <v>1539</v>
      </c>
      <c r="P59" s="150"/>
      <c r="Q59" s="150"/>
      <c r="R59" s="150"/>
      <c r="S59" s="151"/>
    </row>
    <row r="60">
      <c r="A60" s="166" t="s">
        <v>1511</v>
      </c>
      <c r="B60" s="167" t="s">
        <v>1512</v>
      </c>
      <c r="C60" s="168" t="s">
        <v>1540</v>
      </c>
      <c r="D60" s="167" t="s">
        <v>1517</v>
      </c>
      <c r="E60" s="169" t="s">
        <v>1541</v>
      </c>
      <c r="F60" s="170" t="s">
        <v>1511</v>
      </c>
      <c r="G60" s="171" t="s">
        <v>1512</v>
      </c>
      <c r="H60" s="172" t="s">
        <v>1540</v>
      </c>
      <c r="I60" s="171" t="s">
        <v>1517</v>
      </c>
      <c r="J60" s="173" t="s">
        <v>1541</v>
      </c>
      <c r="K60" s="174" t="s">
        <v>1511</v>
      </c>
      <c r="L60" s="175" t="s">
        <v>1519</v>
      </c>
      <c r="M60" s="175" t="s">
        <v>1542</v>
      </c>
      <c r="N60" s="176" t="s">
        <v>1541</v>
      </c>
      <c r="O60" s="177" t="s">
        <v>1511</v>
      </c>
      <c r="P60" s="178" t="s">
        <v>1515</v>
      </c>
      <c r="Q60" s="178" t="s">
        <v>1541</v>
      </c>
      <c r="R60" s="178" t="s">
        <v>1522</v>
      </c>
      <c r="S60" s="179" t="s">
        <v>1543</v>
      </c>
    </row>
    <row r="61">
      <c r="A61" s="180" t="s">
        <v>426</v>
      </c>
      <c r="B61" s="181">
        <v>1.0</v>
      </c>
      <c r="C61" s="181">
        <v>1.0</v>
      </c>
      <c r="D61" s="182" t="s">
        <v>1550</v>
      </c>
      <c r="E61" s="183">
        <v>12.0</v>
      </c>
      <c r="F61" s="184" t="s">
        <v>122</v>
      </c>
      <c r="G61" s="185">
        <v>0.75</v>
      </c>
      <c r="H61" s="186">
        <v>0.75</v>
      </c>
      <c r="I61" s="186">
        <v>0.3590909090909091</v>
      </c>
      <c r="J61" s="187">
        <v>7.0</v>
      </c>
      <c r="K61" s="188" t="s">
        <v>440</v>
      </c>
      <c r="L61" s="189">
        <v>0.995</v>
      </c>
      <c r="M61" s="190">
        <v>1.0</v>
      </c>
      <c r="N61" s="191">
        <v>18.0</v>
      </c>
      <c r="O61" s="192" t="s">
        <v>1220</v>
      </c>
      <c r="P61" s="193">
        <v>397.0</v>
      </c>
      <c r="Q61" s="193">
        <v>7.0</v>
      </c>
      <c r="R61" s="193" t="s">
        <v>1551</v>
      </c>
      <c r="S61" s="194" t="s">
        <v>1552</v>
      </c>
    </row>
    <row r="62">
      <c r="A62" s="180" t="s">
        <v>1554</v>
      </c>
      <c r="B62" s="181">
        <v>0.956</v>
      </c>
      <c r="C62" s="181">
        <v>0.934</v>
      </c>
      <c r="D62" s="182">
        <v>0.5272727272727273</v>
      </c>
      <c r="E62" s="183">
        <v>16.0</v>
      </c>
      <c r="F62" s="184" t="s">
        <v>137</v>
      </c>
      <c r="G62" s="185">
        <v>0.915</v>
      </c>
      <c r="H62" s="186">
        <v>0.886</v>
      </c>
      <c r="I62" s="186">
        <v>0.25380710659898476</v>
      </c>
      <c r="J62" s="187">
        <v>17.0</v>
      </c>
      <c r="K62" s="188" t="s">
        <v>1424</v>
      </c>
      <c r="L62" s="189">
        <v>0.78</v>
      </c>
      <c r="M62" s="190">
        <v>0.874</v>
      </c>
      <c r="N62" s="191">
        <v>14.0</v>
      </c>
      <c r="O62" s="192" t="s">
        <v>538</v>
      </c>
      <c r="P62" s="193">
        <v>240.0</v>
      </c>
      <c r="Q62" s="193">
        <v>7.0</v>
      </c>
      <c r="R62" s="193" t="s">
        <v>1551</v>
      </c>
      <c r="S62" s="194" t="s">
        <v>1551</v>
      </c>
    </row>
    <row r="63">
      <c r="A63" s="180" t="s">
        <v>1463</v>
      </c>
      <c r="B63" s="181">
        <v>0.8</v>
      </c>
      <c r="C63" s="181">
        <v>0.841</v>
      </c>
      <c r="D63" s="182">
        <v>0.6182472989195678</v>
      </c>
      <c r="E63" s="183">
        <v>10.0</v>
      </c>
      <c r="F63" s="184" t="s">
        <v>164</v>
      </c>
      <c r="G63" s="185">
        <v>0.83</v>
      </c>
      <c r="H63" s="186">
        <v>0.767</v>
      </c>
      <c r="I63" s="186">
        <v>0.16778523489932884</v>
      </c>
      <c r="J63" s="187">
        <v>18.0</v>
      </c>
      <c r="K63" s="188"/>
      <c r="L63" s="189" t="s">
        <v>1550</v>
      </c>
      <c r="M63" s="190" t="s">
        <v>1550</v>
      </c>
      <c r="N63" s="191" t="s">
        <v>1550</v>
      </c>
      <c r="O63" s="192" t="s">
        <v>426</v>
      </c>
      <c r="P63" s="193">
        <v>0.0</v>
      </c>
      <c r="Q63" s="193">
        <v>12.0</v>
      </c>
      <c r="R63" s="193" t="s">
        <v>1551</v>
      </c>
      <c r="S63" s="194" t="s">
        <v>1551</v>
      </c>
    </row>
    <row r="64">
      <c r="A64" s="180" t="s">
        <v>1220</v>
      </c>
      <c r="B64" s="181">
        <v>0.928</v>
      </c>
      <c r="C64" s="181">
        <v>0.928</v>
      </c>
      <c r="D64" s="182">
        <v>0.7984886649874056</v>
      </c>
      <c r="E64" s="183">
        <v>7.0</v>
      </c>
      <c r="F64" s="184" t="s">
        <v>1558</v>
      </c>
      <c r="G64" s="185">
        <v>0.849</v>
      </c>
      <c r="H64" s="186">
        <v>0.806</v>
      </c>
      <c r="I64" s="186">
        <v>0.4064039408866995</v>
      </c>
      <c r="J64" s="187">
        <v>15.0</v>
      </c>
      <c r="K64" s="188"/>
      <c r="L64" s="189" t="s">
        <v>1550</v>
      </c>
      <c r="M64" s="190" t="s">
        <v>1550</v>
      </c>
      <c r="N64" s="191" t="s">
        <v>1550</v>
      </c>
      <c r="O64" s="192" t="s">
        <v>1413</v>
      </c>
      <c r="P64" s="193">
        <v>331.0</v>
      </c>
      <c r="Q64" s="193">
        <v>9.0</v>
      </c>
      <c r="R64" s="193" t="s">
        <v>1551</v>
      </c>
      <c r="S64" s="194" t="s">
        <v>1551</v>
      </c>
    </row>
    <row r="65">
      <c r="A65" s="180" t="s">
        <v>1357</v>
      </c>
      <c r="B65" s="181">
        <v>0.899</v>
      </c>
      <c r="C65" s="181">
        <v>0.892</v>
      </c>
      <c r="D65" s="182">
        <v>0.5367286973555339</v>
      </c>
      <c r="E65" s="183">
        <v>12.0</v>
      </c>
      <c r="F65" s="184" t="s">
        <v>526</v>
      </c>
      <c r="G65" s="185">
        <v>0.935</v>
      </c>
      <c r="H65" s="186">
        <v>0.905</v>
      </c>
      <c r="I65" s="186">
        <v>0.22055137844611528</v>
      </c>
      <c r="J65" s="187">
        <v>17.0</v>
      </c>
      <c r="K65" s="188"/>
      <c r="L65" s="189" t="s">
        <v>1550</v>
      </c>
      <c r="M65" s="190" t="s">
        <v>1550</v>
      </c>
      <c r="N65" s="191" t="s">
        <v>1550</v>
      </c>
      <c r="O65" s="195"/>
      <c r="P65" s="193" t="s">
        <v>1550</v>
      </c>
      <c r="Q65" s="193" t="s">
        <v>1550</v>
      </c>
      <c r="R65" s="193" t="s">
        <v>1550</v>
      </c>
      <c r="S65" s="194" t="s">
        <v>1550</v>
      </c>
    </row>
    <row r="66">
      <c r="A66" s="180"/>
      <c r="B66" s="181" t="s">
        <v>1550</v>
      </c>
      <c r="C66" s="181" t="s">
        <v>1550</v>
      </c>
      <c r="D66" s="182" t="s">
        <v>1550</v>
      </c>
      <c r="E66" s="183" t="s">
        <v>1550</v>
      </c>
      <c r="F66" s="184" t="s">
        <v>1461</v>
      </c>
      <c r="G66" s="185">
        <v>0.999</v>
      </c>
      <c r="H66" s="186">
        <v>1.0</v>
      </c>
      <c r="I66" s="186">
        <v>0.3242424242424242</v>
      </c>
      <c r="J66" s="187">
        <v>7.0</v>
      </c>
      <c r="K66" s="188"/>
      <c r="L66" s="189" t="s">
        <v>1550</v>
      </c>
      <c r="M66" s="190" t="s">
        <v>1550</v>
      </c>
      <c r="N66" s="191" t="s">
        <v>1550</v>
      </c>
      <c r="O66" s="195"/>
      <c r="P66" s="193" t="s">
        <v>1550</v>
      </c>
      <c r="Q66" s="193" t="s">
        <v>1550</v>
      </c>
      <c r="R66" s="193" t="s">
        <v>1550</v>
      </c>
      <c r="S66" s="194" t="s">
        <v>1550</v>
      </c>
    </row>
    <row r="67">
      <c r="A67" s="180"/>
      <c r="B67" s="181" t="s">
        <v>1550</v>
      </c>
      <c r="C67" s="181" t="s">
        <v>1550</v>
      </c>
      <c r="D67" s="182" t="s">
        <v>1550</v>
      </c>
      <c r="E67" s="183" t="s">
        <v>1550</v>
      </c>
      <c r="F67" s="184" t="s">
        <v>1559</v>
      </c>
      <c r="G67" s="185">
        <v>0.85</v>
      </c>
      <c r="H67" s="186">
        <v>0.759</v>
      </c>
      <c r="I67" s="186">
        <v>0.2847141190198367</v>
      </c>
      <c r="J67" s="187">
        <v>17.0</v>
      </c>
      <c r="K67" s="188"/>
      <c r="L67" s="189" t="s">
        <v>1550</v>
      </c>
      <c r="M67" s="190" t="s">
        <v>1550</v>
      </c>
      <c r="N67" s="191" t="s">
        <v>1550</v>
      </c>
      <c r="O67" s="195"/>
      <c r="P67" s="193" t="s">
        <v>1550</v>
      </c>
      <c r="Q67" s="193" t="s">
        <v>1550</v>
      </c>
      <c r="R67" s="193" t="s">
        <v>1550</v>
      </c>
      <c r="S67" s="194" t="s">
        <v>1550</v>
      </c>
    </row>
    <row r="68">
      <c r="A68" s="180"/>
      <c r="B68" s="181" t="s">
        <v>1550</v>
      </c>
      <c r="C68" s="181" t="s">
        <v>1550</v>
      </c>
      <c r="D68" s="182" t="s">
        <v>1550</v>
      </c>
      <c r="E68" s="183" t="s">
        <v>1550</v>
      </c>
      <c r="F68" s="184" t="s">
        <v>635</v>
      </c>
      <c r="G68" s="185">
        <v>0.861</v>
      </c>
      <c r="H68" s="186">
        <v>0.83</v>
      </c>
      <c r="I68" s="186">
        <v>0.3424209378407852</v>
      </c>
      <c r="J68" s="187">
        <v>12.0</v>
      </c>
      <c r="K68" s="188"/>
      <c r="L68" s="189" t="s">
        <v>1550</v>
      </c>
      <c r="M68" s="190" t="s">
        <v>1550</v>
      </c>
      <c r="N68" s="191" t="s">
        <v>1550</v>
      </c>
      <c r="O68" s="195"/>
      <c r="P68" s="193" t="s">
        <v>1550</v>
      </c>
      <c r="Q68" s="193" t="s">
        <v>1550</v>
      </c>
      <c r="R68" s="193" t="s">
        <v>1550</v>
      </c>
      <c r="S68" s="194" t="s">
        <v>1550</v>
      </c>
    </row>
    <row r="69">
      <c r="A69" s="180"/>
      <c r="B69" s="181" t="s">
        <v>1550</v>
      </c>
      <c r="C69" s="181" t="s">
        <v>1550</v>
      </c>
      <c r="D69" s="182" t="s">
        <v>1550</v>
      </c>
      <c r="E69" s="183" t="s">
        <v>1550</v>
      </c>
      <c r="F69" s="184" t="s">
        <v>1465</v>
      </c>
      <c r="G69" s="185">
        <v>0.901</v>
      </c>
      <c r="H69" s="186">
        <v>0.881</v>
      </c>
      <c r="I69" s="186">
        <v>0.16688741721854305</v>
      </c>
      <c r="J69" s="187">
        <v>12.0</v>
      </c>
      <c r="K69" s="188"/>
      <c r="L69" s="189" t="s">
        <v>1550</v>
      </c>
      <c r="M69" s="190" t="s">
        <v>1550</v>
      </c>
      <c r="N69" s="191" t="s">
        <v>1550</v>
      </c>
      <c r="O69" s="195"/>
      <c r="P69" s="193" t="s">
        <v>1550</v>
      </c>
      <c r="Q69" s="193" t="s">
        <v>1550</v>
      </c>
      <c r="R69" s="193" t="s">
        <v>1550</v>
      </c>
      <c r="S69" s="194" t="s">
        <v>1550</v>
      </c>
    </row>
    <row r="70">
      <c r="A70" s="180"/>
      <c r="B70" s="181" t="s">
        <v>1550</v>
      </c>
      <c r="C70" s="181" t="s">
        <v>1550</v>
      </c>
      <c r="D70" s="182" t="s">
        <v>1550</v>
      </c>
      <c r="E70" s="183" t="s">
        <v>1550</v>
      </c>
      <c r="F70" s="184" t="s">
        <v>758</v>
      </c>
      <c r="G70" s="185">
        <v>0.917</v>
      </c>
      <c r="H70" s="186">
        <v>0.879</v>
      </c>
      <c r="I70" s="186">
        <v>0.26419213973799127</v>
      </c>
      <c r="J70" s="187">
        <v>18.0</v>
      </c>
      <c r="K70" s="188"/>
      <c r="L70" s="189" t="s">
        <v>1550</v>
      </c>
      <c r="M70" s="190" t="s">
        <v>1550</v>
      </c>
      <c r="N70" s="191" t="s">
        <v>1550</v>
      </c>
      <c r="O70" s="195"/>
      <c r="P70" s="193" t="s">
        <v>1550</v>
      </c>
      <c r="Q70" s="193" t="s">
        <v>1550</v>
      </c>
      <c r="R70" s="193" t="s">
        <v>1550</v>
      </c>
      <c r="S70" s="194" t="s">
        <v>1550</v>
      </c>
    </row>
    <row r="71">
      <c r="A71" s="180"/>
      <c r="B71" s="181" t="s">
        <v>1550</v>
      </c>
      <c r="C71" s="181" t="s">
        <v>1550</v>
      </c>
      <c r="D71" s="182" t="s">
        <v>1550</v>
      </c>
      <c r="E71" s="183" t="s">
        <v>1550</v>
      </c>
      <c r="F71" s="184" t="s">
        <v>888</v>
      </c>
      <c r="G71" s="185">
        <v>0.829</v>
      </c>
      <c r="H71" s="186">
        <v>0.829</v>
      </c>
      <c r="I71" s="186">
        <v>0.0895705521472393</v>
      </c>
      <c r="J71" s="187">
        <v>7.0</v>
      </c>
      <c r="K71" s="188"/>
      <c r="L71" s="189" t="s">
        <v>1550</v>
      </c>
      <c r="M71" s="190" t="s">
        <v>1550</v>
      </c>
      <c r="N71" s="191" t="s">
        <v>1550</v>
      </c>
      <c r="O71" s="195"/>
      <c r="P71" s="193" t="s">
        <v>1550</v>
      </c>
      <c r="Q71" s="193" t="s">
        <v>1550</v>
      </c>
      <c r="R71" s="193" t="s">
        <v>1550</v>
      </c>
      <c r="S71" s="194" t="s">
        <v>1550</v>
      </c>
    </row>
    <row r="72">
      <c r="A72" s="180"/>
      <c r="B72" s="181" t="s">
        <v>1550</v>
      </c>
      <c r="C72" s="181" t="s">
        <v>1550</v>
      </c>
      <c r="D72" s="182" t="s">
        <v>1550</v>
      </c>
      <c r="E72" s="183" t="s">
        <v>1550</v>
      </c>
      <c r="F72" s="184" t="s">
        <v>1553</v>
      </c>
      <c r="G72" s="185">
        <v>0.823</v>
      </c>
      <c r="H72" s="186">
        <v>0.803</v>
      </c>
      <c r="I72" s="186">
        <v>0.33333333333333337</v>
      </c>
      <c r="J72" s="187">
        <v>15.0</v>
      </c>
      <c r="K72" s="188"/>
      <c r="L72" s="189" t="s">
        <v>1550</v>
      </c>
      <c r="M72" s="190" t="s">
        <v>1550</v>
      </c>
      <c r="N72" s="191" t="s">
        <v>1550</v>
      </c>
      <c r="O72" s="195"/>
      <c r="P72" s="193" t="s">
        <v>1550</v>
      </c>
      <c r="Q72" s="193" t="s">
        <v>1550</v>
      </c>
      <c r="R72" s="193" t="s">
        <v>1550</v>
      </c>
      <c r="S72" s="194" t="s">
        <v>1550</v>
      </c>
    </row>
    <row r="73">
      <c r="A73" s="180"/>
      <c r="B73" s="181" t="s">
        <v>1550</v>
      </c>
      <c r="C73" s="181" t="s">
        <v>1550</v>
      </c>
      <c r="D73" s="182" t="s">
        <v>1550</v>
      </c>
      <c r="E73" s="183" t="s">
        <v>1550</v>
      </c>
      <c r="F73" s="184" t="s">
        <v>956</v>
      </c>
      <c r="G73" s="185">
        <v>0.82</v>
      </c>
      <c r="H73" s="186">
        <v>0.839</v>
      </c>
      <c r="I73" s="186">
        <v>0.32711442786069655</v>
      </c>
      <c r="J73" s="187">
        <v>9.0</v>
      </c>
      <c r="K73" s="188"/>
      <c r="L73" s="189" t="s">
        <v>1550</v>
      </c>
      <c r="M73" s="190" t="s">
        <v>1550</v>
      </c>
      <c r="N73" s="191" t="s">
        <v>1550</v>
      </c>
      <c r="O73" s="195"/>
      <c r="P73" s="193" t="s">
        <v>1550</v>
      </c>
      <c r="Q73" s="193" t="s">
        <v>1550</v>
      </c>
      <c r="R73" s="193" t="s">
        <v>1550</v>
      </c>
      <c r="S73" s="194" t="s">
        <v>1550</v>
      </c>
    </row>
    <row r="74">
      <c r="A74" s="180"/>
      <c r="B74" s="181" t="s">
        <v>1550</v>
      </c>
      <c r="C74" s="181" t="s">
        <v>1550</v>
      </c>
      <c r="D74" s="182" t="s">
        <v>1550</v>
      </c>
      <c r="E74" s="183" t="s">
        <v>1550</v>
      </c>
      <c r="F74" s="184" t="s">
        <v>1471</v>
      </c>
      <c r="G74" s="185">
        <v>0.871</v>
      </c>
      <c r="H74" s="186">
        <v>0.82</v>
      </c>
      <c r="I74" s="186">
        <v>0.3163841807909604</v>
      </c>
      <c r="J74" s="187">
        <v>13.0</v>
      </c>
      <c r="K74" s="188"/>
      <c r="L74" s="189" t="s">
        <v>1550</v>
      </c>
      <c r="M74" s="190" t="s">
        <v>1550</v>
      </c>
      <c r="N74" s="191" t="s">
        <v>1550</v>
      </c>
      <c r="O74" s="195"/>
      <c r="P74" s="193" t="s">
        <v>1550</v>
      </c>
      <c r="Q74" s="193" t="s">
        <v>1550</v>
      </c>
      <c r="R74" s="193" t="s">
        <v>1550</v>
      </c>
      <c r="S74" s="194" t="s">
        <v>1550</v>
      </c>
    </row>
    <row r="75">
      <c r="A75" s="180"/>
      <c r="B75" s="181" t="s">
        <v>1550</v>
      </c>
      <c r="C75" s="181" t="s">
        <v>1550</v>
      </c>
      <c r="D75" s="182" t="s">
        <v>1550</v>
      </c>
      <c r="E75" s="183" t="s">
        <v>1550</v>
      </c>
      <c r="F75" s="184" t="s">
        <v>1556</v>
      </c>
      <c r="G75" s="185">
        <v>0.784</v>
      </c>
      <c r="H75" s="186">
        <v>0.839</v>
      </c>
      <c r="I75" s="186">
        <v>0.3492975734355045</v>
      </c>
      <c r="J75" s="187">
        <v>14.0</v>
      </c>
      <c r="K75" s="188"/>
      <c r="L75" s="189" t="s">
        <v>1550</v>
      </c>
      <c r="M75" s="190" t="s">
        <v>1550</v>
      </c>
      <c r="N75" s="191" t="s">
        <v>1550</v>
      </c>
      <c r="O75" s="195"/>
      <c r="P75" s="193" t="s">
        <v>1550</v>
      </c>
      <c r="Q75" s="193" t="s">
        <v>1550</v>
      </c>
      <c r="R75" s="193" t="s">
        <v>1550</v>
      </c>
      <c r="S75" s="194" t="s">
        <v>1550</v>
      </c>
    </row>
    <row r="76">
      <c r="A76" s="180"/>
      <c r="B76" s="181" t="s">
        <v>1550</v>
      </c>
      <c r="C76" s="181" t="s">
        <v>1550</v>
      </c>
      <c r="D76" s="182" t="s">
        <v>1550</v>
      </c>
      <c r="E76" s="183" t="s">
        <v>1550</v>
      </c>
      <c r="F76" s="184" t="s">
        <v>1036</v>
      </c>
      <c r="G76" s="185">
        <v>0.759</v>
      </c>
      <c r="H76" s="186">
        <v>0.818</v>
      </c>
      <c r="I76" s="186">
        <v>0.26384839650145775</v>
      </c>
      <c r="J76" s="187">
        <v>17.0</v>
      </c>
      <c r="K76" s="188"/>
      <c r="L76" s="189" t="s">
        <v>1550</v>
      </c>
      <c r="M76" s="190" t="s">
        <v>1550</v>
      </c>
      <c r="N76" s="191" t="s">
        <v>1550</v>
      </c>
      <c r="O76" s="195"/>
      <c r="P76" s="193" t="s">
        <v>1550</v>
      </c>
      <c r="Q76" s="193" t="s">
        <v>1550</v>
      </c>
      <c r="R76" s="193" t="s">
        <v>1550</v>
      </c>
      <c r="S76" s="194" t="s">
        <v>1550</v>
      </c>
    </row>
    <row r="77">
      <c r="A77" s="180"/>
      <c r="B77" s="181" t="s">
        <v>1550</v>
      </c>
      <c r="C77" s="181" t="s">
        <v>1550</v>
      </c>
      <c r="D77" s="182" t="s">
        <v>1550</v>
      </c>
      <c r="E77" s="183" t="s">
        <v>1550</v>
      </c>
      <c r="F77" s="184" t="s">
        <v>1065</v>
      </c>
      <c r="G77" s="185">
        <v>0.794</v>
      </c>
      <c r="H77" s="186">
        <v>0.817</v>
      </c>
      <c r="I77" s="186">
        <v>0.13941825476429293</v>
      </c>
      <c r="J77" s="187">
        <v>14.0</v>
      </c>
      <c r="K77" s="188"/>
      <c r="L77" s="189" t="s">
        <v>1550</v>
      </c>
      <c r="M77" s="190" t="s">
        <v>1550</v>
      </c>
      <c r="N77" s="191" t="s">
        <v>1550</v>
      </c>
      <c r="O77" s="195"/>
      <c r="P77" s="193" t="s">
        <v>1550</v>
      </c>
      <c r="Q77" s="193" t="s">
        <v>1550</v>
      </c>
      <c r="R77" s="193" t="s">
        <v>1550</v>
      </c>
      <c r="S77" s="194" t="s">
        <v>1550</v>
      </c>
    </row>
    <row r="78">
      <c r="A78" s="180"/>
      <c r="B78" s="181" t="s">
        <v>1550</v>
      </c>
      <c r="C78" s="181" t="s">
        <v>1550</v>
      </c>
      <c r="D78" s="182" t="s">
        <v>1550</v>
      </c>
      <c r="E78" s="183" t="s">
        <v>1550</v>
      </c>
      <c r="F78" s="184" t="s">
        <v>1158</v>
      </c>
      <c r="G78" s="185">
        <v>0.755</v>
      </c>
      <c r="H78" s="186">
        <v>0.749</v>
      </c>
      <c r="I78" s="186">
        <v>0.14800514800514797</v>
      </c>
      <c r="J78" s="187">
        <v>11.0</v>
      </c>
      <c r="K78" s="188"/>
      <c r="L78" s="189" t="s">
        <v>1550</v>
      </c>
      <c r="M78" s="190" t="s">
        <v>1550</v>
      </c>
      <c r="N78" s="191" t="s">
        <v>1550</v>
      </c>
      <c r="O78" s="195"/>
      <c r="P78" s="193" t="s">
        <v>1550</v>
      </c>
      <c r="Q78" s="193" t="s">
        <v>1550</v>
      </c>
      <c r="R78" s="193" t="s">
        <v>1550</v>
      </c>
      <c r="S78" s="194" t="s">
        <v>1550</v>
      </c>
    </row>
    <row r="79">
      <c r="A79" s="180"/>
      <c r="B79" s="181" t="s">
        <v>1550</v>
      </c>
      <c r="C79" s="181" t="s">
        <v>1550</v>
      </c>
      <c r="D79" s="182" t="s">
        <v>1550</v>
      </c>
      <c r="E79" s="183" t="s">
        <v>1550</v>
      </c>
      <c r="F79" s="184" t="s">
        <v>1310</v>
      </c>
      <c r="G79" s="185">
        <v>0.92</v>
      </c>
      <c r="H79" s="186">
        <v>0.883</v>
      </c>
      <c r="I79" s="186">
        <v>0.18230277185501065</v>
      </c>
      <c r="J79" s="187">
        <v>15.0</v>
      </c>
      <c r="K79" s="188"/>
      <c r="L79" s="189" t="s">
        <v>1550</v>
      </c>
      <c r="M79" s="190" t="s">
        <v>1550</v>
      </c>
      <c r="N79" s="191" t="s">
        <v>1550</v>
      </c>
      <c r="O79" s="195"/>
      <c r="P79" s="193" t="s">
        <v>1550</v>
      </c>
      <c r="Q79" s="193" t="s">
        <v>1550</v>
      </c>
      <c r="R79" s="193" t="s">
        <v>1550</v>
      </c>
      <c r="S79" s="194" t="s">
        <v>1550</v>
      </c>
    </row>
    <row r="80">
      <c r="A80" s="180"/>
      <c r="B80" s="181" t="s">
        <v>1550</v>
      </c>
      <c r="C80" s="181" t="s">
        <v>1550</v>
      </c>
      <c r="D80" s="182" t="s">
        <v>1550</v>
      </c>
      <c r="E80" s="183" t="s">
        <v>1550</v>
      </c>
      <c r="F80" s="184" t="s">
        <v>1346</v>
      </c>
      <c r="G80" s="185">
        <v>0.76</v>
      </c>
      <c r="H80" s="186">
        <v>0.716</v>
      </c>
      <c r="I80" s="186">
        <v>0.4076335877862596</v>
      </c>
      <c r="J80" s="187">
        <v>11.0</v>
      </c>
      <c r="K80" s="188"/>
      <c r="L80" s="189" t="s">
        <v>1550</v>
      </c>
      <c r="M80" s="190" t="s">
        <v>1550</v>
      </c>
      <c r="N80" s="191" t="s">
        <v>1550</v>
      </c>
      <c r="O80" s="195"/>
      <c r="P80" s="193" t="s">
        <v>1550</v>
      </c>
      <c r="Q80" s="193" t="s">
        <v>1550</v>
      </c>
      <c r="R80" s="193" t="s">
        <v>1550</v>
      </c>
      <c r="S80" s="194" t="s">
        <v>1550</v>
      </c>
    </row>
    <row r="81">
      <c r="A81" s="180"/>
      <c r="B81" s="181" t="s">
        <v>1550</v>
      </c>
      <c r="C81" s="181" t="s">
        <v>1550</v>
      </c>
      <c r="D81" s="182" t="s">
        <v>1550</v>
      </c>
      <c r="E81" s="183" t="s">
        <v>1550</v>
      </c>
      <c r="F81" s="184" t="s">
        <v>1370</v>
      </c>
      <c r="G81" s="185">
        <v>0.925</v>
      </c>
      <c r="H81" s="186">
        <v>0.873</v>
      </c>
      <c r="I81" s="186">
        <v>0.20701168614357257</v>
      </c>
      <c r="J81" s="187">
        <v>12.0</v>
      </c>
      <c r="K81" s="188"/>
      <c r="L81" s="189" t="s">
        <v>1550</v>
      </c>
      <c r="M81" s="190" t="s">
        <v>1550</v>
      </c>
      <c r="N81" s="191" t="s">
        <v>1550</v>
      </c>
      <c r="O81" s="195"/>
      <c r="P81" s="193" t="s">
        <v>1550</v>
      </c>
      <c r="Q81" s="193" t="s">
        <v>1550</v>
      </c>
      <c r="R81" s="193" t="s">
        <v>1550</v>
      </c>
      <c r="S81" s="194" t="s">
        <v>1550</v>
      </c>
    </row>
    <row r="82">
      <c r="A82" s="180"/>
      <c r="B82" s="181" t="s">
        <v>1550</v>
      </c>
      <c r="C82" s="181" t="s">
        <v>1550</v>
      </c>
      <c r="D82" s="182" t="s">
        <v>1550</v>
      </c>
      <c r="E82" s="183" t="s">
        <v>1550</v>
      </c>
      <c r="F82" s="184" t="s">
        <v>1413</v>
      </c>
      <c r="G82" s="185">
        <v>0.825</v>
      </c>
      <c r="H82" s="186">
        <v>0.823</v>
      </c>
      <c r="I82" s="186">
        <v>0.3323262839879154</v>
      </c>
      <c r="J82" s="187">
        <v>9.0</v>
      </c>
      <c r="K82" s="188"/>
      <c r="L82" s="189" t="s">
        <v>1550</v>
      </c>
      <c r="M82" s="190" t="s">
        <v>1550</v>
      </c>
      <c r="N82" s="191" t="s">
        <v>1550</v>
      </c>
      <c r="O82" s="195"/>
      <c r="P82" s="193" t="s">
        <v>1550</v>
      </c>
      <c r="Q82" s="193" t="s">
        <v>1550</v>
      </c>
      <c r="R82" s="193" t="s">
        <v>1550</v>
      </c>
      <c r="S82" s="194" t="s">
        <v>1550</v>
      </c>
    </row>
    <row r="83" hidden="1">
      <c r="A83" s="180"/>
      <c r="B83" s="181" t="s">
        <v>1550</v>
      </c>
      <c r="C83" s="181" t="s">
        <v>1550</v>
      </c>
      <c r="D83" s="182" t="s">
        <v>1550</v>
      </c>
      <c r="E83" s="183" t="s">
        <v>1550</v>
      </c>
      <c r="F83" s="184"/>
      <c r="G83" s="185" t="s">
        <v>1550</v>
      </c>
      <c r="H83" s="186" t="s">
        <v>1550</v>
      </c>
      <c r="I83" s="186" t="s">
        <v>1550</v>
      </c>
      <c r="J83" s="187" t="s">
        <v>1550</v>
      </c>
      <c r="K83" s="188"/>
      <c r="L83" s="189" t="s">
        <v>1550</v>
      </c>
      <c r="M83" s="190" t="s">
        <v>1550</v>
      </c>
      <c r="N83" s="191" t="s">
        <v>1550</v>
      </c>
      <c r="O83" s="195"/>
      <c r="P83" s="193" t="s">
        <v>1550</v>
      </c>
      <c r="Q83" s="193" t="s">
        <v>1550</v>
      </c>
      <c r="R83" s="193" t="s">
        <v>1550</v>
      </c>
      <c r="S83" s="194" t="s">
        <v>1550</v>
      </c>
    </row>
    <row r="84" hidden="1">
      <c r="A84" s="180"/>
      <c r="B84" s="181" t="s">
        <v>1550</v>
      </c>
      <c r="C84" s="181" t="s">
        <v>1550</v>
      </c>
      <c r="D84" s="182" t="s">
        <v>1550</v>
      </c>
      <c r="E84" s="183" t="s">
        <v>1550</v>
      </c>
      <c r="F84" s="184"/>
      <c r="G84" s="185" t="s">
        <v>1550</v>
      </c>
      <c r="H84" s="186" t="s">
        <v>1550</v>
      </c>
      <c r="I84" s="186" t="s">
        <v>1550</v>
      </c>
      <c r="J84" s="187" t="s">
        <v>1550</v>
      </c>
      <c r="K84" s="188"/>
      <c r="L84" s="189" t="s">
        <v>1550</v>
      </c>
      <c r="M84" s="190" t="s">
        <v>1550</v>
      </c>
      <c r="N84" s="191" t="s">
        <v>1550</v>
      </c>
      <c r="O84" s="195"/>
      <c r="P84" s="193" t="s">
        <v>1550</v>
      </c>
      <c r="Q84" s="193" t="s">
        <v>1550</v>
      </c>
      <c r="R84" s="193" t="s">
        <v>1550</v>
      </c>
      <c r="S84" s="194" t="s">
        <v>1550</v>
      </c>
    </row>
    <row r="85" hidden="1">
      <c r="A85" s="180"/>
      <c r="B85" s="181" t="s">
        <v>1550</v>
      </c>
      <c r="C85" s="181" t="s">
        <v>1550</v>
      </c>
      <c r="D85" s="182" t="s">
        <v>1550</v>
      </c>
      <c r="E85" s="183" t="s">
        <v>1550</v>
      </c>
      <c r="F85" s="184"/>
      <c r="G85" s="185" t="s">
        <v>1550</v>
      </c>
      <c r="H85" s="186" t="s">
        <v>1550</v>
      </c>
      <c r="I85" s="186" t="s">
        <v>1550</v>
      </c>
      <c r="J85" s="187" t="s">
        <v>1550</v>
      </c>
      <c r="K85" s="188"/>
      <c r="L85" s="189" t="s">
        <v>1550</v>
      </c>
      <c r="M85" s="190" t="s">
        <v>1550</v>
      </c>
      <c r="N85" s="191" t="s">
        <v>1550</v>
      </c>
      <c r="O85" s="195"/>
      <c r="P85" s="193" t="s">
        <v>1550</v>
      </c>
      <c r="Q85" s="193" t="s">
        <v>1550</v>
      </c>
      <c r="R85" s="193" t="s">
        <v>1550</v>
      </c>
      <c r="S85" s="194" t="s">
        <v>1550</v>
      </c>
    </row>
    <row r="86" hidden="1">
      <c r="A86" s="180"/>
      <c r="B86" s="181" t="s">
        <v>1550</v>
      </c>
      <c r="C86" s="181" t="s">
        <v>1550</v>
      </c>
      <c r="D86" s="182" t="s">
        <v>1550</v>
      </c>
      <c r="E86" s="183" t="s">
        <v>1550</v>
      </c>
      <c r="F86" s="184"/>
      <c r="G86" s="185" t="s">
        <v>1550</v>
      </c>
      <c r="H86" s="186" t="s">
        <v>1550</v>
      </c>
      <c r="I86" s="186" t="s">
        <v>1550</v>
      </c>
      <c r="J86" s="187" t="s">
        <v>1550</v>
      </c>
      <c r="K86" s="188"/>
      <c r="L86" s="189" t="s">
        <v>1550</v>
      </c>
      <c r="M86" s="190" t="s">
        <v>1550</v>
      </c>
      <c r="N86" s="191" t="s">
        <v>1550</v>
      </c>
      <c r="O86" s="195"/>
      <c r="P86" s="193" t="s">
        <v>1550</v>
      </c>
      <c r="Q86" s="193" t="s">
        <v>1550</v>
      </c>
      <c r="R86" s="193" t="s">
        <v>1550</v>
      </c>
      <c r="S86" s="194" t="s">
        <v>1550</v>
      </c>
    </row>
    <row r="87" hidden="1">
      <c r="A87" s="180"/>
      <c r="B87" s="181" t="s">
        <v>1550</v>
      </c>
      <c r="C87" s="181" t="s">
        <v>1550</v>
      </c>
      <c r="D87" s="182" t="s">
        <v>1550</v>
      </c>
      <c r="E87" s="183" t="s">
        <v>1550</v>
      </c>
      <c r="F87" s="184"/>
      <c r="G87" s="185" t="s">
        <v>1550</v>
      </c>
      <c r="H87" s="186" t="s">
        <v>1550</v>
      </c>
      <c r="I87" s="186" t="s">
        <v>1550</v>
      </c>
      <c r="J87" s="187" t="s">
        <v>1550</v>
      </c>
      <c r="K87" s="188"/>
      <c r="L87" s="189" t="s">
        <v>1550</v>
      </c>
      <c r="M87" s="190" t="s">
        <v>1550</v>
      </c>
      <c r="N87" s="191" t="s">
        <v>1550</v>
      </c>
      <c r="O87" s="195"/>
      <c r="P87" s="193" t="s">
        <v>1550</v>
      </c>
      <c r="Q87" s="193" t="s">
        <v>1550</v>
      </c>
      <c r="R87" s="193" t="s">
        <v>1550</v>
      </c>
      <c r="S87" s="194" t="s">
        <v>1550</v>
      </c>
    </row>
    <row r="88" hidden="1">
      <c r="A88" s="180"/>
      <c r="B88" s="181" t="s">
        <v>1550</v>
      </c>
      <c r="C88" s="181" t="s">
        <v>1550</v>
      </c>
      <c r="D88" s="182" t="s">
        <v>1550</v>
      </c>
      <c r="E88" s="183" t="s">
        <v>1550</v>
      </c>
      <c r="F88" s="184"/>
      <c r="G88" s="185" t="s">
        <v>1550</v>
      </c>
      <c r="H88" s="186" t="s">
        <v>1550</v>
      </c>
      <c r="I88" s="186" t="s">
        <v>1550</v>
      </c>
      <c r="J88" s="187" t="s">
        <v>1550</v>
      </c>
      <c r="K88" s="188"/>
      <c r="L88" s="189" t="s">
        <v>1550</v>
      </c>
      <c r="M88" s="190" t="s">
        <v>1550</v>
      </c>
      <c r="N88" s="191" t="s">
        <v>1550</v>
      </c>
      <c r="O88" s="195"/>
      <c r="P88" s="193" t="s">
        <v>1550</v>
      </c>
      <c r="Q88" s="193" t="s">
        <v>1550</v>
      </c>
      <c r="R88" s="193" t="s">
        <v>1550</v>
      </c>
      <c r="S88" s="194" t="s">
        <v>1550</v>
      </c>
    </row>
    <row r="89" hidden="1">
      <c r="A89" s="180"/>
      <c r="B89" s="181" t="s">
        <v>1550</v>
      </c>
      <c r="C89" s="181" t="s">
        <v>1550</v>
      </c>
      <c r="D89" s="182" t="s">
        <v>1550</v>
      </c>
      <c r="E89" s="183" t="s">
        <v>1550</v>
      </c>
      <c r="F89" s="184"/>
      <c r="G89" s="185" t="s">
        <v>1550</v>
      </c>
      <c r="H89" s="186" t="s">
        <v>1550</v>
      </c>
      <c r="I89" s="186" t="s">
        <v>1550</v>
      </c>
      <c r="J89" s="187" t="s">
        <v>1550</v>
      </c>
      <c r="K89" s="188"/>
      <c r="L89" s="189" t="s">
        <v>1550</v>
      </c>
      <c r="M89" s="190" t="s">
        <v>1550</v>
      </c>
      <c r="N89" s="191" t="s">
        <v>1550</v>
      </c>
      <c r="O89" s="195"/>
      <c r="P89" s="193" t="s">
        <v>1550</v>
      </c>
      <c r="Q89" s="193" t="s">
        <v>1550</v>
      </c>
      <c r="R89" s="193" t="s">
        <v>1550</v>
      </c>
      <c r="S89" s="194" t="s">
        <v>1550</v>
      </c>
    </row>
    <row r="90" hidden="1">
      <c r="A90" s="180"/>
      <c r="B90" s="181" t="s">
        <v>1550</v>
      </c>
      <c r="C90" s="181" t="s">
        <v>1550</v>
      </c>
      <c r="D90" s="182" t="s">
        <v>1550</v>
      </c>
      <c r="E90" s="183" t="s">
        <v>1550</v>
      </c>
      <c r="F90" s="184"/>
      <c r="G90" s="185" t="s">
        <v>1550</v>
      </c>
      <c r="H90" s="186" t="s">
        <v>1550</v>
      </c>
      <c r="I90" s="186" t="s">
        <v>1550</v>
      </c>
      <c r="J90" s="187" t="s">
        <v>1550</v>
      </c>
      <c r="K90" s="188"/>
      <c r="L90" s="189" t="s">
        <v>1550</v>
      </c>
      <c r="M90" s="190" t="s">
        <v>1550</v>
      </c>
      <c r="N90" s="191" t="s">
        <v>1550</v>
      </c>
      <c r="O90" s="195"/>
      <c r="P90" s="193" t="s">
        <v>1550</v>
      </c>
      <c r="Q90" s="193" t="s">
        <v>1550</v>
      </c>
      <c r="R90" s="193" t="s">
        <v>1550</v>
      </c>
      <c r="S90" s="194" t="s">
        <v>1550</v>
      </c>
    </row>
    <row r="91" hidden="1">
      <c r="A91" s="180"/>
      <c r="B91" s="181" t="s">
        <v>1550</v>
      </c>
      <c r="C91" s="181" t="s">
        <v>1550</v>
      </c>
      <c r="D91" s="182" t="s">
        <v>1550</v>
      </c>
      <c r="E91" s="183" t="s">
        <v>1550</v>
      </c>
      <c r="F91" s="184"/>
      <c r="G91" s="185" t="s">
        <v>1550</v>
      </c>
      <c r="H91" s="186" t="s">
        <v>1550</v>
      </c>
      <c r="I91" s="186" t="s">
        <v>1550</v>
      </c>
      <c r="J91" s="187" t="s">
        <v>1550</v>
      </c>
      <c r="K91" s="188"/>
      <c r="L91" s="189" t="s">
        <v>1550</v>
      </c>
      <c r="M91" s="190" t="s">
        <v>1550</v>
      </c>
      <c r="N91" s="191" t="s">
        <v>1550</v>
      </c>
      <c r="O91" s="195"/>
      <c r="P91" s="193" t="s">
        <v>1550</v>
      </c>
      <c r="Q91" s="193" t="s">
        <v>1550</v>
      </c>
      <c r="R91" s="193" t="s">
        <v>1550</v>
      </c>
      <c r="S91" s="194" t="s">
        <v>1550</v>
      </c>
    </row>
    <row r="92" hidden="1">
      <c r="A92" s="180"/>
      <c r="B92" s="181" t="s">
        <v>1550</v>
      </c>
      <c r="C92" s="181" t="s">
        <v>1550</v>
      </c>
      <c r="D92" s="182" t="s">
        <v>1550</v>
      </c>
      <c r="E92" s="183" t="s">
        <v>1550</v>
      </c>
      <c r="F92" s="184"/>
      <c r="G92" s="185" t="s">
        <v>1550</v>
      </c>
      <c r="H92" s="186" t="s">
        <v>1550</v>
      </c>
      <c r="I92" s="186" t="s">
        <v>1550</v>
      </c>
      <c r="J92" s="187" t="s">
        <v>1550</v>
      </c>
      <c r="K92" s="188"/>
      <c r="L92" s="189" t="s">
        <v>1550</v>
      </c>
      <c r="M92" s="190" t="s">
        <v>1550</v>
      </c>
      <c r="N92" s="191" t="s">
        <v>1550</v>
      </c>
      <c r="O92" s="195"/>
      <c r="P92" s="193" t="s">
        <v>1550</v>
      </c>
      <c r="Q92" s="193" t="s">
        <v>1550</v>
      </c>
      <c r="R92" s="193" t="s">
        <v>1550</v>
      </c>
      <c r="S92" s="194" t="s">
        <v>1550</v>
      </c>
    </row>
    <row r="93" hidden="1">
      <c r="A93" s="180"/>
      <c r="B93" s="181" t="s">
        <v>1550</v>
      </c>
      <c r="C93" s="181" t="s">
        <v>1550</v>
      </c>
      <c r="D93" s="182" t="s">
        <v>1550</v>
      </c>
      <c r="E93" s="183" t="s">
        <v>1550</v>
      </c>
      <c r="F93" s="184"/>
      <c r="G93" s="185" t="s">
        <v>1550</v>
      </c>
      <c r="H93" s="186" t="s">
        <v>1550</v>
      </c>
      <c r="I93" s="186" t="s">
        <v>1550</v>
      </c>
      <c r="J93" s="187" t="s">
        <v>1550</v>
      </c>
      <c r="K93" s="188"/>
      <c r="L93" s="189" t="s">
        <v>1550</v>
      </c>
      <c r="M93" s="190" t="s">
        <v>1550</v>
      </c>
      <c r="N93" s="191" t="s">
        <v>1550</v>
      </c>
      <c r="O93" s="195"/>
      <c r="P93" s="193" t="s">
        <v>1550</v>
      </c>
      <c r="Q93" s="193" t="s">
        <v>1550</v>
      </c>
      <c r="R93" s="193" t="s">
        <v>1550</v>
      </c>
      <c r="S93" s="194" t="s">
        <v>1550</v>
      </c>
    </row>
    <row r="94" hidden="1">
      <c r="A94" s="180"/>
      <c r="B94" s="181" t="s">
        <v>1550</v>
      </c>
      <c r="C94" s="181" t="s">
        <v>1550</v>
      </c>
      <c r="D94" s="182" t="s">
        <v>1550</v>
      </c>
      <c r="E94" s="183" t="s">
        <v>1550</v>
      </c>
      <c r="F94" s="184"/>
      <c r="G94" s="185" t="s">
        <v>1550</v>
      </c>
      <c r="H94" s="186" t="s">
        <v>1550</v>
      </c>
      <c r="I94" s="186" t="s">
        <v>1550</v>
      </c>
      <c r="J94" s="187" t="s">
        <v>1550</v>
      </c>
      <c r="K94" s="188"/>
      <c r="L94" s="189" t="s">
        <v>1550</v>
      </c>
      <c r="M94" s="190" t="s">
        <v>1550</v>
      </c>
      <c r="N94" s="191" t="s">
        <v>1550</v>
      </c>
      <c r="O94" s="195"/>
      <c r="P94" s="193" t="s">
        <v>1550</v>
      </c>
      <c r="Q94" s="193" t="s">
        <v>1550</v>
      </c>
      <c r="R94" s="193" t="s">
        <v>1550</v>
      </c>
      <c r="S94" s="194" t="s">
        <v>1550</v>
      </c>
    </row>
    <row r="95" hidden="1">
      <c r="A95" s="180"/>
      <c r="B95" s="181" t="s">
        <v>1550</v>
      </c>
      <c r="C95" s="181" t="s">
        <v>1550</v>
      </c>
      <c r="D95" s="182" t="s">
        <v>1550</v>
      </c>
      <c r="E95" s="183" t="s">
        <v>1550</v>
      </c>
      <c r="F95" s="184"/>
      <c r="G95" s="185" t="s">
        <v>1550</v>
      </c>
      <c r="H95" s="186" t="s">
        <v>1550</v>
      </c>
      <c r="I95" s="186" t="s">
        <v>1550</v>
      </c>
      <c r="J95" s="187" t="s">
        <v>1550</v>
      </c>
      <c r="K95" s="188"/>
      <c r="L95" s="189" t="s">
        <v>1550</v>
      </c>
      <c r="M95" s="190" t="s">
        <v>1550</v>
      </c>
      <c r="N95" s="191" t="s">
        <v>1550</v>
      </c>
      <c r="O95" s="195"/>
      <c r="P95" s="193" t="s">
        <v>1550</v>
      </c>
      <c r="Q95" s="193" t="s">
        <v>1550</v>
      </c>
      <c r="R95" s="193" t="s">
        <v>1550</v>
      </c>
      <c r="S95" s="194" t="s">
        <v>1550</v>
      </c>
    </row>
    <row r="96" hidden="1">
      <c r="A96" s="180"/>
      <c r="B96" s="181" t="s">
        <v>1550</v>
      </c>
      <c r="C96" s="181" t="s">
        <v>1550</v>
      </c>
      <c r="D96" s="182" t="s">
        <v>1550</v>
      </c>
      <c r="E96" s="183" t="s">
        <v>1550</v>
      </c>
      <c r="F96" s="184"/>
      <c r="G96" s="185" t="s">
        <v>1550</v>
      </c>
      <c r="H96" s="186" t="s">
        <v>1550</v>
      </c>
      <c r="I96" s="186" t="s">
        <v>1550</v>
      </c>
      <c r="J96" s="187" t="s">
        <v>1550</v>
      </c>
      <c r="K96" s="188"/>
      <c r="L96" s="189" t="s">
        <v>1550</v>
      </c>
      <c r="M96" s="190" t="s">
        <v>1550</v>
      </c>
      <c r="N96" s="191" t="s">
        <v>1550</v>
      </c>
      <c r="O96" s="195"/>
      <c r="P96" s="193" t="s">
        <v>1550</v>
      </c>
      <c r="Q96" s="193" t="s">
        <v>1550</v>
      </c>
      <c r="R96" s="193" t="s">
        <v>1550</v>
      </c>
      <c r="S96" s="194" t="s">
        <v>1550</v>
      </c>
    </row>
    <row r="97" hidden="1">
      <c r="A97" s="180"/>
      <c r="B97" s="181" t="s">
        <v>1550</v>
      </c>
      <c r="C97" s="181" t="s">
        <v>1550</v>
      </c>
      <c r="D97" s="182" t="s">
        <v>1550</v>
      </c>
      <c r="E97" s="183" t="s">
        <v>1550</v>
      </c>
      <c r="F97" s="184"/>
      <c r="G97" s="185" t="s">
        <v>1550</v>
      </c>
      <c r="H97" s="186" t="s">
        <v>1550</v>
      </c>
      <c r="I97" s="186" t="s">
        <v>1550</v>
      </c>
      <c r="J97" s="187" t="s">
        <v>1550</v>
      </c>
      <c r="K97" s="188"/>
      <c r="L97" s="189" t="s">
        <v>1550</v>
      </c>
      <c r="M97" s="190" t="s">
        <v>1550</v>
      </c>
      <c r="N97" s="191" t="s">
        <v>1550</v>
      </c>
      <c r="O97" s="195"/>
      <c r="P97" s="193" t="s">
        <v>1550</v>
      </c>
      <c r="Q97" s="193" t="s">
        <v>1550</v>
      </c>
      <c r="R97" s="193" t="s">
        <v>1550</v>
      </c>
      <c r="S97" s="194" t="s">
        <v>1550</v>
      </c>
    </row>
    <row r="98" hidden="1">
      <c r="A98" s="180"/>
      <c r="B98" s="181" t="s">
        <v>1550</v>
      </c>
      <c r="C98" s="181" t="s">
        <v>1550</v>
      </c>
      <c r="D98" s="182" t="s">
        <v>1550</v>
      </c>
      <c r="E98" s="183" t="s">
        <v>1550</v>
      </c>
      <c r="F98" s="184"/>
      <c r="G98" s="185" t="s">
        <v>1550</v>
      </c>
      <c r="H98" s="186" t="s">
        <v>1550</v>
      </c>
      <c r="I98" s="186" t="s">
        <v>1550</v>
      </c>
      <c r="J98" s="187" t="s">
        <v>1550</v>
      </c>
      <c r="K98" s="188"/>
      <c r="L98" s="189" t="s">
        <v>1550</v>
      </c>
      <c r="M98" s="190" t="s">
        <v>1550</v>
      </c>
      <c r="N98" s="191" t="s">
        <v>1550</v>
      </c>
      <c r="O98" s="195"/>
      <c r="P98" s="193" t="s">
        <v>1550</v>
      </c>
      <c r="Q98" s="193" t="s">
        <v>1550</v>
      </c>
      <c r="R98" s="193" t="s">
        <v>1550</v>
      </c>
      <c r="S98" s="194" t="s">
        <v>1550</v>
      </c>
    </row>
    <row r="99" hidden="1">
      <c r="A99" s="180"/>
      <c r="B99" s="181" t="s">
        <v>1550</v>
      </c>
      <c r="C99" s="181" t="s">
        <v>1550</v>
      </c>
      <c r="D99" s="182" t="s">
        <v>1550</v>
      </c>
      <c r="E99" s="183" t="s">
        <v>1550</v>
      </c>
      <c r="F99" s="184"/>
      <c r="G99" s="185" t="s">
        <v>1550</v>
      </c>
      <c r="H99" s="186" t="s">
        <v>1550</v>
      </c>
      <c r="I99" s="186" t="s">
        <v>1550</v>
      </c>
      <c r="J99" s="187" t="s">
        <v>1550</v>
      </c>
      <c r="K99" s="188"/>
      <c r="L99" s="189" t="s">
        <v>1550</v>
      </c>
      <c r="M99" s="190" t="s">
        <v>1550</v>
      </c>
      <c r="N99" s="191" t="s">
        <v>1550</v>
      </c>
      <c r="O99" s="195"/>
      <c r="P99" s="193" t="s">
        <v>1550</v>
      </c>
      <c r="Q99" s="193" t="s">
        <v>1550</v>
      </c>
      <c r="R99" s="193" t="s">
        <v>1550</v>
      </c>
      <c r="S99" s="194" t="s">
        <v>1550</v>
      </c>
    </row>
    <row r="100" hidden="1">
      <c r="A100" s="180"/>
      <c r="B100" s="181" t="s">
        <v>1550</v>
      </c>
      <c r="C100" s="181" t="s">
        <v>1550</v>
      </c>
      <c r="D100" s="182" t="s">
        <v>1550</v>
      </c>
      <c r="E100" s="183" t="s">
        <v>1550</v>
      </c>
      <c r="F100" s="184"/>
      <c r="G100" s="185" t="s">
        <v>1550</v>
      </c>
      <c r="H100" s="186" t="s">
        <v>1550</v>
      </c>
      <c r="I100" s="186" t="s">
        <v>1550</v>
      </c>
      <c r="J100" s="187" t="s">
        <v>1550</v>
      </c>
      <c r="K100" s="188"/>
      <c r="L100" s="189" t="s">
        <v>1550</v>
      </c>
      <c r="M100" s="190" t="s">
        <v>1550</v>
      </c>
      <c r="N100" s="191" t="s">
        <v>1550</v>
      </c>
      <c r="O100" s="195"/>
      <c r="P100" s="193" t="s">
        <v>1550</v>
      </c>
      <c r="Q100" s="193" t="s">
        <v>1550</v>
      </c>
      <c r="R100" s="193" t="s">
        <v>1550</v>
      </c>
      <c r="S100" s="194" t="s">
        <v>1550</v>
      </c>
    </row>
    <row r="101" hidden="1">
      <c r="A101" s="180"/>
      <c r="B101" s="181" t="s">
        <v>1550</v>
      </c>
      <c r="C101" s="181" t="s">
        <v>1550</v>
      </c>
      <c r="D101" s="182" t="s">
        <v>1550</v>
      </c>
      <c r="E101" s="183" t="s">
        <v>1550</v>
      </c>
      <c r="F101" s="184"/>
      <c r="G101" s="185" t="s">
        <v>1550</v>
      </c>
      <c r="H101" s="186" t="s">
        <v>1550</v>
      </c>
      <c r="I101" s="186" t="s">
        <v>1550</v>
      </c>
      <c r="J101" s="187" t="s">
        <v>1550</v>
      </c>
      <c r="K101" s="188"/>
      <c r="L101" s="189" t="s">
        <v>1550</v>
      </c>
      <c r="M101" s="190" t="s">
        <v>1550</v>
      </c>
      <c r="N101" s="191" t="s">
        <v>1550</v>
      </c>
      <c r="O101" s="195"/>
      <c r="P101" s="193" t="s">
        <v>1550</v>
      </c>
      <c r="Q101" s="193" t="s">
        <v>1550</v>
      </c>
      <c r="R101" s="193" t="s">
        <v>1550</v>
      </c>
      <c r="S101" s="194" t="s">
        <v>1550</v>
      </c>
    </row>
    <row r="102" hidden="1">
      <c r="A102" s="180"/>
      <c r="B102" s="181" t="s">
        <v>1550</v>
      </c>
      <c r="C102" s="181" t="s">
        <v>1550</v>
      </c>
      <c r="D102" s="182" t="s">
        <v>1550</v>
      </c>
      <c r="E102" s="183" t="s">
        <v>1550</v>
      </c>
      <c r="F102" s="184"/>
      <c r="G102" s="185" t="s">
        <v>1550</v>
      </c>
      <c r="H102" s="186" t="s">
        <v>1550</v>
      </c>
      <c r="I102" s="186" t="s">
        <v>1550</v>
      </c>
      <c r="J102" s="187" t="s">
        <v>1550</v>
      </c>
      <c r="K102" s="188"/>
      <c r="L102" s="189" t="s">
        <v>1550</v>
      </c>
      <c r="M102" s="190" t="s">
        <v>1550</v>
      </c>
      <c r="N102" s="191" t="s">
        <v>1550</v>
      </c>
      <c r="O102" s="195"/>
      <c r="P102" s="193" t="s">
        <v>1550</v>
      </c>
      <c r="Q102" s="193" t="s">
        <v>1550</v>
      </c>
      <c r="R102" s="193" t="s">
        <v>1550</v>
      </c>
      <c r="S102" s="194" t="s">
        <v>1550</v>
      </c>
    </row>
    <row r="103" hidden="1">
      <c r="A103" s="180"/>
      <c r="B103" s="181" t="s">
        <v>1550</v>
      </c>
      <c r="C103" s="181" t="s">
        <v>1550</v>
      </c>
      <c r="D103" s="182" t="s">
        <v>1550</v>
      </c>
      <c r="E103" s="183" t="s">
        <v>1550</v>
      </c>
      <c r="F103" s="184"/>
      <c r="G103" s="185" t="s">
        <v>1550</v>
      </c>
      <c r="H103" s="186" t="s">
        <v>1550</v>
      </c>
      <c r="I103" s="186" t="s">
        <v>1550</v>
      </c>
      <c r="J103" s="187" t="s">
        <v>1550</v>
      </c>
      <c r="K103" s="188"/>
      <c r="L103" s="189" t="s">
        <v>1550</v>
      </c>
      <c r="M103" s="190" t="s">
        <v>1550</v>
      </c>
      <c r="N103" s="191" t="s">
        <v>1550</v>
      </c>
      <c r="O103" s="195"/>
      <c r="P103" s="193" t="s">
        <v>1550</v>
      </c>
      <c r="Q103" s="193" t="s">
        <v>1550</v>
      </c>
      <c r="R103" s="193" t="s">
        <v>1550</v>
      </c>
      <c r="S103" s="194" t="s">
        <v>1550</v>
      </c>
    </row>
    <row r="104" hidden="1">
      <c r="A104" s="180"/>
      <c r="B104" s="181" t="s">
        <v>1550</v>
      </c>
      <c r="C104" s="181" t="s">
        <v>1550</v>
      </c>
      <c r="D104" s="182" t="s">
        <v>1550</v>
      </c>
      <c r="E104" s="183" t="s">
        <v>1550</v>
      </c>
      <c r="F104" s="184"/>
      <c r="G104" s="185" t="s">
        <v>1550</v>
      </c>
      <c r="H104" s="186" t="s">
        <v>1550</v>
      </c>
      <c r="I104" s="186" t="s">
        <v>1550</v>
      </c>
      <c r="J104" s="187" t="s">
        <v>1550</v>
      </c>
      <c r="K104" s="188"/>
      <c r="L104" s="189" t="s">
        <v>1550</v>
      </c>
      <c r="M104" s="190" t="s">
        <v>1550</v>
      </c>
      <c r="N104" s="191" t="s">
        <v>1550</v>
      </c>
      <c r="O104" s="195"/>
      <c r="P104" s="193" t="s">
        <v>1550</v>
      </c>
      <c r="Q104" s="193" t="s">
        <v>1550</v>
      </c>
      <c r="R104" s="193" t="s">
        <v>1550</v>
      </c>
      <c r="S104" s="194" t="s">
        <v>1550</v>
      </c>
    </row>
    <row r="105">
      <c r="A105" s="196"/>
      <c r="B105" s="181" t="s">
        <v>1550</v>
      </c>
      <c r="C105" s="181" t="s">
        <v>1550</v>
      </c>
      <c r="D105" s="182" t="s">
        <v>1550</v>
      </c>
      <c r="E105" s="183" t="s">
        <v>1550</v>
      </c>
      <c r="F105" s="197"/>
      <c r="G105" s="185" t="s">
        <v>1550</v>
      </c>
      <c r="H105" s="186" t="s">
        <v>1550</v>
      </c>
      <c r="I105" s="186" t="s">
        <v>1550</v>
      </c>
      <c r="J105" s="187" t="s">
        <v>1550</v>
      </c>
      <c r="K105" s="198"/>
      <c r="L105" s="189" t="s">
        <v>1550</v>
      </c>
      <c r="M105" s="190" t="s">
        <v>1550</v>
      </c>
      <c r="N105" s="191" t="s">
        <v>1550</v>
      </c>
      <c r="O105" s="199"/>
      <c r="P105" s="193" t="s">
        <v>1550</v>
      </c>
      <c r="Q105" s="193" t="s">
        <v>1550</v>
      </c>
      <c r="R105" s="193" t="s">
        <v>1550</v>
      </c>
      <c r="S105" s="194" t="s">
        <v>1550</v>
      </c>
    </row>
    <row r="106">
      <c r="D106" s="46"/>
      <c r="N106" s="46"/>
      <c r="Q106" s="46"/>
      <c r="R106" s="46"/>
      <c r="S106" s="46"/>
    </row>
    <row r="107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</row>
    <row r="108">
      <c r="A108" s="268"/>
      <c r="B108" s="268"/>
      <c r="C108" s="268"/>
      <c r="D108" s="268"/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</row>
    <row r="109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</row>
    <row r="110">
      <c r="A110" s="268"/>
      <c r="B110" s="268"/>
      <c r="C110" s="268"/>
      <c r="D110" s="268"/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</row>
    <row r="111">
      <c r="D111" s="46"/>
      <c r="F111" s="216" t="s">
        <v>1534</v>
      </c>
      <c r="G111" s="217" t="s">
        <v>1560</v>
      </c>
      <c r="L111" s="218"/>
      <c r="M111" s="218"/>
      <c r="N111" s="218"/>
      <c r="O111" s="216" t="s">
        <v>1534</v>
      </c>
      <c r="Q111" s="46"/>
      <c r="R111" s="46"/>
      <c r="S111" s="46"/>
    </row>
    <row r="112">
      <c r="D112" s="46"/>
      <c r="F112" s="219" t="s">
        <v>1534</v>
      </c>
      <c r="L112" s="218"/>
      <c r="M112" s="218"/>
      <c r="N112" s="218"/>
      <c r="O112" s="219" t="s">
        <v>1534</v>
      </c>
      <c r="Q112" s="46"/>
      <c r="R112" s="46"/>
      <c r="S112" s="46"/>
    </row>
    <row r="113">
      <c r="D113" s="46"/>
      <c r="N113" s="46"/>
      <c r="Q113" s="46"/>
      <c r="R113" s="46"/>
      <c r="S113" s="46"/>
    </row>
    <row r="114">
      <c r="D114" s="46"/>
      <c r="N114" s="46"/>
      <c r="Q114" s="46"/>
      <c r="R114" s="46"/>
      <c r="S114" s="46"/>
    </row>
    <row r="115">
      <c r="D115" s="46"/>
      <c r="N115" s="46"/>
      <c r="Q115" s="46"/>
      <c r="R115" s="46"/>
      <c r="S115" s="46"/>
    </row>
    <row r="116">
      <c r="D116" s="46"/>
      <c r="N116" s="46"/>
      <c r="Q116" s="46"/>
      <c r="R116" s="46"/>
      <c r="S116" s="46"/>
    </row>
    <row r="117">
      <c r="D117" s="46"/>
      <c r="N117" s="46"/>
      <c r="Q117" s="46"/>
      <c r="R117" s="46"/>
      <c r="S117" s="46"/>
    </row>
    <row r="118">
      <c r="D118" s="46"/>
      <c r="N118" s="46"/>
      <c r="Q118" s="46"/>
      <c r="R118" s="46"/>
      <c r="S118" s="46"/>
    </row>
    <row r="119">
      <c r="D119" s="46"/>
      <c r="N119" s="46"/>
      <c r="Q119" s="46"/>
      <c r="R119" s="46"/>
      <c r="S119" s="46"/>
    </row>
    <row r="120">
      <c r="D120" s="46"/>
      <c r="N120" s="46"/>
      <c r="Q120" s="46"/>
      <c r="R120" s="46"/>
      <c r="S120" s="46"/>
    </row>
    <row r="121">
      <c r="D121" s="46"/>
      <c r="N121" s="46"/>
      <c r="Q121" s="46"/>
      <c r="R121" s="46"/>
      <c r="S121" s="46"/>
    </row>
    <row r="122">
      <c r="D122" s="46"/>
      <c r="N122" s="46"/>
      <c r="Q122" s="46"/>
      <c r="R122" s="46"/>
      <c r="S122" s="46"/>
    </row>
    <row r="123">
      <c r="D123" s="46"/>
      <c r="N123" s="46"/>
      <c r="Q123" s="46"/>
      <c r="R123" s="46"/>
      <c r="S123" s="46"/>
    </row>
    <row r="124">
      <c r="D124" s="46"/>
      <c r="N124" s="46"/>
      <c r="Q124" s="46"/>
      <c r="R124" s="46"/>
      <c r="S124" s="46"/>
    </row>
    <row r="125">
      <c r="D125" s="46"/>
      <c r="N125" s="46"/>
      <c r="Q125" s="46"/>
      <c r="R125" s="46"/>
      <c r="S125" s="46"/>
    </row>
    <row r="126">
      <c r="D126" s="46"/>
      <c r="N126" s="46"/>
      <c r="Q126" s="46"/>
      <c r="R126" s="46"/>
      <c r="S126" s="46"/>
    </row>
    <row r="127">
      <c r="D127" s="46"/>
      <c r="N127" s="46"/>
      <c r="Q127" s="46"/>
      <c r="R127" s="46"/>
      <c r="S127" s="46"/>
    </row>
    <row r="128">
      <c r="D128" s="46"/>
      <c r="N128" s="46"/>
      <c r="Q128" s="46"/>
      <c r="R128" s="46"/>
      <c r="S128" s="46"/>
    </row>
    <row r="129">
      <c r="D129" s="46"/>
      <c r="N129" s="46"/>
      <c r="Q129" s="46"/>
      <c r="R129" s="46"/>
      <c r="S129" s="46"/>
    </row>
    <row r="130">
      <c r="D130" s="46"/>
      <c r="N130" s="46"/>
      <c r="Q130" s="46"/>
      <c r="R130" s="46"/>
      <c r="S130" s="46"/>
    </row>
    <row r="131">
      <c r="D131" s="46"/>
      <c r="N131" s="46"/>
      <c r="Q131" s="46"/>
      <c r="R131" s="46"/>
      <c r="S131" s="46"/>
    </row>
    <row r="132">
      <c r="D132" s="46"/>
      <c r="N132" s="46"/>
      <c r="Q132" s="46"/>
      <c r="R132" s="46"/>
      <c r="S132" s="46"/>
    </row>
    <row r="133">
      <c r="D133" s="46"/>
      <c r="N133" s="46"/>
      <c r="Q133" s="46"/>
      <c r="R133" s="46"/>
      <c r="S133" s="46"/>
    </row>
    <row r="134">
      <c r="D134" s="46"/>
      <c r="N134" s="46"/>
      <c r="Q134" s="46"/>
      <c r="R134" s="46"/>
      <c r="S134" s="46"/>
    </row>
    <row r="135">
      <c r="D135" s="46"/>
      <c r="N135" s="46"/>
      <c r="Q135" s="46"/>
      <c r="R135" s="46"/>
      <c r="S135" s="46"/>
    </row>
    <row r="136">
      <c r="D136" s="46"/>
      <c r="N136" s="46"/>
      <c r="Q136" s="46"/>
      <c r="R136" s="46"/>
      <c r="S136" s="46"/>
    </row>
    <row r="137">
      <c r="D137" s="46"/>
      <c r="N137" s="46"/>
      <c r="Q137" s="46"/>
      <c r="R137" s="46"/>
      <c r="S137" s="46"/>
    </row>
    <row r="138">
      <c r="D138" s="46"/>
      <c r="N138" s="46"/>
      <c r="Q138" s="46"/>
      <c r="R138" s="46"/>
      <c r="S138" s="46"/>
    </row>
    <row r="139">
      <c r="D139" s="46"/>
      <c r="N139" s="46"/>
      <c r="Q139" s="46"/>
      <c r="R139" s="46"/>
      <c r="S139" s="46"/>
    </row>
    <row r="140">
      <c r="D140" s="46"/>
      <c r="N140" s="46"/>
      <c r="Q140" s="46"/>
      <c r="R140" s="46"/>
      <c r="S140" s="46"/>
    </row>
    <row r="141">
      <c r="D141" s="46"/>
      <c r="N141" s="46"/>
      <c r="Q141" s="46"/>
      <c r="R141" s="46"/>
      <c r="S141" s="46"/>
    </row>
    <row r="142">
      <c r="D142" s="46"/>
      <c r="N142" s="46"/>
      <c r="Q142" s="46"/>
      <c r="R142" s="46"/>
      <c r="S142" s="46"/>
    </row>
    <row r="143">
      <c r="D143" s="46"/>
      <c r="N143" s="46"/>
      <c r="Q143" s="46"/>
      <c r="R143" s="46"/>
      <c r="S143" s="46"/>
    </row>
    <row r="144">
      <c r="D144" s="46"/>
      <c r="N144" s="46"/>
      <c r="Q144" s="46"/>
      <c r="R144" s="46"/>
      <c r="S144" s="46"/>
    </row>
    <row r="145">
      <c r="D145" s="46"/>
      <c r="N145" s="46"/>
      <c r="Q145" s="46"/>
      <c r="R145" s="46"/>
      <c r="S145" s="46"/>
    </row>
    <row r="146">
      <c r="D146" s="46"/>
      <c r="N146" s="46"/>
      <c r="Q146" s="46"/>
      <c r="R146" s="46"/>
      <c r="S146" s="46"/>
    </row>
    <row r="147">
      <c r="D147" s="46"/>
      <c r="N147" s="46"/>
      <c r="Q147" s="46"/>
      <c r="R147" s="46"/>
      <c r="S147" s="46"/>
    </row>
    <row r="148">
      <c r="D148" s="46"/>
      <c r="N148" s="46"/>
      <c r="Q148" s="46"/>
      <c r="R148" s="46"/>
      <c r="S148" s="46"/>
    </row>
    <row r="149">
      <c r="D149" s="46"/>
      <c r="N149" s="46"/>
      <c r="Q149" s="46"/>
      <c r="R149" s="46"/>
      <c r="S149" s="46"/>
    </row>
    <row r="150">
      <c r="D150" s="46"/>
      <c r="N150" s="46"/>
      <c r="Q150" s="46"/>
      <c r="R150" s="46"/>
      <c r="S150" s="46"/>
    </row>
    <row r="151">
      <c r="D151" s="46"/>
      <c r="N151" s="46"/>
      <c r="Q151" s="46"/>
      <c r="R151" s="46"/>
      <c r="S151" s="46"/>
    </row>
    <row r="152">
      <c r="D152" s="46"/>
      <c r="N152" s="46"/>
      <c r="Q152" s="46"/>
      <c r="R152" s="46"/>
      <c r="S152" s="46"/>
    </row>
    <row r="153">
      <c r="D153" s="46"/>
      <c r="N153" s="46"/>
      <c r="Q153" s="46"/>
      <c r="R153" s="46"/>
      <c r="S153" s="46"/>
    </row>
    <row r="154">
      <c r="D154" s="46"/>
      <c r="N154" s="46"/>
      <c r="Q154" s="46"/>
      <c r="R154" s="46"/>
      <c r="S154" s="46"/>
    </row>
    <row r="155">
      <c r="D155" s="46"/>
      <c r="N155" s="46"/>
      <c r="Q155" s="46"/>
      <c r="R155" s="46"/>
      <c r="S155" s="46"/>
    </row>
    <row r="156">
      <c r="D156" s="46"/>
      <c r="N156" s="46"/>
      <c r="Q156" s="46"/>
      <c r="R156" s="46"/>
      <c r="S156" s="46"/>
    </row>
    <row r="157">
      <c r="D157" s="46"/>
      <c r="N157" s="46"/>
      <c r="Q157" s="46"/>
      <c r="R157" s="46"/>
      <c r="S157" s="46"/>
    </row>
    <row r="158">
      <c r="D158" s="46"/>
      <c r="N158" s="46"/>
      <c r="Q158" s="46"/>
      <c r="R158" s="46"/>
      <c r="S158" s="46"/>
    </row>
    <row r="159">
      <c r="D159" s="46"/>
      <c r="N159" s="46"/>
      <c r="Q159" s="46"/>
      <c r="R159" s="46"/>
      <c r="S159" s="46"/>
    </row>
    <row r="160">
      <c r="D160" s="46"/>
      <c r="N160" s="46"/>
      <c r="Q160" s="46"/>
      <c r="R160" s="46"/>
      <c r="S160" s="46"/>
    </row>
    <row r="161">
      <c r="D161" s="46"/>
      <c r="N161" s="46"/>
      <c r="Q161" s="46"/>
      <c r="R161" s="46"/>
      <c r="S161" s="46"/>
    </row>
    <row r="162">
      <c r="D162" s="46"/>
      <c r="N162" s="46"/>
      <c r="Q162" s="46"/>
      <c r="R162" s="46"/>
      <c r="S162" s="46"/>
    </row>
    <row r="163">
      <c r="D163" s="46"/>
      <c r="N163" s="46"/>
      <c r="Q163" s="46"/>
      <c r="R163" s="46"/>
      <c r="S163" s="46"/>
    </row>
    <row r="164">
      <c r="D164" s="46"/>
      <c r="N164" s="46"/>
      <c r="Q164" s="46"/>
      <c r="R164" s="46"/>
      <c r="S164" s="46"/>
    </row>
    <row r="165">
      <c r="D165" s="46"/>
      <c r="N165" s="46"/>
      <c r="Q165" s="46"/>
      <c r="R165" s="46"/>
      <c r="S165" s="46"/>
    </row>
    <row r="166">
      <c r="D166" s="46"/>
      <c r="N166" s="46"/>
      <c r="Q166" s="46"/>
      <c r="R166" s="46"/>
      <c r="S166" s="46"/>
    </row>
    <row r="167">
      <c r="D167" s="46"/>
      <c r="N167" s="46"/>
      <c r="Q167" s="46"/>
      <c r="R167" s="46"/>
      <c r="S167" s="46"/>
    </row>
    <row r="168">
      <c r="D168" s="46"/>
      <c r="N168" s="46"/>
      <c r="Q168" s="46"/>
      <c r="R168" s="46"/>
      <c r="S168" s="46"/>
    </row>
    <row r="169">
      <c r="D169" s="46"/>
      <c r="N169" s="46"/>
      <c r="Q169" s="46"/>
      <c r="R169" s="46"/>
      <c r="S169" s="46"/>
    </row>
    <row r="170">
      <c r="D170" s="46"/>
      <c r="N170" s="46"/>
      <c r="Q170" s="46"/>
      <c r="R170" s="46"/>
      <c r="S170" s="46"/>
    </row>
    <row r="171">
      <c r="D171" s="46"/>
      <c r="N171" s="46"/>
      <c r="Q171" s="46"/>
      <c r="R171" s="46"/>
      <c r="S171" s="46"/>
    </row>
    <row r="172">
      <c r="D172" s="46"/>
      <c r="N172" s="46"/>
      <c r="Q172" s="46"/>
      <c r="R172" s="46"/>
      <c r="S172" s="46"/>
    </row>
    <row r="173">
      <c r="D173" s="46"/>
      <c r="N173" s="46"/>
      <c r="Q173" s="46"/>
      <c r="R173" s="46"/>
      <c r="S173" s="46"/>
    </row>
    <row r="174">
      <c r="D174" s="46"/>
      <c r="N174" s="46"/>
      <c r="Q174" s="46"/>
      <c r="R174" s="46"/>
      <c r="S174" s="46"/>
    </row>
    <row r="175">
      <c r="D175" s="46"/>
      <c r="N175" s="46"/>
      <c r="Q175" s="46"/>
      <c r="R175" s="46"/>
      <c r="S175" s="46"/>
    </row>
    <row r="176">
      <c r="D176" s="46"/>
      <c r="N176" s="46"/>
      <c r="Q176" s="46"/>
      <c r="R176" s="46"/>
      <c r="S176" s="46"/>
    </row>
    <row r="177">
      <c r="D177" s="46"/>
      <c r="N177" s="46"/>
      <c r="Q177" s="46"/>
      <c r="R177" s="46"/>
      <c r="S177" s="46"/>
    </row>
    <row r="178">
      <c r="D178" s="46"/>
      <c r="N178" s="46"/>
      <c r="Q178" s="46"/>
      <c r="R178" s="46"/>
      <c r="S178" s="46"/>
    </row>
    <row r="179">
      <c r="D179" s="46"/>
      <c r="N179" s="46"/>
      <c r="Q179" s="46"/>
      <c r="R179" s="46"/>
      <c r="S179" s="46"/>
    </row>
    <row r="180">
      <c r="D180" s="46"/>
      <c r="N180" s="46"/>
      <c r="Q180" s="46"/>
      <c r="R180" s="46"/>
      <c r="S180" s="46"/>
    </row>
    <row r="181">
      <c r="D181" s="46"/>
      <c r="N181" s="46"/>
      <c r="Q181" s="46"/>
      <c r="R181" s="46"/>
      <c r="S181" s="46"/>
    </row>
    <row r="182">
      <c r="D182" s="46"/>
      <c r="N182" s="46"/>
      <c r="Q182" s="46"/>
      <c r="R182" s="46"/>
      <c r="S182" s="46"/>
    </row>
    <row r="183">
      <c r="D183" s="46"/>
      <c r="N183" s="46"/>
      <c r="Q183" s="46"/>
      <c r="R183" s="46"/>
      <c r="S183" s="46"/>
    </row>
    <row r="184">
      <c r="D184" s="46"/>
      <c r="N184" s="46"/>
      <c r="Q184" s="46"/>
      <c r="R184" s="46"/>
      <c r="S184" s="46"/>
    </row>
    <row r="185">
      <c r="D185" s="46"/>
      <c r="N185" s="46"/>
      <c r="Q185" s="46"/>
      <c r="R185" s="46"/>
      <c r="S185" s="46"/>
    </row>
    <row r="186">
      <c r="D186" s="46"/>
      <c r="N186" s="46"/>
      <c r="Q186" s="46"/>
      <c r="R186" s="46"/>
      <c r="S186" s="46"/>
    </row>
    <row r="187">
      <c r="D187" s="46"/>
      <c r="N187" s="46"/>
      <c r="Q187" s="46"/>
      <c r="R187" s="46"/>
      <c r="S187" s="46"/>
    </row>
    <row r="188">
      <c r="D188" s="46"/>
      <c r="N188" s="46"/>
      <c r="Q188" s="46"/>
      <c r="R188" s="46"/>
      <c r="S188" s="46"/>
    </row>
    <row r="189">
      <c r="D189" s="46"/>
      <c r="N189" s="46"/>
      <c r="Q189" s="46"/>
      <c r="R189" s="46"/>
      <c r="S189" s="46"/>
    </row>
    <row r="190">
      <c r="D190" s="46"/>
      <c r="N190" s="46"/>
      <c r="Q190" s="46"/>
      <c r="R190" s="46"/>
      <c r="S190" s="46"/>
    </row>
    <row r="191">
      <c r="D191" s="46"/>
      <c r="N191" s="46"/>
      <c r="Q191" s="46"/>
      <c r="R191" s="46"/>
      <c r="S191" s="46"/>
    </row>
    <row r="192">
      <c r="D192" s="46"/>
      <c r="N192" s="46"/>
      <c r="Q192" s="46"/>
      <c r="R192" s="46"/>
      <c r="S192" s="46"/>
    </row>
    <row r="193">
      <c r="D193" s="46"/>
      <c r="N193" s="46"/>
      <c r="Q193" s="46"/>
      <c r="R193" s="46"/>
      <c r="S193" s="46"/>
    </row>
    <row r="194">
      <c r="D194" s="46"/>
      <c r="N194" s="46"/>
      <c r="Q194" s="46"/>
      <c r="R194" s="46"/>
      <c r="S194" s="46"/>
    </row>
    <row r="195">
      <c r="D195" s="46"/>
      <c r="N195" s="46"/>
      <c r="Q195" s="46"/>
      <c r="R195" s="46"/>
      <c r="S195" s="46"/>
    </row>
    <row r="196">
      <c r="D196" s="46"/>
      <c r="N196" s="46"/>
      <c r="Q196" s="46"/>
      <c r="R196" s="46"/>
      <c r="S196" s="46"/>
    </row>
    <row r="197">
      <c r="D197" s="46"/>
      <c r="N197" s="46"/>
      <c r="Q197" s="46"/>
      <c r="R197" s="46"/>
      <c r="S197" s="46"/>
    </row>
    <row r="198">
      <c r="D198" s="46"/>
      <c r="N198" s="46"/>
      <c r="Q198" s="46"/>
      <c r="R198" s="46"/>
      <c r="S198" s="46"/>
    </row>
    <row r="199">
      <c r="D199" s="46"/>
      <c r="N199" s="46"/>
      <c r="Q199" s="46"/>
      <c r="R199" s="46"/>
      <c r="S199" s="46"/>
    </row>
    <row r="200">
      <c r="D200" s="46"/>
      <c r="N200" s="46"/>
      <c r="Q200" s="46"/>
      <c r="R200" s="46"/>
      <c r="S200" s="46"/>
    </row>
    <row r="201">
      <c r="D201" s="46"/>
      <c r="N201" s="46"/>
      <c r="Q201" s="46"/>
      <c r="R201" s="46"/>
      <c r="S201" s="46"/>
    </row>
    <row r="202">
      <c r="D202" s="46"/>
      <c r="N202" s="46"/>
      <c r="Q202" s="46"/>
      <c r="R202" s="46"/>
      <c r="S202" s="46"/>
    </row>
    <row r="203">
      <c r="D203" s="46"/>
      <c r="N203" s="46"/>
      <c r="Q203" s="46"/>
      <c r="R203" s="46"/>
      <c r="S203" s="46"/>
    </row>
    <row r="204">
      <c r="D204" s="46"/>
      <c r="N204" s="46"/>
      <c r="Q204" s="46"/>
      <c r="R204" s="46"/>
      <c r="S204" s="46"/>
    </row>
    <row r="205">
      <c r="D205" s="46"/>
      <c r="N205" s="46"/>
      <c r="Q205" s="46"/>
      <c r="R205" s="46"/>
      <c r="S205" s="46"/>
    </row>
    <row r="206">
      <c r="D206" s="46"/>
      <c r="N206" s="46"/>
      <c r="Q206" s="46"/>
      <c r="R206" s="46"/>
      <c r="S206" s="46"/>
    </row>
    <row r="207">
      <c r="D207" s="46"/>
      <c r="N207" s="46"/>
      <c r="Q207" s="46"/>
      <c r="R207" s="46"/>
      <c r="S207" s="46"/>
    </row>
    <row r="208">
      <c r="D208" s="46"/>
      <c r="N208" s="46"/>
      <c r="Q208" s="46"/>
      <c r="R208" s="46"/>
      <c r="S208" s="46"/>
    </row>
    <row r="209">
      <c r="D209" s="46"/>
      <c r="N209" s="46"/>
      <c r="Q209" s="46"/>
      <c r="R209" s="46"/>
      <c r="S209" s="46"/>
    </row>
    <row r="210">
      <c r="D210" s="46"/>
      <c r="N210" s="46"/>
      <c r="Q210" s="46"/>
      <c r="R210" s="46"/>
      <c r="S210" s="46"/>
    </row>
    <row r="211">
      <c r="D211" s="46"/>
      <c r="N211" s="46"/>
      <c r="Q211" s="46"/>
      <c r="R211" s="46"/>
      <c r="S211" s="46"/>
    </row>
    <row r="212">
      <c r="D212" s="46"/>
      <c r="N212" s="46"/>
      <c r="Q212" s="46"/>
      <c r="R212" s="46"/>
      <c r="S212" s="46"/>
    </row>
    <row r="213">
      <c r="D213" s="46"/>
      <c r="N213" s="46"/>
      <c r="Q213" s="46"/>
      <c r="R213" s="46"/>
      <c r="S213" s="46"/>
    </row>
    <row r="214">
      <c r="D214" s="46"/>
      <c r="N214" s="46"/>
      <c r="Q214" s="46"/>
      <c r="R214" s="46"/>
      <c r="S214" s="46"/>
    </row>
    <row r="215">
      <c r="D215" s="46"/>
      <c r="N215" s="46"/>
      <c r="Q215" s="46"/>
      <c r="R215" s="46"/>
      <c r="S215" s="46"/>
    </row>
    <row r="216">
      <c r="D216" s="46"/>
      <c r="N216" s="46"/>
      <c r="Q216" s="46"/>
      <c r="R216" s="46"/>
      <c r="S216" s="46"/>
    </row>
    <row r="217">
      <c r="D217" s="46"/>
      <c r="N217" s="46"/>
      <c r="Q217" s="46"/>
      <c r="R217" s="46"/>
      <c r="S217" s="46"/>
    </row>
    <row r="218">
      <c r="D218" s="46"/>
      <c r="N218" s="46"/>
      <c r="Q218" s="46"/>
      <c r="R218" s="46"/>
      <c r="S218" s="46"/>
    </row>
    <row r="219">
      <c r="D219" s="46"/>
      <c r="N219" s="46"/>
      <c r="Q219" s="46"/>
      <c r="R219" s="46"/>
      <c r="S219" s="46"/>
    </row>
    <row r="220">
      <c r="D220" s="46"/>
      <c r="N220" s="46"/>
      <c r="Q220" s="46"/>
      <c r="R220" s="46"/>
      <c r="S220" s="46"/>
    </row>
    <row r="221">
      <c r="D221" s="46"/>
      <c r="N221" s="46"/>
      <c r="Q221" s="46"/>
      <c r="R221" s="46"/>
      <c r="S221" s="46"/>
    </row>
    <row r="222">
      <c r="D222" s="46"/>
      <c r="N222" s="46"/>
      <c r="Q222" s="46"/>
      <c r="R222" s="46"/>
      <c r="S222" s="46"/>
    </row>
    <row r="223">
      <c r="D223" s="46"/>
      <c r="N223" s="46"/>
      <c r="Q223" s="46"/>
      <c r="R223" s="46"/>
      <c r="S223" s="46"/>
    </row>
    <row r="224">
      <c r="D224" s="46"/>
      <c r="N224" s="46"/>
      <c r="Q224" s="46"/>
      <c r="R224" s="46"/>
      <c r="S224" s="46"/>
    </row>
    <row r="225">
      <c r="D225" s="46"/>
      <c r="N225" s="46"/>
      <c r="Q225" s="46"/>
      <c r="R225" s="46"/>
      <c r="S225" s="46"/>
    </row>
    <row r="226">
      <c r="D226" s="46"/>
      <c r="N226" s="46"/>
      <c r="Q226" s="46"/>
      <c r="R226" s="46"/>
      <c r="S226" s="46"/>
    </row>
    <row r="227">
      <c r="D227" s="46"/>
      <c r="N227" s="46"/>
      <c r="Q227" s="46"/>
      <c r="R227" s="46"/>
      <c r="S227" s="46"/>
    </row>
    <row r="228">
      <c r="D228" s="46"/>
      <c r="N228" s="46"/>
      <c r="Q228" s="46"/>
      <c r="R228" s="46"/>
      <c r="S228" s="46"/>
    </row>
    <row r="229">
      <c r="D229" s="46"/>
      <c r="N229" s="46"/>
      <c r="Q229" s="46"/>
      <c r="R229" s="46"/>
      <c r="S229" s="46"/>
    </row>
    <row r="230">
      <c r="D230" s="46"/>
      <c r="N230" s="46"/>
      <c r="Q230" s="46"/>
      <c r="R230" s="46"/>
      <c r="S230" s="46"/>
    </row>
    <row r="231">
      <c r="D231" s="46"/>
      <c r="N231" s="46"/>
      <c r="Q231" s="46"/>
      <c r="R231" s="46"/>
      <c r="S231" s="46"/>
    </row>
    <row r="232">
      <c r="D232" s="46"/>
      <c r="N232" s="46"/>
      <c r="Q232" s="46"/>
      <c r="R232" s="46"/>
      <c r="S232" s="46"/>
    </row>
    <row r="233">
      <c r="D233" s="46"/>
      <c r="N233" s="46"/>
      <c r="Q233" s="46"/>
      <c r="R233" s="46"/>
      <c r="S233" s="46"/>
    </row>
    <row r="234">
      <c r="D234" s="46"/>
      <c r="N234" s="46"/>
      <c r="Q234" s="46"/>
      <c r="R234" s="46"/>
      <c r="S234" s="46"/>
    </row>
    <row r="235">
      <c r="D235" s="46"/>
      <c r="N235" s="46"/>
      <c r="Q235" s="46"/>
      <c r="R235" s="46"/>
      <c r="S235" s="46"/>
    </row>
    <row r="236">
      <c r="D236" s="46"/>
      <c r="N236" s="46"/>
      <c r="Q236" s="46"/>
      <c r="R236" s="46"/>
      <c r="S236" s="46"/>
    </row>
    <row r="237">
      <c r="D237" s="46"/>
      <c r="N237" s="46"/>
      <c r="Q237" s="46"/>
      <c r="R237" s="46"/>
      <c r="S237" s="46"/>
    </row>
    <row r="238">
      <c r="D238" s="46"/>
      <c r="N238" s="46"/>
      <c r="Q238" s="46"/>
      <c r="R238" s="46"/>
      <c r="S238" s="46"/>
    </row>
    <row r="239">
      <c r="D239" s="46"/>
      <c r="N239" s="46"/>
      <c r="Q239" s="46"/>
      <c r="R239" s="46"/>
      <c r="S239" s="46"/>
    </row>
    <row r="240">
      <c r="D240" s="46"/>
      <c r="N240" s="46"/>
      <c r="Q240" s="46"/>
      <c r="R240" s="46"/>
      <c r="S240" s="46"/>
    </row>
    <row r="241">
      <c r="D241" s="46"/>
      <c r="N241" s="46"/>
      <c r="Q241" s="46"/>
      <c r="R241" s="46"/>
      <c r="S241" s="46"/>
    </row>
    <row r="242">
      <c r="D242" s="46"/>
      <c r="N242" s="46"/>
      <c r="Q242" s="46"/>
      <c r="R242" s="46"/>
      <c r="S242" s="46"/>
    </row>
    <row r="243">
      <c r="D243" s="46"/>
      <c r="N243" s="46"/>
      <c r="Q243" s="46"/>
      <c r="R243" s="46"/>
      <c r="S243" s="46"/>
    </row>
    <row r="244">
      <c r="D244" s="46"/>
      <c r="N244" s="46"/>
      <c r="Q244" s="46"/>
      <c r="R244" s="46"/>
      <c r="S244" s="46"/>
    </row>
    <row r="245">
      <c r="D245" s="46"/>
      <c r="N245" s="46"/>
      <c r="Q245" s="46"/>
      <c r="R245" s="46"/>
      <c r="S245" s="46"/>
    </row>
    <row r="246">
      <c r="D246" s="46"/>
      <c r="N246" s="46"/>
      <c r="Q246" s="46"/>
      <c r="R246" s="46"/>
      <c r="S246" s="46"/>
    </row>
    <row r="247">
      <c r="D247" s="46"/>
      <c r="N247" s="46"/>
      <c r="Q247" s="46"/>
      <c r="R247" s="46"/>
      <c r="S247" s="46"/>
    </row>
    <row r="248">
      <c r="D248" s="46"/>
      <c r="N248" s="46"/>
      <c r="Q248" s="46"/>
      <c r="R248" s="46"/>
      <c r="S248" s="46"/>
    </row>
    <row r="249">
      <c r="D249" s="46"/>
      <c r="N249" s="46"/>
      <c r="Q249" s="46"/>
      <c r="R249" s="46"/>
      <c r="S249" s="46"/>
    </row>
    <row r="250">
      <c r="D250" s="46"/>
      <c r="N250" s="46"/>
      <c r="Q250" s="46"/>
      <c r="R250" s="46"/>
      <c r="S250" s="46"/>
    </row>
    <row r="251">
      <c r="D251" s="46"/>
      <c r="N251" s="46"/>
      <c r="Q251" s="46"/>
      <c r="R251" s="46"/>
      <c r="S251" s="46"/>
    </row>
    <row r="252">
      <c r="D252" s="46"/>
      <c r="N252" s="46"/>
      <c r="Q252" s="46"/>
      <c r="R252" s="46"/>
      <c r="S252" s="46"/>
    </row>
    <row r="253">
      <c r="D253" s="46"/>
      <c r="N253" s="46"/>
      <c r="Q253" s="46"/>
      <c r="R253" s="46"/>
      <c r="S253" s="46"/>
    </row>
    <row r="254">
      <c r="D254" s="46"/>
      <c r="N254" s="46"/>
      <c r="Q254" s="46"/>
      <c r="R254" s="46"/>
      <c r="S254" s="46"/>
    </row>
    <row r="255">
      <c r="D255" s="46"/>
      <c r="N255" s="46"/>
      <c r="Q255" s="46"/>
      <c r="R255" s="46"/>
      <c r="S255" s="46"/>
    </row>
    <row r="256">
      <c r="D256" s="46"/>
      <c r="N256" s="46"/>
      <c r="Q256" s="46"/>
      <c r="R256" s="46"/>
      <c r="S256" s="46"/>
    </row>
    <row r="257">
      <c r="D257" s="46"/>
      <c r="N257" s="46"/>
      <c r="Q257" s="46"/>
      <c r="R257" s="46"/>
      <c r="S257" s="46"/>
    </row>
    <row r="258">
      <c r="D258" s="46"/>
      <c r="N258" s="46"/>
      <c r="Q258" s="46"/>
      <c r="R258" s="46"/>
      <c r="S258" s="46"/>
    </row>
    <row r="259">
      <c r="D259" s="46"/>
      <c r="N259" s="46"/>
      <c r="Q259" s="46"/>
      <c r="R259" s="46"/>
      <c r="S259" s="46"/>
    </row>
    <row r="260">
      <c r="D260" s="46"/>
      <c r="N260" s="46"/>
      <c r="Q260" s="46"/>
      <c r="R260" s="46"/>
      <c r="S260" s="46"/>
    </row>
    <row r="261">
      <c r="D261" s="46"/>
      <c r="N261" s="46"/>
      <c r="Q261" s="46"/>
      <c r="R261" s="46"/>
      <c r="S261" s="46"/>
    </row>
    <row r="262">
      <c r="D262" s="46"/>
      <c r="N262" s="46"/>
      <c r="Q262" s="46"/>
      <c r="R262" s="46"/>
      <c r="S262" s="46"/>
    </row>
    <row r="263">
      <c r="D263" s="46"/>
      <c r="N263" s="46"/>
      <c r="Q263" s="46"/>
      <c r="R263" s="46"/>
      <c r="S263" s="46"/>
    </row>
    <row r="264">
      <c r="D264" s="46"/>
      <c r="N264" s="46"/>
      <c r="Q264" s="46"/>
      <c r="R264" s="46"/>
      <c r="S264" s="46"/>
    </row>
    <row r="265">
      <c r="D265" s="46"/>
      <c r="N265" s="46"/>
      <c r="Q265" s="46"/>
      <c r="R265" s="46"/>
      <c r="S265" s="46"/>
    </row>
    <row r="266">
      <c r="D266" s="46"/>
      <c r="N266" s="46"/>
      <c r="Q266" s="46"/>
      <c r="R266" s="46"/>
      <c r="S266" s="46"/>
    </row>
    <row r="267">
      <c r="D267" s="46"/>
      <c r="N267" s="46"/>
      <c r="Q267" s="46"/>
      <c r="R267" s="46"/>
      <c r="S267" s="46"/>
    </row>
    <row r="268">
      <c r="D268" s="46"/>
      <c r="N268" s="46"/>
      <c r="Q268" s="46"/>
      <c r="R268" s="46"/>
      <c r="S268" s="46"/>
    </row>
    <row r="269">
      <c r="D269" s="46"/>
      <c r="N269" s="46"/>
      <c r="Q269" s="46"/>
      <c r="R269" s="46"/>
      <c r="S269" s="46"/>
    </row>
    <row r="270">
      <c r="D270" s="46"/>
      <c r="N270" s="46"/>
      <c r="Q270" s="46"/>
      <c r="R270" s="46"/>
      <c r="S270" s="46"/>
    </row>
    <row r="271">
      <c r="D271" s="46"/>
      <c r="N271" s="46"/>
      <c r="Q271" s="46"/>
      <c r="R271" s="46"/>
      <c r="S271" s="46"/>
    </row>
    <row r="272">
      <c r="D272" s="46"/>
      <c r="N272" s="46"/>
      <c r="Q272" s="46"/>
      <c r="R272" s="46"/>
      <c r="S272" s="46"/>
    </row>
    <row r="273">
      <c r="D273" s="46"/>
      <c r="N273" s="46"/>
      <c r="Q273" s="46"/>
      <c r="R273" s="46"/>
      <c r="S273" s="46"/>
    </row>
    <row r="274">
      <c r="D274" s="46"/>
      <c r="N274" s="46"/>
      <c r="Q274" s="46"/>
      <c r="R274" s="46"/>
      <c r="S274" s="46"/>
    </row>
    <row r="275">
      <c r="D275" s="46"/>
      <c r="N275" s="46"/>
      <c r="Q275" s="46"/>
      <c r="R275" s="46"/>
      <c r="S275" s="46"/>
    </row>
    <row r="276">
      <c r="D276" s="46"/>
      <c r="N276" s="46"/>
      <c r="Q276" s="46"/>
      <c r="R276" s="46"/>
      <c r="S276" s="46"/>
    </row>
    <row r="277">
      <c r="D277" s="46"/>
      <c r="N277" s="46"/>
      <c r="Q277" s="46"/>
      <c r="R277" s="46"/>
      <c r="S277" s="46"/>
    </row>
    <row r="278">
      <c r="D278" s="46"/>
      <c r="N278" s="46"/>
      <c r="Q278" s="46"/>
      <c r="R278" s="46"/>
      <c r="S278" s="46"/>
    </row>
    <row r="279">
      <c r="D279" s="46"/>
      <c r="N279" s="46"/>
      <c r="Q279" s="46"/>
      <c r="R279" s="46"/>
      <c r="S279" s="46"/>
    </row>
    <row r="280">
      <c r="D280" s="46"/>
      <c r="N280" s="46"/>
      <c r="Q280" s="46"/>
      <c r="R280" s="46"/>
      <c r="S280" s="46"/>
    </row>
    <row r="281">
      <c r="D281" s="46"/>
      <c r="N281" s="46"/>
      <c r="Q281" s="46"/>
      <c r="R281" s="46"/>
      <c r="S281" s="46"/>
    </row>
    <row r="282">
      <c r="D282" s="46"/>
      <c r="N282" s="46"/>
      <c r="Q282" s="46"/>
      <c r="R282" s="46"/>
      <c r="S282" s="46"/>
    </row>
    <row r="283">
      <c r="D283" s="46"/>
      <c r="N283" s="46"/>
      <c r="Q283" s="46"/>
      <c r="R283" s="46"/>
      <c r="S283" s="46"/>
    </row>
    <row r="284">
      <c r="D284" s="46"/>
      <c r="N284" s="46"/>
      <c r="Q284" s="46"/>
      <c r="R284" s="46"/>
      <c r="S284" s="46"/>
    </row>
    <row r="285">
      <c r="D285" s="46"/>
      <c r="N285" s="46"/>
      <c r="Q285" s="46"/>
      <c r="R285" s="46"/>
      <c r="S285" s="46"/>
    </row>
    <row r="286">
      <c r="D286" s="46"/>
      <c r="N286" s="46"/>
      <c r="Q286" s="46"/>
      <c r="R286" s="46"/>
      <c r="S286" s="46"/>
    </row>
    <row r="287">
      <c r="D287" s="46"/>
      <c r="N287" s="46"/>
      <c r="Q287" s="46"/>
      <c r="R287" s="46"/>
      <c r="S287" s="46"/>
    </row>
    <row r="288">
      <c r="D288" s="46"/>
      <c r="N288" s="46"/>
      <c r="Q288" s="46"/>
      <c r="R288" s="46"/>
      <c r="S288" s="46"/>
    </row>
    <row r="289">
      <c r="D289" s="46"/>
      <c r="N289" s="46"/>
      <c r="Q289" s="46"/>
      <c r="R289" s="46"/>
      <c r="S289" s="46"/>
    </row>
    <row r="290">
      <c r="D290" s="46"/>
      <c r="N290" s="46"/>
      <c r="Q290" s="46"/>
      <c r="R290" s="46"/>
      <c r="S290" s="46"/>
    </row>
    <row r="291">
      <c r="D291" s="46"/>
      <c r="N291" s="46"/>
      <c r="Q291" s="46"/>
      <c r="R291" s="46"/>
      <c r="S291" s="46"/>
    </row>
    <row r="292">
      <c r="D292" s="46"/>
      <c r="N292" s="46"/>
      <c r="Q292" s="46"/>
      <c r="R292" s="46"/>
      <c r="S292" s="46"/>
    </row>
    <row r="293">
      <c r="D293" s="46"/>
      <c r="N293" s="46"/>
      <c r="Q293" s="46"/>
      <c r="R293" s="46"/>
      <c r="S293" s="46"/>
    </row>
    <row r="294">
      <c r="D294" s="46"/>
      <c r="N294" s="46"/>
      <c r="Q294" s="46"/>
      <c r="R294" s="46"/>
      <c r="S294" s="46"/>
    </row>
    <row r="295">
      <c r="D295" s="46"/>
      <c r="N295" s="46"/>
      <c r="Q295" s="46"/>
      <c r="R295" s="46"/>
      <c r="S295" s="46"/>
    </row>
    <row r="296">
      <c r="D296" s="46"/>
      <c r="N296" s="46"/>
      <c r="Q296" s="46"/>
      <c r="R296" s="46"/>
      <c r="S296" s="46"/>
    </row>
    <row r="297">
      <c r="D297" s="46"/>
      <c r="N297" s="46"/>
      <c r="Q297" s="46"/>
      <c r="R297" s="46"/>
      <c r="S297" s="46"/>
    </row>
    <row r="298">
      <c r="D298" s="46"/>
      <c r="N298" s="46"/>
      <c r="Q298" s="46"/>
      <c r="R298" s="46"/>
      <c r="S298" s="46"/>
    </row>
    <row r="299">
      <c r="D299" s="46"/>
      <c r="N299" s="46"/>
      <c r="Q299" s="46"/>
      <c r="R299" s="46"/>
      <c r="S299" s="46"/>
    </row>
    <row r="300">
      <c r="D300" s="46"/>
      <c r="N300" s="46"/>
      <c r="Q300" s="46"/>
      <c r="R300" s="46"/>
      <c r="S300" s="46"/>
    </row>
    <row r="301">
      <c r="D301" s="46"/>
      <c r="N301" s="46"/>
      <c r="Q301" s="46"/>
      <c r="R301" s="46"/>
      <c r="S301" s="46"/>
    </row>
    <row r="302">
      <c r="D302" s="46"/>
      <c r="N302" s="46"/>
      <c r="Q302" s="46"/>
      <c r="R302" s="46"/>
      <c r="S302" s="46"/>
    </row>
    <row r="303">
      <c r="D303" s="46"/>
      <c r="N303" s="46"/>
      <c r="Q303" s="46"/>
      <c r="R303" s="46"/>
      <c r="S303" s="46"/>
    </row>
    <row r="304">
      <c r="D304" s="46"/>
      <c r="N304" s="46"/>
      <c r="Q304" s="46"/>
      <c r="R304" s="46"/>
      <c r="S304" s="46"/>
    </row>
    <row r="305">
      <c r="D305" s="46"/>
      <c r="N305" s="46"/>
      <c r="Q305" s="46"/>
      <c r="R305" s="46"/>
      <c r="S305" s="46"/>
    </row>
    <row r="306">
      <c r="D306" s="46"/>
      <c r="N306" s="46"/>
      <c r="Q306" s="46"/>
      <c r="R306" s="46"/>
      <c r="S306" s="46"/>
    </row>
    <row r="307">
      <c r="D307" s="46"/>
      <c r="N307" s="46"/>
      <c r="Q307" s="46"/>
      <c r="R307" s="46"/>
      <c r="S307" s="46"/>
    </row>
    <row r="308">
      <c r="D308" s="46"/>
      <c r="N308" s="46"/>
      <c r="Q308" s="46"/>
      <c r="R308" s="46"/>
      <c r="S308" s="46"/>
    </row>
    <row r="309">
      <c r="D309" s="46"/>
      <c r="N309" s="46"/>
      <c r="Q309" s="46"/>
      <c r="R309" s="46"/>
      <c r="S309" s="46"/>
    </row>
    <row r="310">
      <c r="D310" s="46"/>
      <c r="N310" s="46"/>
      <c r="Q310" s="46"/>
      <c r="R310" s="46"/>
      <c r="S310" s="46"/>
    </row>
    <row r="311">
      <c r="D311" s="46"/>
      <c r="N311" s="46"/>
      <c r="Q311" s="46"/>
      <c r="R311" s="46"/>
      <c r="S311" s="46"/>
    </row>
    <row r="312">
      <c r="D312" s="46"/>
      <c r="N312" s="46"/>
      <c r="Q312" s="46"/>
      <c r="R312" s="46"/>
      <c r="S312" s="46"/>
    </row>
    <row r="313">
      <c r="D313" s="46"/>
      <c r="N313" s="46"/>
      <c r="Q313" s="46"/>
      <c r="R313" s="46"/>
      <c r="S313" s="46"/>
    </row>
    <row r="314">
      <c r="D314" s="46"/>
      <c r="N314" s="46"/>
      <c r="Q314" s="46"/>
      <c r="R314" s="46"/>
      <c r="S314" s="46"/>
    </row>
    <row r="315">
      <c r="D315" s="46"/>
      <c r="N315" s="46"/>
      <c r="Q315" s="46"/>
      <c r="R315" s="46"/>
      <c r="S315" s="46"/>
    </row>
    <row r="316">
      <c r="D316" s="46"/>
      <c r="N316" s="46"/>
      <c r="Q316" s="46"/>
      <c r="R316" s="46"/>
      <c r="S316" s="46"/>
    </row>
    <row r="317">
      <c r="D317" s="46"/>
      <c r="N317" s="46"/>
      <c r="Q317" s="46"/>
      <c r="R317" s="46"/>
      <c r="S317" s="46"/>
    </row>
    <row r="318">
      <c r="D318" s="46"/>
      <c r="N318" s="46"/>
      <c r="Q318" s="46"/>
      <c r="R318" s="46"/>
      <c r="S318" s="46"/>
    </row>
    <row r="319">
      <c r="D319" s="46"/>
      <c r="N319" s="46"/>
      <c r="Q319" s="46"/>
      <c r="R319" s="46"/>
      <c r="S319" s="46"/>
    </row>
    <row r="320">
      <c r="D320" s="46"/>
      <c r="N320" s="46"/>
      <c r="Q320" s="46"/>
      <c r="R320" s="46"/>
      <c r="S320" s="46"/>
    </row>
    <row r="321">
      <c r="D321" s="46"/>
      <c r="N321" s="46"/>
      <c r="Q321" s="46"/>
      <c r="R321" s="46"/>
      <c r="S321" s="46"/>
    </row>
    <row r="322">
      <c r="D322" s="46"/>
      <c r="N322" s="46"/>
      <c r="Q322" s="46"/>
      <c r="R322" s="46"/>
      <c r="S322" s="46"/>
    </row>
    <row r="323">
      <c r="D323" s="46"/>
      <c r="N323" s="46"/>
      <c r="Q323" s="46"/>
      <c r="R323" s="46"/>
      <c r="S323" s="46"/>
    </row>
    <row r="324">
      <c r="D324" s="46"/>
      <c r="N324" s="46"/>
      <c r="Q324" s="46"/>
      <c r="R324" s="46"/>
      <c r="S324" s="46"/>
    </row>
    <row r="325">
      <c r="D325" s="46"/>
      <c r="N325" s="46"/>
      <c r="Q325" s="46"/>
      <c r="R325" s="46"/>
      <c r="S325" s="46"/>
    </row>
    <row r="326">
      <c r="D326" s="46"/>
      <c r="N326" s="46"/>
      <c r="Q326" s="46"/>
      <c r="R326" s="46"/>
      <c r="S326" s="46"/>
    </row>
    <row r="327">
      <c r="D327" s="46"/>
      <c r="N327" s="46"/>
      <c r="Q327" s="46"/>
      <c r="R327" s="46"/>
      <c r="S327" s="46"/>
    </row>
    <row r="328">
      <c r="D328" s="46"/>
      <c r="N328" s="46"/>
      <c r="Q328" s="46"/>
      <c r="R328" s="46"/>
      <c r="S328" s="46"/>
    </row>
    <row r="329">
      <c r="D329" s="46"/>
      <c r="N329" s="46"/>
      <c r="Q329" s="46"/>
      <c r="R329" s="46"/>
      <c r="S329" s="46"/>
    </row>
    <row r="330">
      <c r="D330" s="46"/>
      <c r="N330" s="46"/>
      <c r="Q330" s="46"/>
      <c r="R330" s="46"/>
      <c r="S330" s="46"/>
    </row>
    <row r="331">
      <c r="D331" s="46"/>
      <c r="N331" s="46"/>
      <c r="Q331" s="46"/>
      <c r="R331" s="46"/>
      <c r="S331" s="46"/>
    </row>
    <row r="332">
      <c r="D332" s="46"/>
      <c r="N332" s="46"/>
      <c r="Q332" s="46"/>
      <c r="R332" s="46"/>
      <c r="S332" s="46"/>
    </row>
    <row r="333">
      <c r="D333" s="46"/>
      <c r="N333" s="46"/>
      <c r="Q333" s="46"/>
      <c r="R333" s="46"/>
      <c r="S333" s="46"/>
    </row>
    <row r="334">
      <c r="D334" s="46"/>
      <c r="N334" s="46"/>
      <c r="Q334" s="46"/>
      <c r="R334" s="46"/>
      <c r="S334" s="46"/>
    </row>
    <row r="335">
      <c r="D335" s="46"/>
      <c r="N335" s="46"/>
      <c r="Q335" s="46"/>
      <c r="R335" s="46"/>
      <c r="S335" s="46"/>
    </row>
    <row r="336">
      <c r="D336" s="46"/>
      <c r="N336" s="46"/>
      <c r="Q336" s="46"/>
      <c r="R336" s="46"/>
      <c r="S336" s="46"/>
    </row>
    <row r="337">
      <c r="D337" s="46"/>
      <c r="N337" s="46"/>
      <c r="Q337" s="46"/>
      <c r="R337" s="46"/>
      <c r="S337" s="46"/>
    </row>
    <row r="338">
      <c r="D338" s="46"/>
      <c r="N338" s="46"/>
      <c r="Q338" s="46"/>
      <c r="R338" s="46"/>
      <c r="S338" s="46"/>
    </row>
    <row r="339">
      <c r="D339" s="46"/>
      <c r="N339" s="46"/>
      <c r="Q339" s="46"/>
      <c r="R339" s="46"/>
      <c r="S339" s="46"/>
    </row>
    <row r="340">
      <c r="D340" s="46"/>
      <c r="N340" s="46"/>
      <c r="Q340" s="46"/>
      <c r="R340" s="46"/>
      <c r="S340" s="46"/>
    </row>
    <row r="341">
      <c r="D341" s="46"/>
      <c r="N341" s="46"/>
      <c r="Q341" s="46"/>
      <c r="R341" s="46"/>
      <c r="S341" s="46"/>
    </row>
    <row r="342">
      <c r="D342" s="46"/>
      <c r="N342" s="46"/>
      <c r="Q342" s="46"/>
      <c r="R342" s="46"/>
      <c r="S342" s="46"/>
    </row>
    <row r="343">
      <c r="D343" s="46"/>
      <c r="N343" s="46"/>
      <c r="Q343" s="46"/>
      <c r="R343" s="46"/>
      <c r="S343" s="46"/>
    </row>
    <row r="344">
      <c r="D344" s="46"/>
      <c r="N344" s="46"/>
      <c r="Q344" s="46"/>
      <c r="R344" s="46"/>
      <c r="S344" s="46"/>
    </row>
    <row r="345">
      <c r="D345" s="46"/>
      <c r="N345" s="46"/>
      <c r="Q345" s="46"/>
      <c r="R345" s="46"/>
      <c r="S345" s="46"/>
    </row>
    <row r="346">
      <c r="D346" s="46"/>
      <c r="N346" s="46"/>
      <c r="Q346" s="46"/>
      <c r="R346" s="46"/>
      <c r="S346" s="46"/>
    </row>
    <row r="347">
      <c r="D347" s="46"/>
      <c r="N347" s="46"/>
      <c r="Q347" s="46"/>
      <c r="R347" s="46"/>
      <c r="S347" s="46"/>
    </row>
    <row r="348">
      <c r="D348" s="46"/>
      <c r="N348" s="46"/>
      <c r="Q348" s="46"/>
      <c r="R348" s="46"/>
      <c r="S348" s="46"/>
    </row>
    <row r="349">
      <c r="D349" s="46"/>
      <c r="N349" s="46"/>
      <c r="Q349" s="46"/>
      <c r="R349" s="46"/>
      <c r="S349" s="46"/>
    </row>
    <row r="350">
      <c r="D350" s="46"/>
      <c r="N350" s="46"/>
      <c r="Q350" s="46"/>
      <c r="R350" s="46"/>
      <c r="S350" s="46"/>
    </row>
    <row r="351">
      <c r="D351" s="46"/>
      <c r="N351" s="46"/>
      <c r="Q351" s="46"/>
      <c r="R351" s="46"/>
      <c r="S351" s="46"/>
    </row>
    <row r="352">
      <c r="D352" s="46"/>
      <c r="N352" s="46"/>
      <c r="Q352" s="46"/>
      <c r="R352" s="46"/>
      <c r="S352" s="46"/>
    </row>
    <row r="353">
      <c r="D353" s="46"/>
      <c r="N353" s="46"/>
      <c r="Q353" s="46"/>
      <c r="R353" s="46"/>
      <c r="S353" s="46"/>
    </row>
    <row r="354">
      <c r="D354" s="46"/>
      <c r="N354" s="46"/>
      <c r="Q354" s="46"/>
      <c r="R354" s="46"/>
      <c r="S354" s="46"/>
    </row>
    <row r="355">
      <c r="D355" s="46"/>
      <c r="N355" s="46"/>
      <c r="Q355" s="46"/>
      <c r="R355" s="46"/>
      <c r="S355" s="46"/>
    </row>
    <row r="356">
      <c r="D356" s="46"/>
      <c r="N356" s="46"/>
      <c r="Q356" s="46"/>
      <c r="R356" s="46"/>
      <c r="S356" s="46"/>
    </row>
    <row r="357">
      <c r="D357" s="46"/>
      <c r="N357" s="46"/>
      <c r="Q357" s="46"/>
      <c r="R357" s="46"/>
      <c r="S357" s="46"/>
    </row>
    <row r="358">
      <c r="D358" s="46"/>
      <c r="N358" s="46"/>
      <c r="Q358" s="46"/>
      <c r="R358" s="46"/>
      <c r="S358" s="46"/>
    </row>
    <row r="359">
      <c r="D359" s="46"/>
      <c r="N359" s="46"/>
      <c r="Q359" s="46"/>
      <c r="R359" s="46"/>
      <c r="S359" s="46"/>
    </row>
    <row r="360">
      <c r="D360" s="46"/>
      <c r="N360" s="46"/>
      <c r="Q360" s="46"/>
      <c r="R360" s="46"/>
      <c r="S360" s="46"/>
    </row>
    <row r="361">
      <c r="D361" s="46"/>
      <c r="N361" s="46"/>
      <c r="Q361" s="46"/>
      <c r="R361" s="46"/>
      <c r="S361" s="46"/>
    </row>
    <row r="362">
      <c r="D362" s="46"/>
      <c r="N362" s="46"/>
      <c r="Q362" s="46"/>
      <c r="R362" s="46"/>
      <c r="S362" s="46"/>
    </row>
    <row r="363">
      <c r="D363" s="46"/>
      <c r="N363" s="46"/>
      <c r="Q363" s="46"/>
      <c r="R363" s="46"/>
      <c r="S363" s="46"/>
    </row>
    <row r="364">
      <c r="D364" s="46"/>
      <c r="N364" s="46"/>
      <c r="Q364" s="46"/>
      <c r="R364" s="46"/>
      <c r="S364" s="46"/>
    </row>
    <row r="365">
      <c r="D365" s="46"/>
      <c r="N365" s="46"/>
      <c r="Q365" s="46"/>
      <c r="R365" s="46"/>
      <c r="S365" s="46"/>
    </row>
    <row r="366">
      <c r="D366" s="46"/>
      <c r="N366" s="46"/>
      <c r="Q366" s="46"/>
      <c r="R366" s="46"/>
      <c r="S366" s="46"/>
    </row>
    <row r="367">
      <c r="D367" s="46"/>
      <c r="N367" s="46"/>
      <c r="Q367" s="46"/>
      <c r="R367" s="46"/>
      <c r="S367" s="46"/>
    </row>
    <row r="368">
      <c r="D368" s="46"/>
      <c r="N368" s="46"/>
      <c r="Q368" s="46"/>
      <c r="R368" s="46"/>
      <c r="S368" s="46"/>
    </row>
    <row r="369">
      <c r="D369" s="46"/>
      <c r="N369" s="46"/>
      <c r="Q369" s="46"/>
      <c r="R369" s="46"/>
      <c r="S369" s="46"/>
    </row>
    <row r="370">
      <c r="D370" s="46"/>
      <c r="N370" s="46"/>
      <c r="Q370" s="46"/>
      <c r="R370" s="46"/>
      <c r="S370" s="46"/>
    </row>
    <row r="371">
      <c r="D371" s="46"/>
      <c r="N371" s="46"/>
      <c r="Q371" s="46"/>
      <c r="R371" s="46"/>
      <c r="S371" s="46"/>
    </row>
    <row r="372">
      <c r="D372" s="46"/>
      <c r="N372" s="46"/>
      <c r="Q372" s="46"/>
      <c r="R372" s="46"/>
      <c r="S372" s="46"/>
    </row>
    <row r="373">
      <c r="D373" s="46"/>
      <c r="N373" s="46"/>
      <c r="Q373" s="46"/>
      <c r="R373" s="46"/>
      <c r="S373" s="46"/>
    </row>
    <row r="374">
      <c r="D374" s="46"/>
      <c r="N374" s="46"/>
      <c r="Q374" s="46"/>
      <c r="R374" s="46"/>
      <c r="S374" s="46"/>
    </row>
    <row r="375">
      <c r="D375" s="46"/>
      <c r="N375" s="46"/>
      <c r="Q375" s="46"/>
      <c r="R375" s="46"/>
      <c r="S375" s="46"/>
    </row>
    <row r="376">
      <c r="D376" s="46"/>
      <c r="N376" s="46"/>
      <c r="Q376" s="46"/>
      <c r="R376" s="46"/>
      <c r="S376" s="46"/>
    </row>
    <row r="377">
      <c r="D377" s="46"/>
      <c r="N377" s="46"/>
      <c r="Q377" s="46"/>
      <c r="R377" s="46"/>
      <c r="S377" s="46"/>
    </row>
    <row r="378">
      <c r="D378" s="46"/>
      <c r="N378" s="46"/>
      <c r="Q378" s="46"/>
      <c r="R378" s="46"/>
      <c r="S378" s="46"/>
    </row>
    <row r="379">
      <c r="D379" s="46"/>
      <c r="N379" s="46"/>
      <c r="Q379" s="46"/>
      <c r="R379" s="46"/>
      <c r="S379" s="46"/>
    </row>
    <row r="380">
      <c r="D380" s="46"/>
      <c r="N380" s="46"/>
      <c r="Q380" s="46"/>
      <c r="R380" s="46"/>
      <c r="S380" s="46"/>
    </row>
    <row r="381">
      <c r="D381" s="46"/>
      <c r="N381" s="46"/>
      <c r="Q381" s="46"/>
      <c r="R381" s="46"/>
      <c r="S381" s="46"/>
    </row>
    <row r="382">
      <c r="D382" s="46"/>
      <c r="N382" s="46"/>
      <c r="Q382" s="46"/>
      <c r="R382" s="46"/>
      <c r="S382" s="46"/>
    </row>
    <row r="383">
      <c r="D383" s="46"/>
      <c r="N383" s="46"/>
      <c r="Q383" s="46"/>
      <c r="R383" s="46"/>
      <c r="S383" s="46"/>
    </row>
    <row r="384">
      <c r="D384" s="46"/>
      <c r="N384" s="46"/>
      <c r="Q384" s="46"/>
      <c r="R384" s="46"/>
      <c r="S384" s="46"/>
    </row>
    <row r="385">
      <c r="D385" s="46"/>
      <c r="N385" s="46"/>
      <c r="Q385" s="46"/>
      <c r="R385" s="46"/>
      <c r="S385" s="46"/>
    </row>
    <row r="386">
      <c r="D386" s="46"/>
      <c r="N386" s="46"/>
      <c r="Q386" s="46"/>
      <c r="R386" s="46"/>
      <c r="S386" s="46"/>
    </row>
    <row r="387">
      <c r="D387" s="46"/>
      <c r="N387" s="46"/>
      <c r="Q387" s="46"/>
      <c r="R387" s="46"/>
      <c r="S387" s="46"/>
    </row>
    <row r="388">
      <c r="D388" s="46"/>
      <c r="N388" s="46"/>
      <c r="Q388" s="46"/>
      <c r="R388" s="46"/>
      <c r="S388" s="46"/>
    </row>
    <row r="389">
      <c r="D389" s="46"/>
      <c r="N389" s="46"/>
      <c r="Q389" s="46"/>
      <c r="R389" s="46"/>
      <c r="S389" s="46"/>
    </row>
    <row r="390">
      <c r="D390" s="46"/>
      <c r="N390" s="46"/>
      <c r="Q390" s="46"/>
      <c r="R390" s="46"/>
      <c r="S390" s="46"/>
    </row>
    <row r="391">
      <c r="D391" s="46"/>
      <c r="N391" s="46"/>
      <c r="Q391" s="46"/>
      <c r="R391" s="46"/>
      <c r="S391" s="46"/>
    </row>
    <row r="392">
      <c r="D392" s="46"/>
      <c r="N392" s="46"/>
      <c r="Q392" s="46"/>
      <c r="R392" s="46"/>
      <c r="S392" s="46"/>
    </row>
    <row r="393">
      <c r="D393" s="46"/>
      <c r="N393" s="46"/>
      <c r="Q393" s="46"/>
      <c r="R393" s="46"/>
      <c r="S393" s="46"/>
    </row>
    <row r="394">
      <c r="D394" s="46"/>
      <c r="N394" s="46"/>
      <c r="Q394" s="46"/>
      <c r="R394" s="46"/>
      <c r="S394" s="46"/>
    </row>
    <row r="395">
      <c r="D395" s="46"/>
      <c r="N395" s="46"/>
      <c r="Q395" s="46"/>
      <c r="R395" s="46"/>
      <c r="S395" s="46"/>
    </row>
    <row r="396">
      <c r="D396" s="46"/>
      <c r="N396" s="46"/>
      <c r="Q396" s="46"/>
      <c r="R396" s="46"/>
      <c r="S396" s="46"/>
    </row>
    <row r="397">
      <c r="D397" s="46"/>
      <c r="N397" s="46"/>
      <c r="Q397" s="46"/>
      <c r="R397" s="46"/>
      <c r="S397" s="46"/>
    </row>
    <row r="398">
      <c r="D398" s="46"/>
      <c r="N398" s="46"/>
      <c r="Q398" s="46"/>
      <c r="R398" s="46"/>
      <c r="S398" s="46"/>
    </row>
    <row r="399">
      <c r="D399" s="46"/>
      <c r="N399" s="46"/>
      <c r="Q399" s="46"/>
      <c r="R399" s="46"/>
      <c r="S399" s="46"/>
    </row>
    <row r="400">
      <c r="D400" s="46"/>
      <c r="N400" s="46"/>
      <c r="Q400" s="46"/>
      <c r="R400" s="46"/>
      <c r="S400" s="46"/>
    </row>
    <row r="401">
      <c r="D401" s="46"/>
      <c r="N401" s="46"/>
      <c r="Q401" s="46"/>
      <c r="R401" s="46"/>
      <c r="S401" s="46"/>
    </row>
    <row r="402">
      <c r="D402" s="46"/>
      <c r="N402" s="46"/>
      <c r="Q402" s="46"/>
      <c r="R402" s="46"/>
      <c r="S402" s="46"/>
    </row>
    <row r="403">
      <c r="D403" s="46"/>
      <c r="N403" s="46"/>
      <c r="Q403" s="46"/>
      <c r="R403" s="46"/>
      <c r="S403" s="46"/>
    </row>
    <row r="404">
      <c r="D404" s="46"/>
      <c r="N404" s="46"/>
      <c r="Q404" s="46"/>
      <c r="R404" s="46"/>
      <c r="S404" s="46"/>
    </row>
    <row r="405">
      <c r="D405" s="46"/>
      <c r="N405" s="46"/>
      <c r="Q405" s="46"/>
      <c r="R405" s="46"/>
      <c r="S405" s="46"/>
    </row>
    <row r="406">
      <c r="D406" s="46"/>
      <c r="N406" s="46"/>
      <c r="Q406" s="46"/>
      <c r="R406" s="46"/>
      <c r="S406" s="46"/>
    </row>
    <row r="407">
      <c r="D407" s="46"/>
      <c r="N407" s="46"/>
      <c r="Q407" s="46"/>
      <c r="R407" s="46"/>
      <c r="S407" s="46"/>
    </row>
    <row r="408">
      <c r="D408" s="46"/>
      <c r="N408" s="46"/>
      <c r="Q408" s="46"/>
      <c r="R408" s="46"/>
      <c r="S408" s="46"/>
    </row>
    <row r="409">
      <c r="D409" s="46"/>
      <c r="N409" s="46"/>
      <c r="Q409" s="46"/>
      <c r="R409" s="46"/>
      <c r="S409" s="46"/>
    </row>
    <row r="410">
      <c r="D410" s="46"/>
      <c r="N410" s="46"/>
      <c r="Q410" s="46"/>
      <c r="R410" s="46"/>
      <c r="S410" s="46"/>
    </row>
    <row r="411">
      <c r="D411" s="46"/>
      <c r="N411" s="46"/>
      <c r="Q411" s="46"/>
      <c r="R411" s="46"/>
      <c r="S411" s="46"/>
    </row>
    <row r="412">
      <c r="D412" s="46"/>
      <c r="N412" s="46"/>
      <c r="Q412" s="46"/>
      <c r="R412" s="46"/>
      <c r="S412" s="46"/>
    </row>
    <row r="413">
      <c r="D413" s="46"/>
      <c r="N413" s="46"/>
      <c r="Q413" s="46"/>
      <c r="R413" s="46"/>
      <c r="S413" s="46"/>
    </row>
    <row r="414">
      <c r="D414" s="46"/>
      <c r="N414" s="46"/>
      <c r="Q414" s="46"/>
      <c r="R414" s="46"/>
      <c r="S414" s="46"/>
    </row>
    <row r="415">
      <c r="D415" s="46"/>
      <c r="N415" s="46"/>
      <c r="Q415" s="46"/>
      <c r="R415" s="46"/>
      <c r="S415" s="46"/>
    </row>
    <row r="416">
      <c r="D416" s="46"/>
      <c r="N416" s="46"/>
      <c r="Q416" s="46"/>
      <c r="R416" s="46"/>
      <c r="S416" s="46"/>
    </row>
    <row r="417">
      <c r="D417" s="46"/>
      <c r="N417" s="46"/>
      <c r="Q417" s="46"/>
      <c r="R417" s="46"/>
      <c r="S417" s="46"/>
    </row>
    <row r="418">
      <c r="D418" s="46"/>
      <c r="N418" s="46"/>
      <c r="Q418" s="46"/>
      <c r="R418" s="46"/>
      <c r="S418" s="46"/>
    </row>
    <row r="419">
      <c r="D419" s="46"/>
      <c r="N419" s="46"/>
      <c r="Q419" s="46"/>
      <c r="R419" s="46"/>
      <c r="S419" s="46"/>
    </row>
    <row r="420">
      <c r="D420" s="46"/>
      <c r="N420" s="46"/>
      <c r="Q420" s="46"/>
      <c r="R420" s="46"/>
      <c r="S420" s="46"/>
    </row>
    <row r="421">
      <c r="D421" s="46"/>
      <c r="N421" s="46"/>
      <c r="Q421" s="46"/>
      <c r="R421" s="46"/>
      <c r="S421" s="46"/>
    </row>
    <row r="422">
      <c r="D422" s="46"/>
      <c r="N422" s="46"/>
      <c r="Q422" s="46"/>
      <c r="R422" s="46"/>
      <c r="S422" s="46"/>
    </row>
    <row r="423">
      <c r="D423" s="46"/>
      <c r="N423" s="46"/>
      <c r="Q423" s="46"/>
      <c r="R423" s="46"/>
      <c r="S423" s="46"/>
    </row>
    <row r="424">
      <c r="D424" s="46"/>
      <c r="N424" s="46"/>
      <c r="Q424" s="46"/>
      <c r="R424" s="46"/>
      <c r="S424" s="46"/>
    </row>
    <row r="425">
      <c r="D425" s="46"/>
      <c r="N425" s="46"/>
      <c r="Q425" s="46"/>
      <c r="R425" s="46"/>
      <c r="S425" s="46"/>
    </row>
    <row r="426">
      <c r="D426" s="46"/>
      <c r="N426" s="46"/>
      <c r="Q426" s="46"/>
      <c r="R426" s="46"/>
      <c r="S426" s="46"/>
    </row>
    <row r="427">
      <c r="D427" s="46"/>
      <c r="N427" s="46"/>
      <c r="Q427" s="46"/>
      <c r="R427" s="46"/>
      <c r="S427" s="46"/>
    </row>
    <row r="428">
      <c r="D428" s="46"/>
      <c r="N428" s="46"/>
      <c r="Q428" s="46"/>
      <c r="R428" s="46"/>
      <c r="S428" s="46"/>
    </row>
    <row r="429">
      <c r="D429" s="46"/>
      <c r="N429" s="46"/>
      <c r="Q429" s="46"/>
      <c r="R429" s="46"/>
      <c r="S429" s="46"/>
    </row>
    <row r="430">
      <c r="D430" s="46"/>
      <c r="N430" s="46"/>
      <c r="Q430" s="46"/>
      <c r="R430" s="46"/>
      <c r="S430" s="46"/>
    </row>
    <row r="431">
      <c r="D431" s="46"/>
      <c r="N431" s="46"/>
      <c r="Q431" s="46"/>
      <c r="R431" s="46"/>
      <c r="S431" s="46"/>
    </row>
    <row r="432">
      <c r="D432" s="46"/>
      <c r="N432" s="46"/>
      <c r="Q432" s="46"/>
      <c r="R432" s="46"/>
      <c r="S432" s="46"/>
    </row>
    <row r="433">
      <c r="D433" s="46"/>
      <c r="N433" s="46"/>
      <c r="Q433" s="46"/>
      <c r="R433" s="46"/>
      <c r="S433" s="46"/>
    </row>
    <row r="434">
      <c r="D434" s="46"/>
      <c r="N434" s="46"/>
      <c r="Q434" s="46"/>
      <c r="R434" s="46"/>
      <c r="S434" s="46"/>
    </row>
    <row r="435">
      <c r="D435" s="46"/>
      <c r="N435" s="46"/>
      <c r="Q435" s="46"/>
      <c r="R435" s="46"/>
      <c r="S435" s="46"/>
    </row>
    <row r="436">
      <c r="D436" s="46"/>
      <c r="N436" s="46"/>
      <c r="Q436" s="46"/>
      <c r="R436" s="46"/>
      <c r="S436" s="46"/>
    </row>
    <row r="437">
      <c r="D437" s="46"/>
      <c r="N437" s="46"/>
      <c r="Q437" s="46"/>
      <c r="R437" s="46"/>
      <c r="S437" s="46"/>
    </row>
    <row r="438">
      <c r="D438" s="46"/>
      <c r="N438" s="46"/>
      <c r="Q438" s="46"/>
      <c r="R438" s="46"/>
      <c r="S438" s="46"/>
    </row>
    <row r="439">
      <c r="D439" s="46"/>
      <c r="N439" s="46"/>
      <c r="Q439" s="46"/>
      <c r="R439" s="46"/>
      <c r="S439" s="46"/>
    </row>
    <row r="440">
      <c r="D440" s="46"/>
      <c r="N440" s="46"/>
      <c r="Q440" s="46"/>
      <c r="R440" s="46"/>
      <c r="S440" s="46"/>
    </row>
    <row r="441">
      <c r="D441" s="46"/>
      <c r="N441" s="46"/>
      <c r="Q441" s="46"/>
      <c r="R441" s="46"/>
      <c r="S441" s="46"/>
    </row>
    <row r="442">
      <c r="D442" s="46"/>
      <c r="N442" s="46"/>
      <c r="Q442" s="46"/>
      <c r="R442" s="46"/>
      <c r="S442" s="46"/>
    </row>
    <row r="443">
      <c r="D443" s="46"/>
      <c r="N443" s="46"/>
      <c r="Q443" s="46"/>
      <c r="R443" s="46"/>
      <c r="S443" s="46"/>
    </row>
    <row r="444">
      <c r="D444" s="46"/>
      <c r="N444" s="46"/>
      <c r="Q444" s="46"/>
      <c r="R444" s="46"/>
      <c r="S444" s="46"/>
    </row>
    <row r="445">
      <c r="D445" s="46"/>
      <c r="N445" s="46"/>
      <c r="Q445" s="46"/>
      <c r="R445" s="46"/>
      <c r="S445" s="46"/>
    </row>
    <row r="446">
      <c r="D446" s="46"/>
      <c r="N446" s="46"/>
      <c r="Q446" s="46"/>
      <c r="R446" s="46"/>
      <c r="S446" s="46"/>
    </row>
    <row r="447">
      <c r="D447" s="46"/>
      <c r="N447" s="46"/>
      <c r="Q447" s="46"/>
      <c r="R447" s="46"/>
      <c r="S447" s="46"/>
    </row>
    <row r="448">
      <c r="D448" s="46"/>
      <c r="N448" s="46"/>
      <c r="Q448" s="46"/>
      <c r="R448" s="46"/>
      <c r="S448" s="46"/>
    </row>
    <row r="449">
      <c r="D449" s="46"/>
      <c r="N449" s="46"/>
      <c r="Q449" s="46"/>
      <c r="R449" s="46"/>
      <c r="S449" s="46"/>
    </row>
    <row r="450">
      <c r="D450" s="46"/>
      <c r="N450" s="46"/>
      <c r="Q450" s="46"/>
      <c r="R450" s="46"/>
      <c r="S450" s="46"/>
    </row>
    <row r="451">
      <c r="D451" s="46"/>
      <c r="N451" s="46"/>
      <c r="Q451" s="46"/>
      <c r="R451" s="46"/>
      <c r="S451" s="46"/>
    </row>
    <row r="452">
      <c r="D452" s="46"/>
      <c r="N452" s="46"/>
      <c r="Q452" s="46"/>
      <c r="R452" s="46"/>
      <c r="S452" s="46"/>
    </row>
    <row r="453">
      <c r="D453" s="46"/>
      <c r="N453" s="46"/>
      <c r="Q453" s="46"/>
      <c r="R453" s="46"/>
      <c r="S453" s="46"/>
    </row>
    <row r="454">
      <c r="D454" s="46"/>
      <c r="N454" s="46"/>
      <c r="Q454" s="46"/>
      <c r="R454" s="46"/>
      <c r="S454" s="46"/>
    </row>
    <row r="455">
      <c r="D455" s="46"/>
      <c r="N455" s="46"/>
      <c r="Q455" s="46"/>
      <c r="R455" s="46"/>
      <c r="S455" s="46"/>
    </row>
    <row r="456">
      <c r="D456" s="46"/>
      <c r="N456" s="46"/>
      <c r="Q456" s="46"/>
      <c r="R456" s="46"/>
      <c r="S456" s="46"/>
    </row>
    <row r="457">
      <c r="D457" s="46"/>
      <c r="N457" s="46"/>
      <c r="Q457" s="46"/>
      <c r="R457" s="46"/>
      <c r="S457" s="46"/>
    </row>
    <row r="458">
      <c r="D458" s="46"/>
      <c r="N458" s="46"/>
      <c r="Q458" s="46"/>
      <c r="R458" s="46"/>
      <c r="S458" s="46"/>
    </row>
    <row r="459">
      <c r="D459" s="46"/>
      <c r="N459" s="46"/>
      <c r="Q459" s="46"/>
      <c r="R459" s="46"/>
      <c r="S459" s="46"/>
    </row>
    <row r="460">
      <c r="D460" s="46"/>
      <c r="N460" s="46"/>
      <c r="Q460" s="46"/>
      <c r="R460" s="46"/>
      <c r="S460" s="46"/>
    </row>
    <row r="461">
      <c r="D461" s="46"/>
      <c r="N461" s="46"/>
      <c r="Q461" s="46"/>
      <c r="R461" s="46"/>
      <c r="S461" s="46"/>
    </row>
    <row r="462">
      <c r="D462" s="46"/>
      <c r="N462" s="46"/>
      <c r="Q462" s="46"/>
      <c r="R462" s="46"/>
      <c r="S462" s="46"/>
    </row>
    <row r="463">
      <c r="D463" s="46"/>
      <c r="N463" s="46"/>
      <c r="Q463" s="46"/>
      <c r="R463" s="46"/>
      <c r="S463" s="46"/>
    </row>
    <row r="464">
      <c r="D464" s="46"/>
      <c r="N464" s="46"/>
      <c r="Q464" s="46"/>
      <c r="R464" s="46"/>
      <c r="S464" s="46"/>
    </row>
    <row r="465">
      <c r="D465" s="46"/>
      <c r="N465" s="46"/>
      <c r="Q465" s="46"/>
      <c r="R465" s="46"/>
      <c r="S465" s="46"/>
    </row>
    <row r="466">
      <c r="D466" s="46"/>
      <c r="N466" s="46"/>
      <c r="Q466" s="46"/>
      <c r="R466" s="46"/>
      <c r="S466" s="46"/>
    </row>
    <row r="467">
      <c r="D467" s="46"/>
      <c r="N467" s="46"/>
      <c r="Q467" s="46"/>
      <c r="R467" s="46"/>
      <c r="S467" s="46"/>
    </row>
    <row r="468">
      <c r="D468" s="46"/>
      <c r="N468" s="46"/>
      <c r="Q468" s="46"/>
      <c r="R468" s="46"/>
      <c r="S468" s="46"/>
    </row>
    <row r="469">
      <c r="D469" s="46"/>
      <c r="N469" s="46"/>
      <c r="Q469" s="46"/>
      <c r="R469" s="46"/>
      <c r="S469" s="46"/>
    </row>
    <row r="470">
      <c r="D470" s="46"/>
      <c r="N470" s="46"/>
      <c r="Q470" s="46"/>
      <c r="R470" s="46"/>
      <c r="S470" s="46"/>
    </row>
    <row r="471">
      <c r="D471" s="46"/>
      <c r="N471" s="46"/>
      <c r="Q471" s="46"/>
      <c r="R471" s="46"/>
      <c r="S471" s="46"/>
    </row>
    <row r="472">
      <c r="D472" s="46"/>
      <c r="N472" s="46"/>
      <c r="Q472" s="46"/>
      <c r="R472" s="46"/>
      <c r="S472" s="46"/>
    </row>
    <row r="473">
      <c r="D473" s="46"/>
      <c r="N473" s="46"/>
      <c r="Q473" s="46"/>
      <c r="R473" s="46"/>
      <c r="S473" s="46"/>
    </row>
    <row r="474">
      <c r="D474" s="46"/>
      <c r="N474" s="46"/>
      <c r="Q474" s="46"/>
      <c r="R474" s="46"/>
      <c r="S474" s="46"/>
    </row>
    <row r="475">
      <c r="D475" s="46"/>
      <c r="N475" s="46"/>
      <c r="Q475" s="46"/>
      <c r="R475" s="46"/>
      <c r="S475" s="46"/>
    </row>
    <row r="476">
      <c r="D476" s="46"/>
      <c r="N476" s="46"/>
      <c r="Q476" s="46"/>
      <c r="R476" s="46"/>
      <c r="S476" s="46"/>
    </row>
    <row r="477">
      <c r="D477" s="46"/>
      <c r="N477" s="46"/>
      <c r="Q477" s="46"/>
      <c r="R477" s="46"/>
      <c r="S477" s="46"/>
    </row>
    <row r="478">
      <c r="D478" s="46"/>
      <c r="N478" s="46"/>
      <c r="Q478" s="46"/>
      <c r="R478" s="46"/>
      <c r="S478" s="46"/>
    </row>
    <row r="479">
      <c r="D479" s="46"/>
      <c r="N479" s="46"/>
      <c r="Q479" s="46"/>
      <c r="R479" s="46"/>
      <c r="S479" s="46"/>
    </row>
    <row r="480">
      <c r="D480" s="46"/>
      <c r="N480" s="46"/>
      <c r="Q480" s="46"/>
      <c r="R480" s="46"/>
      <c r="S480" s="46"/>
    </row>
    <row r="481">
      <c r="D481" s="46"/>
      <c r="N481" s="46"/>
      <c r="Q481" s="46"/>
      <c r="R481" s="46"/>
      <c r="S481" s="46"/>
    </row>
    <row r="482">
      <c r="D482" s="46"/>
      <c r="N482" s="46"/>
      <c r="Q482" s="46"/>
      <c r="R482" s="46"/>
      <c r="S482" s="46"/>
    </row>
    <row r="483">
      <c r="D483" s="46"/>
      <c r="N483" s="46"/>
      <c r="Q483" s="46"/>
      <c r="R483" s="46"/>
      <c r="S483" s="46"/>
    </row>
    <row r="484">
      <c r="D484" s="46"/>
      <c r="N484" s="46"/>
      <c r="Q484" s="46"/>
      <c r="R484" s="46"/>
      <c r="S484" s="46"/>
    </row>
    <row r="485">
      <c r="D485" s="46"/>
      <c r="N485" s="46"/>
      <c r="Q485" s="46"/>
      <c r="R485" s="46"/>
      <c r="S485" s="46"/>
    </row>
    <row r="486">
      <c r="D486" s="46"/>
      <c r="N486" s="46"/>
      <c r="Q486" s="46"/>
      <c r="R486" s="46"/>
      <c r="S486" s="46"/>
    </row>
    <row r="487">
      <c r="D487" s="46"/>
      <c r="N487" s="46"/>
      <c r="Q487" s="46"/>
      <c r="R487" s="46"/>
      <c r="S487" s="46"/>
    </row>
    <row r="488">
      <c r="D488" s="46"/>
      <c r="N488" s="46"/>
      <c r="Q488" s="46"/>
      <c r="R488" s="46"/>
      <c r="S488" s="46"/>
    </row>
    <row r="489">
      <c r="D489" s="46"/>
      <c r="N489" s="46"/>
      <c r="Q489" s="46"/>
      <c r="R489" s="46"/>
      <c r="S489" s="46"/>
    </row>
    <row r="490">
      <c r="D490" s="46"/>
      <c r="N490" s="46"/>
      <c r="Q490" s="46"/>
      <c r="R490" s="46"/>
      <c r="S490" s="46"/>
    </row>
    <row r="491">
      <c r="D491" s="46"/>
      <c r="N491" s="46"/>
      <c r="Q491" s="46"/>
      <c r="R491" s="46"/>
      <c r="S491" s="46"/>
    </row>
    <row r="492">
      <c r="D492" s="46"/>
      <c r="N492" s="46"/>
      <c r="Q492" s="46"/>
      <c r="R492" s="46"/>
      <c r="S492" s="46"/>
    </row>
    <row r="493">
      <c r="D493" s="46"/>
      <c r="N493" s="46"/>
      <c r="Q493" s="46"/>
      <c r="R493" s="46"/>
      <c r="S493" s="46"/>
    </row>
    <row r="494">
      <c r="D494" s="46"/>
      <c r="N494" s="46"/>
      <c r="Q494" s="46"/>
      <c r="R494" s="46"/>
      <c r="S494" s="46"/>
    </row>
    <row r="495">
      <c r="D495" s="46"/>
      <c r="N495" s="46"/>
      <c r="Q495" s="46"/>
      <c r="R495" s="46"/>
      <c r="S495" s="46"/>
    </row>
    <row r="496">
      <c r="D496" s="46"/>
      <c r="N496" s="46"/>
      <c r="Q496" s="46"/>
      <c r="R496" s="46"/>
      <c r="S496" s="46"/>
    </row>
    <row r="497">
      <c r="D497" s="46"/>
      <c r="N497" s="46"/>
      <c r="Q497" s="46"/>
      <c r="R497" s="46"/>
      <c r="S497" s="46"/>
    </row>
    <row r="498">
      <c r="D498" s="46"/>
      <c r="N498" s="46"/>
      <c r="Q498" s="46"/>
      <c r="R498" s="46"/>
      <c r="S498" s="46"/>
    </row>
    <row r="499">
      <c r="D499" s="46"/>
      <c r="N499" s="46"/>
      <c r="Q499" s="46"/>
      <c r="R499" s="46"/>
      <c r="S499" s="46"/>
    </row>
    <row r="500">
      <c r="D500" s="46"/>
      <c r="N500" s="46"/>
      <c r="Q500" s="46"/>
      <c r="R500" s="46"/>
      <c r="S500" s="46"/>
    </row>
    <row r="501">
      <c r="D501" s="46"/>
      <c r="N501" s="46"/>
      <c r="Q501" s="46"/>
      <c r="R501" s="46"/>
      <c r="S501" s="46"/>
    </row>
    <row r="502">
      <c r="D502" s="46"/>
      <c r="N502" s="46"/>
      <c r="Q502" s="46"/>
      <c r="R502" s="46"/>
      <c r="S502" s="46"/>
    </row>
    <row r="503">
      <c r="D503" s="46"/>
      <c r="N503" s="46"/>
      <c r="Q503" s="46"/>
      <c r="R503" s="46"/>
      <c r="S503" s="46"/>
    </row>
    <row r="504">
      <c r="D504" s="46"/>
      <c r="N504" s="46"/>
      <c r="Q504" s="46"/>
      <c r="R504" s="46"/>
      <c r="S504" s="46"/>
    </row>
    <row r="505">
      <c r="D505" s="46"/>
      <c r="N505" s="46"/>
      <c r="Q505" s="46"/>
      <c r="R505" s="46"/>
      <c r="S505" s="46"/>
    </row>
    <row r="506">
      <c r="D506" s="46"/>
      <c r="N506" s="46"/>
      <c r="Q506" s="46"/>
      <c r="R506" s="46"/>
      <c r="S506" s="46"/>
    </row>
    <row r="507">
      <c r="D507" s="46"/>
      <c r="N507" s="46"/>
      <c r="Q507" s="46"/>
      <c r="R507" s="46"/>
      <c r="S507" s="46"/>
    </row>
    <row r="508">
      <c r="D508" s="46"/>
      <c r="N508" s="46"/>
      <c r="Q508" s="46"/>
      <c r="R508" s="46"/>
      <c r="S508" s="46"/>
    </row>
    <row r="509">
      <c r="D509" s="46"/>
      <c r="N509" s="46"/>
      <c r="Q509" s="46"/>
      <c r="R509" s="46"/>
      <c r="S509" s="46"/>
    </row>
    <row r="510">
      <c r="D510" s="46"/>
      <c r="N510" s="46"/>
      <c r="Q510" s="46"/>
      <c r="R510" s="46"/>
      <c r="S510" s="46"/>
    </row>
    <row r="511">
      <c r="D511" s="46"/>
      <c r="N511" s="46"/>
      <c r="Q511" s="46"/>
      <c r="R511" s="46"/>
      <c r="S511" s="46"/>
    </row>
    <row r="512">
      <c r="D512" s="46"/>
      <c r="N512" s="46"/>
      <c r="Q512" s="46"/>
      <c r="R512" s="46"/>
      <c r="S512" s="46"/>
    </row>
    <row r="513">
      <c r="D513" s="46"/>
      <c r="N513" s="46"/>
      <c r="Q513" s="46"/>
      <c r="R513" s="46"/>
      <c r="S513" s="46"/>
    </row>
    <row r="514">
      <c r="D514" s="46"/>
      <c r="N514" s="46"/>
      <c r="Q514" s="46"/>
      <c r="R514" s="46"/>
      <c r="S514" s="46"/>
    </row>
    <row r="515">
      <c r="D515" s="46"/>
      <c r="N515" s="46"/>
      <c r="Q515" s="46"/>
      <c r="R515" s="46"/>
      <c r="S515" s="46"/>
    </row>
    <row r="516">
      <c r="D516" s="46"/>
      <c r="N516" s="46"/>
      <c r="Q516" s="46"/>
      <c r="R516" s="46"/>
      <c r="S516" s="46"/>
    </row>
    <row r="517">
      <c r="D517" s="46"/>
      <c r="N517" s="46"/>
      <c r="Q517" s="46"/>
      <c r="R517" s="46"/>
      <c r="S517" s="46"/>
    </row>
    <row r="518">
      <c r="D518" s="46"/>
      <c r="N518" s="46"/>
      <c r="Q518" s="46"/>
      <c r="R518" s="46"/>
      <c r="S518" s="46"/>
    </row>
    <row r="519">
      <c r="D519" s="46"/>
      <c r="N519" s="46"/>
      <c r="Q519" s="46"/>
      <c r="R519" s="46"/>
      <c r="S519" s="46"/>
    </row>
    <row r="520">
      <c r="D520" s="46"/>
      <c r="N520" s="46"/>
      <c r="Q520" s="46"/>
      <c r="R520" s="46"/>
      <c r="S520" s="46"/>
    </row>
    <row r="521">
      <c r="D521" s="46"/>
      <c r="N521" s="46"/>
      <c r="Q521" s="46"/>
      <c r="R521" s="46"/>
      <c r="S521" s="46"/>
    </row>
    <row r="522">
      <c r="D522" s="46"/>
      <c r="N522" s="46"/>
      <c r="Q522" s="46"/>
      <c r="R522" s="46"/>
      <c r="S522" s="46"/>
    </row>
    <row r="523">
      <c r="D523" s="46"/>
      <c r="N523" s="46"/>
      <c r="Q523" s="46"/>
      <c r="R523" s="46"/>
      <c r="S523" s="46"/>
    </row>
    <row r="524">
      <c r="D524" s="46"/>
      <c r="N524" s="46"/>
      <c r="Q524" s="46"/>
      <c r="R524" s="46"/>
      <c r="S524" s="46"/>
    </row>
    <row r="525">
      <c r="D525" s="46"/>
      <c r="N525" s="46"/>
      <c r="Q525" s="46"/>
      <c r="R525" s="46"/>
      <c r="S525" s="46"/>
    </row>
    <row r="526">
      <c r="D526" s="46"/>
      <c r="N526" s="46"/>
      <c r="Q526" s="46"/>
      <c r="R526" s="46"/>
      <c r="S526" s="46"/>
    </row>
    <row r="527">
      <c r="D527" s="46"/>
      <c r="N527" s="46"/>
      <c r="Q527" s="46"/>
      <c r="R527" s="46"/>
      <c r="S527" s="46"/>
    </row>
    <row r="528">
      <c r="D528" s="46"/>
      <c r="N528" s="46"/>
      <c r="Q528" s="46"/>
      <c r="R528" s="46"/>
      <c r="S528" s="46"/>
    </row>
    <row r="529">
      <c r="D529" s="46"/>
      <c r="N529" s="46"/>
      <c r="Q529" s="46"/>
      <c r="R529" s="46"/>
      <c r="S529" s="46"/>
    </row>
    <row r="530">
      <c r="D530" s="46"/>
      <c r="N530" s="46"/>
      <c r="Q530" s="46"/>
      <c r="R530" s="46"/>
      <c r="S530" s="46"/>
    </row>
    <row r="531">
      <c r="D531" s="46"/>
      <c r="N531" s="46"/>
      <c r="Q531" s="46"/>
      <c r="R531" s="46"/>
      <c r="S531" s="46"/>
    </row>
    <row r="532">
      <c r="D532" s="46"/>
      <c r="N532" s="46"/>
      <c r="Q532" s="46"/>
      <c r="R532" s="46"/>
      <c r="S532" s="46"/>
    </row>
    <row r="533">
      <c r="D533" s="46"/>
      <c r="N533" s="46"/>
      <c r="Q533" s="46"/>
      <c r="R533" s="46"/>
      <c r="S533" s="46"/>
    </row>
    <row r="534">
      <c r="D534" s="46"/>
      <c r="N534" s="46"/>
      <c r="Q534" s="46"/>
      <c r="R534" s="46"/>
      <c r="S534" s="46"/>
    </row>
    <row r="535">
      <c r="D535" s="46"/>
      <c r="N535" s="46"/>
      <c r="Q535" s="46"/>
      <c r="R535" s="46"/>
      <c r="S535" s="46"/>
    </row>
    <row r="536">
      <c r="D536" s="46"/>
      <c r="N536" s="46"/>
      <c r="Q536" s="46"/>
      <c r="R536" s="46"/>
      <c r="S536" s="46"/>
    </row>
    <row r="537">
      <c r="D537" s="46"/>
      <c r="N537" s="46"/>
      <c r="Q537" s="46"/>
      <c r="R537" s="46"/>
      <c r="S537" s="46"/>
    </row>
    <row r="538">
      <c r="D538" s="46"/>
      <c r="N538" s="46"/>
      <c r="Q538" s="46"/>
      <c r="R538" s="46"/>
      <c r="S538" s="46"/>
    </row>
    <row r="539">
      <c r="D539" s="46"/>
      <c r="N539" s="46"/>
      <c r="Q539" s="46"/>
      <c r="R539" s="46"/>
      <c r="S539" s="46"/>
    </row>
    <row r="540">
      <c r="D540" s="46"/>
      <c r="N540" s="46"/>
      <c r="Q540" s="46"/>
      <c r="R540" s="46"/>
      <c r="S540" s="46"/>
    </row>
    <row r="541">
      <c r="D541" s="46"/>
      <c r="N541" s="46"/>
      <c r="Q541" s="46"/>
      <c r="R541" s="46"/>
      <c r="S541" s="46"/>
    </row>
    <row r="542">
      <c r="D542" s="46"/>
      <c r="N542" s="46"/>
      <c r="Q542" s="46"/>
      <c r="R542" s="46"/>
      <c r="S542" s="46"/>
    </row>
    <row r="543">
      <c r="D543" s="46"/>
      <c r="N543" s="46"/>
      <c r="Q543" s="46"/>
      <c r="R543" s="46"/>
      <c r="S543" s="46"/>
    </row>
    <row r="544">
      <c r="D544" s="46"/>
      <c r="N544" s="46"/>
      <c r="Q544" s="46"/>
      <c r="R544" s="46"/>
      <c r="S544" s="46"/>
    </row>
    <row r="545">
      <c r="D545" s="46"/>
      <c r="N545" s="46"/>
      <c r="Q545" s="46"/>
      <c r="R545" s="46"/>
      <c r="S545" s="46"/>
    </row>
    <row r="546">
      <c r="D546" s="46"/>
      <c r="N546" s="46"/>
      <c r="Q546" s="46"/>
      <c r="R546" s="46"/>
      <c r="S546" s="46"/>
    </row>
    <row r="547">
      <c r="D547" s="46"/>
      <c r="N547" s="46"/>
      <c r="Q547" s="46"/>
      <c r="R547" s="46"/>
      <c r="S547" s="46"/>
    </row>
    <row r="548">
      <c r="D548" s="46"/>
      <c r="N548" s="46"/>
      <c r="Q548" s="46"/>
      <c r="R548" s="46"/>
      <c r="S548" s="46"/>
    </row>
    <row r="549">
      <c r="D549" s="46"/>
      <c r="N549" s="46"/>
      <c r="Q549" s="46"/>
      <c r="R549" s="46"/>
      <c r="S549" s="46"/>
    </row>
    <row r="550">
      <c r="D550" s="46"/>
      <c r="N550" s="46"/>
      <c r="Q550" s="46"/>
      <c r="R550" s="46"/>
      <c r="S550" s="46"/>
    </row>
    <row r="551">
      <c r="D551" s="46"/>
      <c r="N551" s="46"/>
      <c r="Q551" s="46"/>
      <c r="R551" s="46"/>
      <c r="S551" s="46"/>
    </row>
    <row r="552">
      <c r="D552" s="46"/>
      <c r="N552" s="46"/>
      <c r="Q552" s="46"/>
      <c r="R552" s="46"/>
      <c r="S552" s="46"/>
    </row>
    <row r="553">
      <c r="D553" s="46"/>
      <c r="N553" s="46"/>
      <c r="Q553" s="46"/>
      <c r="R553" s="46"/>
      <c r="S553" s="46"/>
    </row>
    <row r="554">
      <c r="D554" s="46"/>
      <c r="N554" s="46"/>
      <c r="Q554" s="46"/>
      <c r="R554" s="46"/>
      <c r="S554" s="46"/>
    </row>
    <row r="555">
      <c r="D555" s="46"/>
      <c r="N555" s="46"/>
      <c r="Q555" s="46"/>
      <c r="R555" s="46"/>
      <c r="S555" s="46"/>
    </row>
    <row r="556">
      <c r="D556" s="46"/>
      <c r="N556" s="46"/>
      <c r="Q556" s="46"/>
      <c r="R556" s="46"/>
      <c r="S556" s="46"/>
    </row>
    <row r="557">
      <c r="D557" s="46"/>
      <c r="N557" s="46"/>
      <c r="Q557" s="46"/>
      <c r="R557" s="46"/>
      <c r="S557" s="46"/>
    </row>
    <row r="558">
      <c r="D558" s="46"/>
      <c r="N558" s="46"/>
      <c r="Q558" s="46"/>
      <c r="R558" s="46"/>
      <c r="S558" s="46"/>
    </row>
    <row r="559">
      <c r="D559" s="46"/>
      <c r="N559" s="46"/>
      <c r="Q559" s="46"/>
      <c r="R559" s="46"/>
      <c r="S559" s="46"/>
    </row>
    <row r="560">
      <c r="D560" s="46"/>
      <c r="N560" s="46"/>
      <c r="Q560" s="46"/>
      <c r="R560" s="46"/>
      <c r="S560" s="46"/>
    </row>
    <row r="561">
      <c r="D561" s="46"/>
      <c r="N561" s="46"/>
      <c r="Q561" s="46"/>
      <c r="R561" s="46"/>
      <c r="S561" s="46"/>
    </row>
    <row r="562">
      <c r="D562" s="46"/>
      <c r="N562" s="46"/>
      <c r="Q562" s="46"/>
      <c r="R562" s="46"/>
      <c r="S562" s="46"/>
    </row>
    <row r="563">
      <c r="D563" s="46"/>
      <c r="N563" s="46"/>
      <c r="Q563" s="46"/>
      <c r="R563" s="46"/>
      <c r="S563" s="46"/>
    </row>
    <row r="564">
      <c r="D564" s="46"/>
      <c r="N564" s="46"/>
      <c r="Q564" s="46"/>
      <c r="R564" s="46"/>
      <c r="S564" s="46"/>
    </row>
    <row r="565">
      <c r="D565" s="46"/>
      <c r="N565" s="46"/>
      <c r="Q565" s="46"/>
      <c r="R565" s="46"/>
      <c r="S565" s="46"/>
    </row>
    <row r="566">
      <c r="D566" s="46"/>
      <c r="N566" s="46"/>
      <c r="Q566" s="46"/>
      <c r="R566" s="46"/>
      <c r="S566" s="46"/>
    </row>
    <row r="567">
      <c r="D567" s="46"/>
      <c r="N567" s="46"/>
      <c r="Q567" s="46"/>
      <c r="R567" s="46"/>
      <c r="S567" s="46"/>
    </row>
    <row r="568">
      <c r="D568" s="46"/>
      <c r="N568" s="46"/>
      <c r="Q568" s="46"/>
      <c r="R568" s="46"/>
      <c r="S568" s="46"/>
    </row>
    <row r="569">
      <c r="D569" s="46"/>
      <c r="N569" s="46"/>
      <c r="Q569" s="46"/>
      <c r="R569" s="46"/>
      <c r="S569" s="46"/>
    </row>
    <row r="570">
      <c r="D570" s="46"/>
      <c r="N570" s="46"/>
      <c r="Q570" s="46"/>
      <c r="R570" s="46"/>
      <c r="S570" s="46"/>
    </row>
    <row r="571">
      <c r="D571" s="46"/>
      <c r="N571" s="46"/>
      <c r="Q571" s="46"/>
      <c r="R571" s="46"/>
      <c r="S571" s="46"/>
    </row>
    <row r="572">
      <c r="D572" s="46"/>
      <c r="N572" s="46"/>
      <c r="Q572" s="46"/>
      <c r="R572" s="46"/>
      <c r="S572" s="46"/>
    </row>
    <row r="573">
      <c r="D573" s="46"/>
      <c r="N573" s="46"/>
      <c r="Q573" s="46"/>
      <c r="R573" s="46"/>
      <c r="S573" s="46"/>
    </row>
    <row r="574">
      <c r="D574" s="46"/>
      <c r="N574" s="46"/>
      <c r="Q574" s="46"/>
      <c r="R574" s="46"/>
      <c r="S574" s="46"/>
    </row>
    <row r="575">
      <c r="D575" s="46"/>
      <c r="N575" s="46"/>
      <c r="Q575" s="46"/>
      <c r="R575" s="46"/>
      <c r="S575" s="46"/>
    </row>
    <row r="576">
      <c r="D576" s="46"/>
      <c r="N576" s="46"/>
      <c r="Q576" s="46"/>
      <c r="R576" s="46"/>
      <c r="S576" s="46"/>
    </row>
    <row r="577">
      <c r="D577" s="46"/>
      <c r="N577" s="46"/>
      <c r="Q577" s="46"/>
      <c r="R577" s="46"/>
      <c r="S577" s="46"/>
    </row>
    <row r="578">
      <c r="D578" s="46"/>
      <c r="N578" s="46"/>
      <c r="Q578" s="46"/>
      <c r="R578" s="46"/>
      <c r="S578" s="46"/>
    </row>
    <row r="579">
      <c r="D579" s="46"/>
      <c r="N579" s="46"/>
      <c r="Q579" s="46"/>
      <c r="R579" s="46"/>
      <c r="S579" s="46"/>
    </row>
    <row r="580">
      <c r="D580" s="46"/>
      <c r="N580" s="46"/>
      <c r="Q580" s="46"/>
      <c r="R580" s="46"/>
      <c r="S580" s="46"/>
    </row>
    <row r="581">
      <c r="D581" s="46"/>
      <c r="N581" s="46"/>
      <c r="Q581" s="46"/>
      <c r="R581" s="46"/>
      <c r="S581" s="46"/>
    </row>
    <row r="582">
      <c r="D582" s="46"/>
      <c r="N582" s="46"/>
      <c r="Q582" s="46"/>
      <c r="R582" s="46"/>
      <c r="S582" s="46"/>
    </row>
    <row r="583">
      <c r="D583" s="46"/>
      <c r="N583" s="46"/>
      <c r="Q583" s="46"/>
      <c r="R583" s="46"/>
      <c r="S583" s="46"/>
    </row>
    <row r="584">
      <c r="D584" s="46"/>
      <c r="N584" s="46"/>
      <c r="Q584" s="46"/>
      <c r="R584" s="46"/>
      <c r="S584" s="46"/>
    </row>
    <row r="585">
      <c r="D585" s="46"/>
      <c r="N585" s="46"/>
      <c r="Q585" s="46"/>
      <c r="R585" s="46"/>
      <c r="S585" s="46"/>
    </row>
    <row r="586">
      <c r="D586" s="46"/>
      <c r="N586" s="46"/>
      <c r="Q586" s="46"/>
      <c r="R586" s="46"/>
      <c r="S586" s="46"/>
    </row>
    <row r="587">
      <c r="D587" s="46"/>
      <c r="N587" s="46"/>
      <c r="Q587" s="46"/>
      <c r="R587" s="46"/>
      <c r="S587" s="46"/>
    </row>
    <row r="588">
      <c r="D588" s="46"/>
      <c r="N588" s="46"/>
      <c r="Q588" s="46"/>
      <c r="R588" s="46"/>
      <c r="S588" s="46"/>
    </row>
    <row r="589">
      <c r="D589" s="46"/>
      <c r="N589" s="46"/>
      <c r="Q589" s="46"/>
      <c r="R589" s="46"/>
      <c r="S589" s="46"/>
    </row>
    <row r="590">
      <c r="D590" s="46"/>
      <c r="N590" s="46"/>
      <c r="Q590" s="46"/>
      <c r="R590" s="46"/>
      <c r="S590" s="46"/>
    </row>
    <row r="591">
      <c r="D591" s="46"/>
      <c r="N591" s="46"/>
      <c r="Q591" s="46"/>
      <c r="R591" s="46"/>
      <c r="S591" s="46"/>
    </row>
    <row r="592">
      <c r="D592" s="46"/>
      <c r="N592" s="46"/>
      <c r="Q592" s="46"/>
      <c r="R592" s="46"/>
      <c r="S592" s="46"/>
    </row>
    <row r="593">
      <c r="D593" s="46"/>
      <c r="N593" s="46"/>
      <c r="Q593" s="46"/>
      <c r="R593" s="46"/>
      <c r="S593" s="46"/>
    </row>
    <row r="594">
      <c r="D594" s="46"/>
      <c r="N594" s="46"/>
      <c r="Q594" s="46"/>
      <c r="R594" s="46"/>
      <c r="S594" s="46"/>
    </row>
    <row r="595">
      <c r="D595" s="46"/>
      <c r="N595" s="46"/>
      <c r="Q595" s="46"/>
      <c r="R595" s="46"/>
      <c r="S595" s="46"/>
    </row>
    <row r="596">
      <c r="D596" s="46"/>
      <c r="N596" s="46"/>
      <c r="Q596" s="46"/>
      <c r="R596" s="46"/>
      <c r="S596" s="46"/>
    </row>
    <row r="597">
      <c r="D597" s="46"/>
      <c r="N597" s="46"/>
      <c r="Q597" s="46"/>
      <c r="R597" s="46"/>
      <c r="S597" s="46"/>
    </row>
    <row r="598">
      <c r="D598" s="46"/>
      <c r="N598" s="46"/>
      <c r="Q598" s="46"/>
      <c r="R598" s="46"/>
      <c r="S598" s="46"/>
    </row>
    <row r="599">
      <c r="D599" s="46"/>
      <c r="N599" s="46"/>
      <c r="Q599" s="46"/>
      <c r="R599" s="46"/>
      <c r="S599" s="46"/>
    </row>
    <row r="600">
      <c r="D600" s="46"/>
      <c r="N600" s="46"/>
      <c r="Q600" s="46"/>
      <c r="R600" s="46"/>
      <c r="S600" s="46"/>
    </row>
    <row r="601">
      <c r="D601" s="46"/>
      <c r="N601" s="46"/>
      <c r="Q601" s="46"/>
      <c r="R601" s="46"/>
      <c r="S601" s="46"/>
    </row>
    <row r="602">
      <c r="D602" s="46"/>
      <c r="N602" s="46"/>
      <c r="Q602" s="46"/>
      <c r="R602" s="46"/>
      <c r="S602" s="46"/>
    </row>
    <row r="603">
      <c r="D603" s="46"/>
      <c r="N603" s="46"/>
      <c r="Q603" s="46"/>
      <c r="R603" s="46"/>
      <c r="S603" s="46"/>
    </row>
    <row r="604">
      <c r="D604" s="46"/>
      <c r="N604" s="46"/>
      <c r="Q604" s="46"/>
      <c r="R604" s="46"/>
      <c r="S604" s="46"/>
    </row>
    <row r="605">
      <c r="D605" s="46"/>
      <c r="N605" s="46"/>
      <c r="Q605" s="46"/>
      <c r="R605" s="46"/>
      <c r="S605" s="46"/>
    </row>
    <row r="606">
      <c r="D606" s="46"/>
      <c r="N606" s="46"/>
      <c r="Q606" s="46"/>
      <c r="R606" s="46"/>
      <c r="S606" s="46"/>
    </row>
    <row r="607">
      <c r="D607" s="46"/>
      <c r="N607" s="46"/>
      <c r="Q607" s="46"/>
      <c r="R607" s="46"/>
      <c r="S607" s="46"/>
    </row>
    <row r="608">
      <c r="D608" s="46"/>
      <c r="N608" s="46"/>
      <c r="Q608" s="46"/>
      <c r="R608" s="46"/>
      <c r="S608" s="46"/>
    </row>
    <row r="609">
      <c r="D609" s="46"/>
      <c r="N609" s="46"/>
      <c r="Q609" s="46"/>
      <c r="R609" s="46"/>
      <c r="S609" s="46"/>
    </row>
    <row r="610">
      <c r="D610" s="46"/>
      <c r="N610" s="46"/>
      <c r="Q610" s="46"/>
      <c r="R610" s="46"/>
      <c r="S610" s="46"/>
    </row>
    <row r="611">
      <c r="D611" s="46"/>
      <c r="N611" s="46"/>
      <c r="Q611" s="46"/>
      <c r="R611" s="46"/>
      <c r="S611" s="46"/>
    </row>
    <row r="612">
      <c r="D612" s="46"/>
      <c r="N612" s="46"/>
      <c r="Q612" s="46"/>
      <c r="R612" s="46"/>
      <c r="S612" s="46"/>
    </row>
    <row r="613">
      <c r="D613" s="46"/>
      <c r="N613" s="46"/>
      <c r="Q613" s="46"/>
      <c r="R613" s="46"/>
      <c r="S613" s="46"/>
    </row>
    <row r="614">
      <c r="D614" s="46"/>
      <c r="N614" s="46"/>
      <c r="Q614" s="46"/>
      <c r="R614" s="46"/>
      <c r="S614" s="46"/>
    </row>
    <row r="615">
      <c r="D615" s="46"/>
      <c r="N615" s="46"/>
      <c r="Q615" s="46"/>
      <c r="R615" s="46"/>
      <c r="S615" s="46"/>
    </row>
    <row r="616">
      <c r="D616" s="46"/>
      <c r="N616" s="46"/>
      <c r="Q616" s="46"/>
      <c r="R616" s="46"/>
      <c r="S616" s="46"/>
    </row>
    <row r="617">
      <c r="D617" s="46"/>
      <c r="N617" s="46"/>
      <c r="Q617" s="46"/>
      <c r="R617" s="46"/>
      <c r="S617" s="46"/>
    </row>
    <row r="618">
      <c r="D618" s="46"/>
      <c r="N618" s="46"/>
      <c r="Q618" s="46"/>
      <c r="R618" s="46"/>
      <c r="S618" s="46"/>
    </row>
    <row r="619">
      <c r="D619" s="46"/>
      <c r="N619" s="46"/>
      <c r="Q619" s="46"/>
      <c r="R619" s="46"/>
      <c r="S619" s="46"/>
    </row>
    <row r="620">
      <c r="D620" s="46"/>
      <c r="N620" s="46"/>
      <c r="Q620" s="46"/>
      <c r="R620" s="46"/>
      <c r="S620" s="46"/>
    </row>
    <row r="621">
      <c r="D621" s="46"/>
      <c r="N621" s="46"/>
      <c r="Q621" s="46"/>
      <c r="R621" s="46"/>
      <c r="S621" s="46"/>
    </row>
    <row r="622">
      <c r="D622" s="46"/>
      <c r="N622" s="46"/>
      <c r="Q622" s="46"/>
      <c r="R622" s="46"/>
      <c r="S622" s="46"/>
    </row>
    <row r="623">
      <c r="D623" s="46"/>
      <c r="N623" s="46"/>
      <c r="Q623" s="46"/>
      <c r="R623" s="46"/>
      <c r="S623" s="46"/>
    </row>
    <row r="624">
      <c r="D624" s="46"/>
      <c r="N624" s="46"/>
      <c r="Q624" s="46"/>
      <c r="R624" s="46"/>
      <c r="S624" s="46"/>
    </row>
    <row r="625">
      <c r="D625" s="46"/>
      <c r="N625" s="46"/>
      <c r="Q625" s="46"/>
      <c r="R625" s="46"/>
      <c r="S625" s="46"/>
    </row>
    <row r="626">
      <c r="D626" s="46"/>
      <c r="N626" s="46"/>
      <c r="Q626" s="46"/>
      <c r="R626" s="46"/>
      <c r="S626" s="46"/>
    </row>
    <row r="627">
      <c r="D627" s="46"/>
      <c r="N627" s="46"/>
      <c r="Q627" s="46"/>
      <c r="R627" s="46"/>
      <c r="S627" s="46"/>
    </row>
    <row r="628">
      <c r="D628" s="46"/>
      <c r="N628" s="46"/>
      <c r="Q628" s="46"/>
      <c r="R628" s="46"/>
      <c r="S628" s="46"/>
    </row>
    <row r="629">
      <c r="D629" s="46"/>
      <c r="N629" s="46"/>
      <c r="Q629" s="46"/>
      <c r="R629" s="46"/>
      <c r="S629" s="46"/>
    </row>
    <row r="630">
      <c r="D630" s="46"/>
      <c r="N630" s="46"/>
      <c r="Q630" s="46"/>
      <c r="R630" s="46"/>
      <c r="S630" s="46"/>
    </row>
    <row r="631">
      <c r="D631" s="46"/>
      <c r="N631" s="46"/>
      <c r="Q631" s="46"/>
      <c r="R631" s="46"/>
      <c r="S631" s="46"/>
    </row>
    <row r="632">
      <c r="D632" s="46"/>
      <c r="N632" s="46"/>
      <c r="Q632" s="46"/>
      <c r="R632" s="46"/>
      <c r="S632" s="46"/>
    </row>
    <row r="633">
      <c r="D633" s="46"/>
      <c r="N633" s="46"/>
      <c r="Q633" s="46"/>
      <c r="R633" s="46"/>
      <c r="S633" s="46"/>
    </row>
    <row r="634">
      <c r="D634" s="46"/>
      <c r="N634" s="46"/>
      <c r="Q634" s="46"/>
      <c r="R634" s="46"/>
      <c r="S634" s="46"/>
    </row>
    <row r="635">
      <c r="D635" s="46"/>
      <c r="N635" s="46"/>
      <c r="Q635" s="46"/>
      <c r="R635" s="46"/>
      <c r="S635" s="46"/>
    </row>
    <row r="636">
      <c r="D636" s="46"/>
      <c r="N636" s="46"/>
      <c r="Q636" s="46"/>
      <c r="R636" s="46"/>
      <c r="S636" s="46"/>
    </row>
    <row r="637">
      <c r="D637" s="46"/>
      <c r="N637" s="46"/>
      <c r="Q637" s="46"/>
      <c r="R637" s="46"/>
      <c r="S637" s="46"/>
    </row>
    <row r="638">
      <c r="D638" s="46"/>
      <c r="N638" s="46"/>
      <c r="Q638" s="46"/>
      <c r="R638" s="46"/>
      <c r="S638" s="46"/>
    </row>
    <row r="639">
      <c r="D639" s="46"/>
      <c r="N639" s="46"/>
      <c r="Q639" s="46"/>
      <c r="R639" s="46"/>
      <c r="S639" s="46"/>
    </row>
    <row r="640">
      <c r="D640" s="46"/>
      <c r="N640" s="46"/>
      <c r="Q640" s="46"/>
      <c r="R640" s="46"/>
      <c r="S640" s="46"/>
    </row>
    <row r="641">
      <c r="D641" s="46"/>
      <c r="N641" s="46"/>
      <c r="Q641" s="46"/>
      <c r="R641" s="46"/>
      <c r="S641" s="46"/>
    </row>
    <row r="642">
      <c r="D642" s="46"/>
      <c r="N642" s="46"/>
      <c r="Q642" s="46"/>
      <c r="R642" s="46"/>
      <c r="S642" s="46"/>
    </row>
    <row r="643">
      <c r="D643" s="46"/>
      <c r="N643" s="46"/>
      <c r="Q643" s="46"/>
      <c r="R643" s="46"/>
      <c r="S643" s="46"/>
    </row>
    <row r="644">
      <c r="D644" s="46"/>
      <c r="N644" s="46"/>
      <c r="Q644" s="46"/>
      <c r="R644" s="46"/>
      <c r="S644" s="46"/>
    </row>
    <row r="645">
      <c r="D645" s="46"/>
      <c r="N645" s="46"/>
      <c r="Q645" s="46"/>
      <c r="R645" s="46"/>
      <c r="S645" s="46"/>
    </row>
    <row r="646">
      <c r="D646" s="46"/>
      <c r="N646" s="46"/>
      <c r="Q646" s="46"/>
      <c r="R646" s="46"/>
      <c r="S646" s="46"/>
    </row>
    <row r="647">
      <c r="D647" s="46"/>
      <c r="N647" s="46"/>
      <c r="Q647" s="46"/>
      <c r="R647" s="46"/>
      <c r="S647" s="46"/>
    </row>
    <row r="648">
      <c r="D648" s="46"/>
      <c r="N648" s="46"/>
      <c r="Q648" s="46"/>
      <c r="R648" s="46"/>
      <c r="S648" s="46"/>
    </row>
    <row r="649">
      <c r="D649" s="46"/>
      <c r="N649" s="46"/>
      <c r="Q649" s="46"/>
      <c r="R649" s="46"/>
      <c r="S649" s="46"/>
    </row>
    <row r="650">
      <c r="D650" s="46"/>
      <c r="N650" s="46"/>
      <c r="Q650" s="46"/>
      <c r="R650" s="46"/>
      <c r="S650" s="46"/>
    </row>
    <row r="651">
      <c r="D651" s="46"/>
      <c r="N651" s="46"/>
      <c r="Q651" s="46"/>
      <c r="R651" s="46"/>
      <c r="S651" s="46"/>
    </row>
    <row r="652">
      <c r="D652" s="46"/>
      <c r="N652" s="46"/>
      <c r="Q652" s="46"/>
      <c r="R652" s="46"/>
      <c r="S652" s="46"/>
    </row>
    <row r="653">
      <c r="D653" s="46"/>
      <c r="N653" s="46"/>
      <c r="Q653" s="46"/>
      <c r="R653" s="46"/>
      <c r="S653" s="46"/>
    </row>
    <row r="654">
      <c r="D654" s="46"/>
      <c r="N654" s="46"/>
      <c r="Q654" s="46"/>
      <c r="R654" s="46"/>
      <c r="S654" s="46"/>
    </row>
    <row r="655">
      <c r="D655" s="46"/>
      <c r="N655" s="46"/>
      <c r="Q655" s="46"/>
      <c r="R655" s="46"/>
      <c r="S655" s="46"/>
    </row>
    <row r="656">
      <c r="D656" s="46"/>
      <c r="N656" s="46"/>
      <c r="Q656" s="46"/>
      <c r="R656" s="46"/>
      <c r="S656" s="46"/>
    </row>
    <row r="657">
      <c r="D657" s="46"/>
      <c r="N657" s="46"/>
      <c r="Q657" s="46"/>
      <c r="R657" s="46"/>
      <c r="S657" s="46"/>
    </row>
    <row r="658">
      <c r="D658" s="46"/>
      <c r="N658" s="46"/>
      <c r="Q658" s="46"/>
      <c r="R658" s="46"/>
      <c r="S658" s="46"/>
    </row>
    <row r="659">
      <c r="D659" s="46"/>
      <c r="N659" s="46"/>
      <c r="Q659" s="46"/>
      <c r="R659" s="46"/>
      <c r="S659" s="46"/>
    </row>
    <row r="660">
      <c r="D660" s="46"/>
      <c r="N660" s="46"/>
      <c r="Q660" s="46"/>
      <c r="R660" s="46"/>
      <c r="S660" s="46"/>
    </row>
    <row r="661">
      <c r="D661" s="46"/>
      <c r="N661" s="46"/>
      <c r="Q661" s="46"/>
      <c r="R661" s="46"/>
      <c r="S661" s="46"/>
    </row>
    <row r="662">
      <c r="D662" s="46"/>
      <c r="N662" s="46"/>
      <c r="Q662" s="46"/>
      <c r="R662" s="46"/>
      <c r="S662" s="46"/>
    </row>
    <row r="663">
      <c r="D663" s="46"/>
      <c r="N663" s="46"/>
      <c r="Q663" s="46"/>
      <c r="R663" s="46"/>
      <c r="S663" s="46"/>
    </row>
    <row r="664">
      <c r="D664" s="46"/>
      <c r="N664" s="46"/>
      <c r="Q664" s="46"/>
      <c r="R664" s="46"/>
      <c r="S664" s="46"/>
    </row>
    <row r="665">
      <c r="D665" s="46"/>
      <c r="N665" s="46"/>
      <c r="Q665" s="46"/>
      <c r="R665" s="46"/>
      <c r="S665" s="46"/>
    </row>
    <row r="666">
      <c r="D666" s="46"/>
      <c r="N666" s="46"/>
      <c r="Q666" s="46"/>
      <c r="R666" s="46"/>
      <c r="S666" s="46"/>
    </row>
    <row r="667">
      <c r="D667" s="46"/>
      <c r="N667" s="46"/>
      <c r="Q667" s="46"/>
      <c r="R667" s="46"/>
      <c r="S667" s="46"/>
    </row>
    <row r="668">
      <c r="D668" s="46"/>
      <c r="N668" s="46"/>
      <c r="Q668" s="46"/>
      <c r="R668" s="46"/>
      <c r="S668" s="46"/>
    </row>
    <row r="669">
      <c r="D669" s="46"/>
      <c r="N669" s="46"/>
      <c r="Q669" s="46"/>
      <c r="R669" s="46"/>
      <c r="S669" s="46"/>
    </row>
    <row r="670">
      <c r="D670" s="46"/>
      <c r="N670" s="46"/>
      <c r="Q670" s="46"/>
      <c r="R670" s="46"/>
      <c r="S670" s="46"/>
    </row>
    <row r="671">
      <c r="D671" s="46"/>
      <c r="N671" s="46"/>
      <c r="Q671" s="46"/>
      <c r="R671" s="46"/>
      <c r="S671" s="46"/>
    </row>
    <row r="672">
      <c r="D672" s="46"/>
      <c r="N672" s="46"/>
      <c r="Q672" s="46"/>
      <c r="R672" s="46"/>
      <c r="S672" s="46"/>
    </row>
    <row r="673">
      <c r="D673" s="46"/>
      <c r="N673" s="46"/>
      <c r="Q673" s="46"/>
      <c r="R673" s="46"/>
      <c r="S673" s="46"/>
    </row>
    <row r="674">
      <c r="D674" s="46"/>
      <c r="N674" s="46"/>
      <c r="Q674" s="46"/>
      <c r="R674" s="46"/>
      <c r="S674" s="46"/>
    </row>
    <row r="675">
      <c r="D675" s="46"/>
      <c r="N675" s="46"/>
      <c r="Q675" s="46"/>
      <c r="R675" s="46"/>
      <c r="S675" s="46"/>
    </row>
    <row r="676">
      <c r="D676" s="46"/>
      <c r="N676" s="46"/>
      <c r="Q676" s="46"/>
      <c r="R676" s="46"/>
      <c r="S676" s="46"/>
    </row>
    <row r="677">
      <c r="D677" s="46"/>
      <c r="N677" s="46"/>
      <c r="Q677" s="46"/>
      <c r="R677" s="46"/>
      <c r="S677" s="46"/>
    </row>
    <row r="678">
      <c r="D678" s="46"/>
      <c r="N678" s="46"/>
      <c r="Q678" s="46"/>
      <c r="R678" s="46"/>
      <c r="S678" s="46"/>
    </row>
    <row r="679">
      <c r="D679" s="46"/>
      <c r="N679" s="46"/>
      <c r="Q679" s="46"/>
      <c r="R679" s="46"/>
      <c r="S679" s="46"/>
    </row>
    <row r="680">
      <c r="D680" s="46"/>
      <c r="N680" s="46"/>
      <c r="Q680" s="46"/>
      <c r="R680" s="46"/>
      <c r="S680" s="46"/>
    </row>
    <row r="681">
      <c r="D681" s="46"/>
      <c r="N681" s="46"/>
      <c r="Q681" s="46"/>
      <c r="R681" s="46"/>
      <c r="S681" s="46"/>
    </row>
    <row r="682">
      <c r="D682" s="46"/>
      <c r="N682" s="46"/>
      <c r="Q682" s="46"/>
      <c r="R682" s="46"/>
      <c r="S682" s="46"/>
    </row>
    <row r="683">
      <c r="D683" s="46"/>
      <c r="N683" s="46"/>
      <c r="Q683" s="46"/>
      <c r="R683" s="46"/>
      <c r="S683" s="46"/>
    </row>
    <row r="684">
      <c r="D684" s="46"/>
      <c r="N684" s="46"/>
      <c r="Q684" s="46"/>
      <c r="R684" s="46"/>
      <c r="S684" s="46"/>
    </row>
    <row r="685">
      <c r="D685" s="46"/>
      <c r="N685" s="46"/>
      <c r="Q685" s="46"/>
      <c r="R685" s="46"/>
      <c r="S685" s="46"/>
    </row>
    <row r="686">
      <c r="D686" s="46"/>
      <c r="N686" s="46"/>
      <c r="Q686" s="46"/>
      <c r="R686" s="46"/>
      <c r="S686" s="46"/>
    </row>
    <row r="687">
      <c r="D687" s="46"/>
      <c r="N687" s="46"/>
      <c r="Q687" s="46"/>
      <c r="R687" s="46"/>
      <c r="S687" s="46"/>
    </row>
    <row r="688">
      <c r="D688" s="46"/>
      <c r="N688" s="46"/>
      <c r="Q688" s="46"/>
      <c r="R688" s="46"/>
      <c r="S688" s="46"/>
    </row>
    <row r="689">
      <c r="D689" s="46"/>
      <c r="N689" s="46"/>
      <c r="Q689" s="46"/>
      <c r="R689" s="46"/>
      <c r="S689" s="46"/>
    </row>
    <row r="690">
      <c r="D690" s="46"/>
      <c r="N690" s="46"/>
      <c r="Q690" s="46"/>
      <c r="R690" s="46"/>
      <c r="S690" s="46"/>
    </row>
    <row r="691">
      <c r="D691" s="46"/>
      <c r="N691" s="46"/>
      <c r="Q691" s="46"/>
      <c r="R691" s="46"/>
      <c r="S691" s="46"/>
    </row>
    <row r="692">
      <c r="D692" s="46"/>
      <c r="N692" s="46"/>
      <c r="Q692" s="46"/>
      <c r="R692" s="46"/>
      <c r="S692" s="46"/>
    </row>
    <row r="693">
      <c r="D693" s="46"/>
      <c r="N693" s="46"/>
      <c r="Q693" s="46"/>
      <c r="R693" s="46"/>
      <c r="S693" s="46"/>
    </row>
    <row r="694">
      <c r="D694" s="46"/>
      <c r="N694" s="46"/>
      <c r="Q694" s="46"/>
      <c r="R694" s="46"/>
      <c r="S694" s="46"/>
    </row>
    <row r="695">
      <c r="D695" s="46"/>
      <c r="N695" s="46"/>
      <c r="Q695" s="46"/>
      <c r="R695" s="46"/>
      <c r="S695" s="46"/>
    </row>
    <row r="696">
      <c r="D696" s="46"/>
      <c r="N696" s="46"/>
      <c r="Q696" s="46"/>
      <c r="R696" s="46"/>
      <c r="S696" s="46"/>
    </row>
    <row r="697">
      <c r="D697" s="46"/>
      <c r="N697" s="46"/>
      <c r="Q697" s="46"/>
      <c r="R697" s="46"/>
      <c r="S697" s="46"/>
    </row>
    <row r="698">
      <c r="D698" s="46"/>
      <c r="N698" s="46"/>
      <c r="Q698" s="46"/>
      <c r="R698" s="46"/>
      <c r="S698" s="46"/>
    </row>
    <row r="699">
      <c r="D699" s="46"/>
      <c r="N699" s="46"/>
      <c r="Q699" s="46"/>
      <c r="R699" s="46"/>
      <c r="S699" s="46"/>
    </row>
    <row r="700">
      <c r="D700" s="46"/>
      <c r="N700" s="46"/>
      <c r="Q700" s="46"/>
      <c r="R700" s="46"/>
      <c r="S700" s="46"/>
    </row>
    <row r="701">
      <c r="D701" s="46"/>
      <c r="N701" s="46"/>
      <c r="Q701" s="46"/>
      <c r="R701" s="46"/>
      <c r="S701" s="46"/>
    </row>
    <row r="702">
      <c r="D702" s="46"/>
      <c r="N702" s="46"/>
      <c r="Q702" s="46"/>
      <c r="R702" s="46"/>
      <c r="S702" s="46"/>
    </row>
    <row r="703">
      <c r="D703" s="46"/>
      <c r="N703" s="46"/>
      <c r="Q703" s="46"/>
      <c r="R703" s="46"/>
      <c r="S703" s="46"/>
    </row>
    <row r="704">
      <c r="D704" s="46"/>
      <c r="N704" s="46"/>
      <c r="Q704" s="46"/>
      <c r="R704" s="46"/>
      <c r="S704" s="46"/>
    </row>
    <row r="705">
      <c r="D705" s="46"/>
      <c r="N705" s="46"/>
      <c r="Q705" s="46"/>
      <c r="R705" s="46"/>
      <c r="S705" s="46"/>
    </row>
    <row r="706">
      <c r="D706" s="46"/>
      <c r="N706" s="46"/>
      <c r="Q706" s="46"/>
      <c r="R706" s="46"/>
      <c r="S706" s="46"/>
    </row>
    <row r="707">
      <c r="D707" s="46"/>
      <c r="N707" s="46"/>
      <c r="Q707" s="46"/>
      <c r="R707" s="46"/>
      <c r="S707" s="46"/>
    </row>
    <row r="708">
      <c r="D708" s="46"/>
      <c r="N708" s="46"/>
      <c r="Q708" s="46"/>
      <c r="R708" s="46"/>
      <c r="S708" s="46"/>
    </row>
    <row r="709">
      <c r="D709" s="46"/>
      <c r="N709" s="46"/>
      <c r="Q709" s="46"/>
      <c r="R709" s="46"/>
      <c r="S709" s="46"/>
    </row>
    <row r="710">
      <c r="D710" s="46"/>
      <c r="N710" s="46"/>
      <c r="Q710" s="46"/>
      <c r="R710" s="46"/>
      <c r="S710" s="46"/>
    </row>
    <row r="711">
      <c r="D711" s="46"/>
      <c r="N711" s="46"/>
      <c r="Q711" s="46"/>
      <c r="R711" s="46"/>
      <c r="S711" s="46"/>
    </row>
    <row r="712">
      <c r="D712" s="46"/>
      <c r="N712" s="46"/>
      <c r="Q712" s="46"/>
      <c r="R712" s="46"/>
      <c r="S712" s="46"/>
    </row>
    <row r="713">
      <c r="D713" s="46"/>
      <c r="N713" s="46"/>
      <c r="Q713" s="46"/>
      <c r="R713" s="46"/>
      <c r="S713" s="46"/>
    </row>
    <row r="714">
      <c r="D714" s="46"/>
      <c r="N714" s="46"/>
      <c r="Q714" s="46"/>
      <c r="R714" s="46"/>
      <c r="S714" s="46"/>
    </row>
    <row r="715">
      <c r="D715" s="46"/>
      <c r="N715" s="46"/>
      <c r="Q715" s="46"/>
      <c r="R715" s="46"/>
      <c r="S715" s="46"/>
    </row>
    <row r="716">
      <c r="D716" s="46"/>
      <c r="N716" s="46"/>
      <c r="Q716" s="46"/>
      <c r="R716" s="46"/>
      <c r="S716" s="46"/>
    </row>
    <row r="717">
      <c r="D717" s="46"/>
      <c r="N717" s="46"/>
      <c r="Q717" s="46"/>
      <c r="R717" s="46"/>
      <c r="S717" s="46"/>
    </row>
    <row r="718">
      <c r="D718" s="46"/>
      <c r="N718" s="46"/>
      <c r="Q718" s="46"/>
      <c r="R718" s="46"/>
      <c r="S718" s="46"/>
    </row>
    <row r="719">
      <c r="D719" s="46"/>
      <c r="N719" s="46"/>
      <c r="Q719" s="46"/>
      <c r="R719" s="46"/>
      <c r="S719" s="46"/>
    </row>
    <row r="720">
      <c r="D720" s="46"/>
      <c r="N720" s="46"/>
      <c r="Q720" s="46"/>
      <c r="R720" s="46"/>
      <c r="S720" s="46"/>
    </row>
    <row r="721">
      <c r="D721" s="46"/>
      <c r="N721" s="46"/>
      <c r="Q721" s="46"/>
      <c r="R721" s="46"/>
      <c r="S721" s="46"/>
    </row>
    <row r="722">
      <c r="D722" s="46"/>
      <c r="N722" s="46"/>
      <c r="Q722" s="46"/>
      <c r="R722" s="46"/>
      <c r="S722" s="46"/>
    </row>
    <row r="723">
      <c r="D723" s="46"/>
      <c r="N723" s="46"/>
      <c r="Q723" s="46"/>
      <c r="R723" s="46"/>
      <c r="S723" s="46"/>
    </row>
    <row r="724">
      <c r="D724" s="46"/>
      <c r="N724" s="46"/>
      <c r="Q724" s="46"/>
      <c r="R724" s="46"/>
      <c r="S724" s="46"/>
    </row>
    <row r="725">
      <c r="D725" s="46"/>
      <c r="N725" s="46"/>
      <c r="Q725" s="46"/>
      <c r="R725" s="46"/>
      <c r="S725" s="46"/>
    </row>
    <row r="726">
      <c r="D726" s="46"/>
      <c r="N726" s="46"/>
      <c r="Q726" s="46"/>
      <c r="R726" s="46"/>
      <c r="S726" s="46"/>
    </row>
    <row r="727">
      <c r="D727" s="46"/>
      <c r="N727" s="46"/>
      <c r="Q727" s="46"/>
      <c r="R727" s="46"/>
      <c r="S727" s="46"/>
    </row>
    <row r="728">
      <c r="D728" s="46"/>
      <c r="N728" s="46"/>
      <c r="Q728" s="46"/>
      <c r="R728" s="46"/>
      <c r="S728" s="46"/>
    </row>
    <row r="729">
      <c r="D729" s="46"/>
      <c r="N729" s="46"/>
      <c r="Q729" s="46"/>
      <c r="R729" s="46"/>
      <c r="S729" s="46"/>
    </row>
    <row r="730">
      <c r="D730" s="46"/>
      <c r="N730" s="46"/>
      <c r="Q730" s="46"/>
      <c r="R730" s="46"/>
      <c r="S730" s="46"/>
    </row>
    <row r="731">
      <c r="D731" s="46"/>
      <c r="N731" s="46"/>
      <c r="Q731" s="46"/>
      <c r="R731" s="46"/>
      <c r="S731" s="46"/>
    </row>
    <row r="732">
      <c r="D732" s="46"/>
      <c r="N732" s="46"/>
      <c r="Q732" s="46"/>
      <c r="R732" s="46"/>
      <c r="S732" s="46"/>
    </row>
    <row r="733">
      <c r="D733" s="46"/>
      <c r="N733" s="46"/>
      <c r="Q733" s="46"/>
      <c r="R733" s="46"/>
      <c r="S733" s="46"/>
    </row>
    <row r="734">
      <c r="D734" s="46"/>
      <c r="N734" s="46"/>
      <c r="Q734" s="46"/>
      <c r="R734" s="46"/>
      <c r="S734" s="46"/>
    </row>
    <row r="735">
      <c r="D735" s="46"/>
      <c r="N735" s="46"/>
      <c r="Q735" s="46"/>
      <c r="R735" s="46"/>
      <c r="S735" s="46"/>
    </row>
    <row r="736">
      <c r="D736" s="46"/>
      <c r="N736" s="46"/>
      <c r="Q736" s="46"/>
      <c r="R736" s="46"/>
      <c r="S736" s="46"/>
    </row>
    <row r="737">
      <c r="D737" s="46"/>
      <c r="N737" s="46"/>
      <c r="Q737" s="46"/>
      <c r="R737" s="46"/>
      <c r="S737" s="46"/>
    </row>
    <row r="738">
      <c r="D738" s="46"/>
      <c r="N738" s="46"/>
      <c r="Q738" s="46"/>
      <c r="R738" s="46"/>
      <c r="S738" s="46"/>
    </row>
    <row r="739">
      <c r="D739" s="46"/>
      <c r="N739" s="46"/>
      <c r="Q739" s="46"/>
      <c r="R739" s="46"/>
      <c r="S739" s="46"/>
    </row>
    <row r="740">
      <c r="D740" s="46"/>
      <c r="N740" s="46"/>
      <c r="Q740" s="46"/>
      <c r="R740" s="46"/>
      <c r="S740" s="46"/>
    </row>
    <row r="741">
      <c r="D741" s="46"/>
      <c r="N741" s="46"/>
      <c r="Q741" s="46"/>
      <c r="R741" s="46"/>
      <c r="S741" s="46"/>
    </row>
    <row r="742">
      <c r="D742" s="46"/>
      <c r="N742" s="46"/>
      <c r="Q742" s="46"/>
      <c r="R742" s="46"/>
      <c r="S742" s="46"/>
    </row>
    <row r="743">
      <c r="D743" s="46"/>
      <c r="N743" s="46"/>
      <c r="Q743" s="46"/>
      <c r="R743" s="46"/>
      <c r="S743" s="46"/>
    </row>
    <row r="744">
      <c r="D744" s="46"/>
      <c r="N744" s="46"/>
      <c r="Q744" s="46"/>
      <c r="R744" s="46"/>
      <c r="S744" s="46"/>
    </row>
    <row r="745">
      <c r="D745" s="46"/>
      <c r="N745" s="46"/>
      <c r="Q745" s="46"/>
      <c r="R745" s="46"/>
      <c r="S745" s="46"/>
    </row>
    <row r="746">
      <c r="D746" s="46"/>
      <c r="N746" s="46"/>
      <c r="Q746" s="46"/>
      <c r="R746" s="46"/>
      <c r="S746" s="46"/>
    </row>
    <row r="747">
      <c r="D747" s="46"/>
      <c r="N747" s="46"/>
      <c r="Q747" s="46"/>
      <c r="R747" s="46"/>
      <c r="S747" s="46"/>
    </row>
    <row r="748">
      <c r="D748" s="46"/>
      <c r="N748" s="46"/>
      <c r="Q748" s="46"/>
      <c r="R748" s="46"/>
      <c r="S748" s="46"/>
    </row>
    <row r="749">
      <c r="D749" s="46"/>
      <c r="N749" s="46"/>
      <c r="Q749" s="46"/>
      <c r="R749" s="46"/>
      <c r="S749" s="46"/>
    </row>
    <row r="750">
      <c r="D750" s="46"/>
      <c r="N750" s="46"/>
      <c r="Q750" s="46"/>
      <c r="R750" s="46"/>
      <c r="S750" s="46"/>
    </row>
    <row r="751">
      <c r="D751" s="46"/>
      <c r="N751" s="46"/>
      <c r="Q751" s="46"/>
      <c r="R751" s="46"/>
      <c r="S751" s="46"/>
    </row>
    <row r="752">
      <c r="D752" s="46"/>
      <c r="N752" s="46"/>
      <c r="Q752" s="46"/>
      <c r="R752" s="46"/>
      <c r="S752" s="46"/>
    </row>
    <row r="753">
      <c r="D753" s="46"/>
      <c r="N753" s="46"/>
      <c r="Q753" s="46"/>
      <c r="R753" s="46"/>
      <c r="S753" s="46"/>
    </row>
    <row r="754">
      <c r="D754" s="46"/>
      <c r="N754" s="46"/>
      <c r="Q754" s="46"/>
      <c r="R754" s="46"/>
      <c r="S754" s="46"/>
    </row>
    <row r="755">
      <c r="D755" s="46"/>
      <c r="N755" s="46"/>
      <c r="Q755" s="46"/>
      <c r="R755" s="46"/>
      <c r="S755" s="46"/>
    </row>
    <row r="756">
      <c r="D756" s="46"/>
      <c r="N756" s="46"/>
      <c r="Q756" s="46"/>
      <c r="R756" s="46"/>
      <c r="S756" s="46"/>
    </row>
    <row r="757">
      <c r="D757" s="46"/>
      <c r="N757" s="46"/>
      <c r="Q757" s="46"/>
      <c r="R757" s="46"/>
      <c r="S757" s="46"/>
    </row>
    <row r="758">
      <c r="D758" s="46"/>
      <c r="N758" s="46"/>
      <c r="Q758" s="46"/>
      <c r="R758" s="46"/>
      <c r="S758" s="46"/>
    </row>
    <row r="759">
      <c r="D759" s="46"/>
      <c r="N759" s="46"/>
      <c r="Q759" s="46"/>
      <c r="R759" s="46"/>
      <c r="S759" s="46"/>
    </row>
    <row r="760">
      <c r="D760" s="46"/>
      <c r="N760" s="46"/>
      <c r="Q760" s="46"/>
      <c r="R760" s="46"/>
      <c r="S760" s="46"/>
    </row>
    <row r="761">
      <c r="D761" s="46"/>
      <c r="N761" s="46"/>
      <c r="Q761" s="46"/>
      <c r="R761" s="46"/>
      <c r="S761" s="46"/>
    </row>
    <row r="762">
      <c r="D762" s="46"/>
      <c r="N762" s="46"/>
      <c r="Q762" s="46"/>
      <c r="R762" s="46"/>
      <c r="S762" s="46"/>
    </row>
    <row r="763">
      <c r="D763" s="46"/>
      <c r="N763" s="46"/>
      <c r="Q763" s="46"/>
      <c r="R763" s="46"/>
      <c r="S763" s="46"/>
    </row>
    <row r="764">
      <c r="D764" s="46"/>
      <c r="N764" s="46"/>
      <c r="Q764" s="46"/>
      <c r="R764" s="46"/>
      <c r="S764" s="46"/>
    </row>
    <row r="765">
      <c r="D765" s="46"/>
      <c r="N765" s="46"/>
      <c r="Q765" s="46"/>
      <c r="R765" s="46"/>
      <c r="S765" s="46"/>
    </row>
    <row r="766">
      <c r="D766" s="46"/>
      <c r="N766" s="46"/>
      <c r="Q766" s="46"/>
      <c r="R766" s="46"/>
      <c r="S766" s="46"/>
    </row>
    <row r="767">
      <c r="D767" s="46"/>
      <c r="N767" s="46"/>
      <c r="Q767" s="46"/>
      <c r="R767" s="46"/>
      <c r="S767" s="46"/>
    </row>
    <row r="768">
      <c r="D768" s="46"/>
      <c r="N768" s="46"/>
      <c r="Q768" s="46"/>
      <c r="R768" s="46"/>
      <c r="S768" s="46"/>
    </row>
    <row r="769">
      <c r="D769" s="46"/>
      <c r="N769" s="46"/>
      <c r="Q769" s="46"/>
      <c r="R769" s="46"/>
      <c r="S769" s="46"/>
    </row>
    <row r="770">
      <c r="D770" s="46"/>
      <c r="N770" s="46"/>
      <c r="Q770" s="46"/>
      <c r="R770" s="46"/>
      <c r="S770" s="46"/>
    </row>
    <row r="771">
      <c r="D771" s="46"/>
      <c r="N771" s="46"/>
      <c r="Q771" s="46"/>
      <c r="R771" s="46"/>
      <c r="S771" s="46"/>
    </row>
    <row r="772">
      <c r="D772" s="46"/>
      <c r="N772" s="46"/>
      <c r="Q772" s="46"/>
      <c r="R772" s="46"/>
      <c r="S772" s="46"/>
    </row>
    <row r="773">
      <c r="D773" s="46"/>
      <c r="N773" s="46"/>
      <c r="Q773" s="46"/>
      <c r="R773" s="46"/>
      <c r="S773" s="46"/>
    </row>
    <row r="774">
      <c r="D774" s="46"/>
      <c r="N774" s="46"/>
      <c r="Q774" s="46"/>
      <c r="R774" s="46"/>
      <c r="S774" s="46"/>
    </row>
    <row r="775">
      <c r="D775" s="46"/>
      <c r="N775" s="46"/>
      <c r="Q775" s="46"/>
      <c r="R775" s="46"/>
      <c r="S775" s="46"/>
    </row>
    <row r="776">
      <c r="D776" s="46"/>
      <c r="N776" s="46"/>
      <c r="Q776" s="46"/>
      <c r="R776" s="46"/>
      <c r="S776" s="46"/>
    </row>
    <row r="777">
      <c r="D777" s="46"/>
      <c r="N777" s="46"/>
      <c r="Q777" s="46"/>
      <c r="R777" s="46"/>
      <c r="S777" s="46"/>
    </row>
    <row r="778">
      <c r="D778" s="46"/>
      <c r="N778" s="46"/>
      <c r="Q778" s="46"/>
      <c r="R778" s="46"/>
      <c r="S778" s="46"/>
    </row>
    <row r="779">
      <c r="D779" s="46"/>
      <c r="N779" s="46"/>
      <c r="Q779" s="46"/>
      <c r="R779" s="46"/>
      <c r="S779" s="46"/>
    </row>
    <row r="780">
      <c r="D780" s="46"/>
      <c r="N780" s="46"/>
      <c r="Q780" s="46"/>
      <c r="R780" s="46"/>
      <c r="S780" s="46"/>
    </row>
    <row r="781">
      <c r="D781" s="46"/>
      <c r="N781" s="46"/>
      <c r="Q781" s="46"/>
      <c r="R781" s="46"/>
      <c r="S781" s="46"/>
    </row>
    <row r="782">
      <c r="D782" s="46"/>
      <c r="N782" s="46"/>
      <c r="Q782" s="46"/>
      <c r="R782" s="46"/>
      <c r="S782" s="46"/>
    </row>
    <row r="783">
      <c r="D783" s="46"/>
      <c r="N783" s="46"/>
      <c r="Q783" s="46"/>
      <c r="R783" s="46"/>
      <c r="S783" s="46"/>
    </row>
    <row r="784">
      <c r="D784" s="46"/>
      <c r="N784" s="46"/>
      <c r="Q784" s="46"/>
      <c r="R784" s="46"/>
      <c r="S784" s="46"/>
    </row>
    <row r="785">
      <c r="D785" s="46"/>
      <c r="N785" s="46"/>
      <c r="Q785" s="46"/>
      <c r="R785" s="46"/>
      <c r="S785" s="46"/>
    </row>
    <row r="786">
      <c r="D786" s="46"/>
      <c r="N786" s="46"/>
      <c r="Q786" s="46"/>
      <c r="R786" s="46"/>
      <c r="S786" s="46"/>
    </row>
    <row r="787">
      <c r="D787" s="46"/>
      <c r="N787" s="46"/>
      <c r="Q787" s="46"/>
      <c r="R787" s="46"/>
      <c r="S787" s="46"/>
    </row>
    <row r="788">
      <c r="D788" s="46"/>
      <c r="N788" s="46"/>
      <c r="Q788" s="46"/>
      <c r="R788" s="46"/>
      <c r="S788" s="46"/>
    </row>
    <row r="789">
      <c r="D789" s="46"/>
      <c r="N789" s="46"/>
      <c r="Q789" s="46"/>
      <c r="R789" s="46"/>
      <c r="S789" s="46"/>
    </row>
    <row r="790">
      <c r="D790" s="46"/>
      <c r="N790" s="46"/>
      <c r="Q790" s="46"/>
      <c r="R790" s="46"/>
      <c r="S790" s="46"/>
    </row>
    <row r="791">
      <c r="D791" s="46"/>
      <c r="N791" s="46"/>
      <c r="Q791" s="46"/>
      <c r="R791" s="46"/>
      <c r="S791" s="46"/>
    </row>
    <row r="792">
      <c r="D792" s="46"/>
      <c r="N792" s="46"/>
      <c r="Q792" s="46"/>
      <c r="R792" s="46"/>
      <c r="S792" s="46"/>
    </row>
    <row r="793">
      <c r="D793" s="46"/>
      <c r="N793" s="46"/>
      <c r="Q793" s="46"/>
      <c r="R793" s="46"/>
      <c r="S793" s="46"/>
    </row>
    <row r="794">
      <c r="D794" s="46"/>
      <c r="N794" s="46"/>
      <c r="Q794" s="46"/>
      <c r="R794" s="46"/>
      <c r="S794" s="46"/>
    </row>
    <row r="795">
      <c r="D795" s="46"/>
      <c r="N795" s="46"/>
      <c r="Q795" s="46"/>
      <c r="R795" s="46"/>
      <c r="S795" s="46"/>
    </row>
    <row r="796">
      <c r="D796" s="46"/>
      <c r="N796" s="46"/>
      <c r="Q796" s="46"/>
      <c r="R796" s="46"/>
      <c r="S796" s="46"/>
    </row>
    <row r="797">
      <c r="D797" s="46"/>
      <c r="N797" s="46"/>
      <c r="Q797" s="46"/>
      <c r="R797" s="46"/>
      <c r="S797" s="46"/>
    </row>
    <row r="798">
      <c r="D798" s="46"/>
      <c r="N798" s="46"/>
      <c r="Q798" s="46"/>
      <c r="R798" s="46"/>
      <c r="S798" s="46"/>
    </row>
    <row r="799">
      <c r="D799" s="46"/>
      <c r="N799" s="46"/>
      <c r="Q799" s="46"/>
      <c r="R799" s="46"/>
      <c r="S799" s="46"/>
    </row>
    <row r="800">
      <c r="D800" s="46"/>
      <c r="N800" s="46"/>
      <c r="Q800" s="46"/>
      <c r="R800" s="46"/>
      <c r="S800" s="46"/>
    </row>
    <row r="801">
      <c r="D801" s="46"/>
      <c r="N801" s="46"/>
      <c r="Q801" s="46"/>
      <c r="R801" s="46"/>
      <c r="S801" s="46"/>
    </row>
    <row r="802">
      <c r="D802" s="46"/>
      <c r="N802" s="46"/>
      <c r="Q802" s="46"/>
      <c r="R802" s="46"/>
      <c r="S802" s="46"/>
    </row>
    <row r="803">
      <c r="D803" s="46"/>
      <c r="N803" s="46"/>
      <c r="Q803" s="46"/>
      <c r="R803" s="46"/>
      <c r="S803" s="46"/>
    </row>
    <row r="804">
      <c r="D804" s="46"/>
      <c r="N804" s="46"/>
      <c r="Q804" s="46"/>
      <c r="R804" s="46"/>
      <c r="S804" s="46"/>
    </row>
    <row r="805">
      <c r="D805" s="46"/>
      <c r="N805" s="46"/>
      <c r="Q805" s="46"/>
      <c r="R805" s="46"/>
      <c r="S805" s="46"/>
    </row>
    <row r="806">
      <c r="D806" s="46"/>
      <c r="N806" s="46"/>
      <c r="Q806" s="46"/>
      <c r="R806" s="46"/>
      <c r="S806" s="46"/>
    </row>
    <row r="807">
      <c r="D807" s="46"/>
      <c r="N807" s="46"/>
      <c r="Q807" s="46"/>
      <c r="R807" s="46"/>
      <c r="S807" s="46"/>
    </row>
    <row r="808">
      <c r="D808" s="46"/>
      <c r="N808" s="46"/>
      <c r="Q808" s="46"/>
      <c r="R808" s="46"/>
      <c r="S808" s="46"/>
    </row>
    <row r="809">
      <c r="D809" s="46"/>
      <c r="N809" s="46"/>
      <c r="Q809" s="46"/>
      <c r="R809" s="46"/>
      <c r="S809" s="46"/>
    </row>
    <row r="810">
      <c r="D810" s="46"/>
      <c r="N810" s="46"/>
      <c r="Q810" s="46"/>
      <c r="R810" s="46"/>
      <c r="S810" s="46"/>
    </row>
    <row r="811">
      <c r="D811" s="46"/>
      <c r="N811" s="46"/>
      <c r="Q811" s="46"/>
      <c r="R811" s="46"/>
      <c r="S811" s="46"/>
    </row>
    <row r="812">
      <c r="D812" s="46"/>
      <c r="N812" s="46"/>
      <c r="Q812" s="46"/>
      <c r="R812" s="46"/>
      <c r="S812" s="46"/>
    </row>
    <row r="813">
      <c r="D813" s="46"/>
      <c r="N813" s="46"/>
      <c r="Q813" s="46"/>
      <c r="R813" s="46"/>
      <c r="S813" s="46"/>
    </row>
    <row r="814">
      <c r="D814" s="46"/>
      <c r="N814" s="46"/>
      <c r="Q814" s="46"/>
      <c r="R814" s="46"/>
      <c r="S814" s="46"/>
    </row>
    <row r="815">
      <c r="D815" s="46"/>
      <c r="N815" s="46"/>
      <c r="Q815" s="46"/>
      <c r="R815" s="46"/>
      <c r="S815" s="46"/>
    </row>
    <row r="816">
      <c r="D816" s="46"/>
      <c r="N816" s="46"/>
      <c r="Q816" s="46"/>
      <c r="R816" s="46"/>
      <c r="S816" s="46"/>
    </row>
    <row r="817">
      <c r="D817" s="46"/>
      <c r="N817" s="46"/>
      <c r="Q817" s="46"/>
      <c r="R817" s="46"/>
      <c r="S817" s="46"/>
    </row>
    <row r="818">
      <c r="D818" s="46"/>
      <c r="N818" s="46"/>
      <c r="Q818" s="46"/>
      <c r="R818" s="46"/>
      <c r="S818" s="46"/>
    </row>
    <row r="819">
      <c r="D819" s="46"/>
      <c r="N819" s="46"/>
      <c r="Q819" s="46"/>
      <c r="R819" s="46"/>
      <c r="S819" s="46"/>
    </row>
    <row r="820">
      <c r="D820" s="46"/>
      <c r="N820" s="46"/>
      <c r="Q820" s="46"/>
      <c r="R820" s="46"/>
      <c r="S820" s="46"/>
    </row>
    <row r="821">
      <c r="D821" s="46"/>
      <c r="N821" s="46"/>
      <c r="Q821" s="46"/>
      <c r="R821" s="46"/>
      <c r="S821" s="46"/>
    </row>
    <row r="822">
      <c r="D822" s="46"/>
      <c r="N822" s="46"/>
      <c r="Q822" s="46"/>
      <c r="R822" s="46"/>
      <c r="S822" s="46"/>
    </row>
    <row r="823">
      <c r="D823" s="46"/>
      <c r="N823" s="46"/>
      <c r="Q823" s="46"/>
      <c r="R823" s="46"/>
      <c r="S823" s="46"/>
    </row>
    <row r="824">
      <c r="D824" s="46"/>
      <c r="N824" s="46"/>
      <c r="Q824" s="46"/>
      <c r="R824" s="46"/>
      <c r="S824" s="46"/>
    </row>
    <row r="825">
      <c r="D825" s="46"/>
      <c r="N825" s="46"/>
      <c r="Q825" s="46"/>
      <c r="R825" s="46"/>
      <c r="S825" s="46"/>
    </row>
    <row r="826">
      <c r="D826" s="46"/>
      <c r="N826" s="46"/>
      <c r="Q826" s="46"/>
      <c r="R826" s="46"/>
      <c r="S826" s="46"/>
    </row>
    <row r="827">
      <c r="D827" s="46"/>
      <c r="N827" s="46"/>
      <c r="Q827" s="46"/>
      <c r="R827" s="46"/>
      <c r="S827" s="46"/>
    </row>
    <row r="828">
      <c r="D828" s="46"/>
      <c r="N828" s="46"/>
      <c r="Q828" s="46"/>
      <c r="R828" s="46"/>
      <c r="S828" s="46"/>
    </row>
    <row r="829">
      <c r="D829" s="46"/>
      <c r="N829" s="46"/>
      <c r="Q829" s="46"/>
      <c r="R829" s="46"/>
      <c r="S829" s="46"/>
    </row>
    <row r="830">
      <c r="D830" s="46"/>
      <c r="N830" s="46"/>
      <c r="Q830" s="46"/>
      <c r="R830" s="46"/>
      <c r="S830" s="46"/>
    </row>
    <row r="831">
      <c r="D831" s="46"/>
      <c r="N831" s="46"/>
      <c r="Q831" s="46"/>
      <c r="R831" s="46"/>
      <c r="S831" s="46"/>
    </row>
    <row r="832">
      <c r="D832" s="46"/>
      <c r="N832" s="46"/>
      <c r="Q832" s="46"/>
      <c r="R832" s="46"/>
      <c r="S832" s="46"/>
    </row>
    <row r="833">
      <c r="D833" s="46"/>
      <c r="N833" s="46"/>
      <c r="Q833" s="46"/>
      <c r="R833" s="46"/>
      <c r="S833" s="46"/>
    </row>
    <row r="834">
      <c r="D834" s="46"/>
      <c r="N834" s="46"/>
      <c r="Q834" s="46"/>
      <c r="R834" s="46"/>
      <c r="S834" s="46"/>
    </row>
    <row r="835">
      <c r="D835" s="46"/>
      <c r="N835" s="46"/>
      <c r="Q835" s="46"/>
      <c r="R835" s="46"/>
      <c r="S835" s="46"/>
    </row>
    <row r="836">
      <c r="D836" s="46"/>
      <c r="N836" s="46"/>
      <c r="Q836" s="46"/>
      <c r="R836" s="46"/>
      <c r="S836" s="46"/>
    </row>
    <row r="837">
      <c r="D837" s="46"/>
      <c r="N837" s="46"/>
      <c r="Q837" s="46"/>
      <c r="R837" s="46"/>
      <c r="S837" s="46"/>
    </row>
    <row r="838">
      <c r="D838" s="46"/>
      <c r="N838" s="46"/>
      <c r="Q838" s="46"/>
      <c r="R838" s="46"/>
      <c r="S838" s="46"/>
    </row>
    <row r="839">
      <c r="D839" s="46"/>
      <c r="N839" s="46"/>
      <c r="Q839" s="46"/>
      <c r="R839" s="46"/>
      <c r="S839" s="46"/>
    </row>
    <row r="840">
      <c r="D840" s="46"/>
      <c r="N840" s="46"/>
      <c r="Q840" s="46"/>
      <c r="R840" s="46"/>
      <c r="S840" s="46"/>
    </row>
    <row r="841">
      <c r="D841" s="46"/>
      <c r="N841" s="46"/>
      <c r="Q841" s="46"/>
      <c r="R841" s="46"/>
      <c r="S841" s="46"/>
    </row>
    <row r="842">
      <c r="D842" s="46"/>
      <c r="N842" s="46"/>
      <c r="Q842" s="46"/>
      <c r="R842" s="46"/>
      <c r="S842" s="46"/>
    </row>
    <row r="843">
      <c r="D843" s="46"/>
      <c r="N843" s="46"/>
      <c r="Q843" s="46"/>
      <c r="R843" s="46"/>
      <c r="S843" s="46"/>
    </row>
    <row r="844">
      <c r="D844" s="46"/>
      <c r="N844" s="46"/>
      <c r="Q844" s="46"/>
      <c r="R844" s="46"/>
      <c r="S844" s="46"/>
    </row>
    <row r="845">
      <c r="D845" s="46"/>
      <c r="N845" s="46"/>
      <c r="Q845" s="46"/>
      <c r="R845" s="46"/>
      <c r="S845" s="46"/>
    </row>
    <row r="846">
      <c r="D846" s="46"/>
      <c r="N846" s="46"/>
      <c r="Q846" s="46"/>
      <c r="R846" s="46"/>
      <c r="S846" s="46"/>
    </row>
    <row r="847">
      <c r="D847" s="46"/>
      <c r="N847" s="46"/>
      <c r="Q847" s="46"/>
      <c r="R847" s="46"/>
      <c r="S847" s="46"/>
    </row>
    <row r="848">
      <c r="D848" s="46"/>
      <c r="N848" s="46"/>
      <c r="Q848" s="46"/>
      <c r="R848" s="46"/>
      <c r="S848" s="46"/>
    </row>
    <row r="849">
      <c r="D849" s="46"/>
      <c r="N849" s="46"/>
      <c r="Q849" s="46"/>
      <c r="R849" s="46"/>
      <c r="S849" s="46"/>
    </row>
    <row r="850">
      <c r="D850" s="46"/>
      <c r="N850" s="46"/>
      <c r="Q850" s="46"/>
      <c r="R850" s="46"/>
      <c r="S850" s="46"/>
    </row>
    <row r="851">
      <c r="D851" s="46"/>
      <c r="N851" s="46"/>
      <c r="Q851" s="46"/>
      <c r="R851" s="46"/>
      <c r="S851" s="46"/>
    </row>
    <row r="852">
      <c r="D852" s="46"/>
      <c r="N852" s="46"/>
      <c r="Q852" s="46"/>
      <c r="R852" s="46"/>
      <c r="S852" s="46"/>
    </row>
    <row r="853">
      <c r="D853" s="46"/>
      <c r="N853" s="46"/>
      <c r="Q853" s="46"/>
      <c r="R853" s="46"/>
      <c r="S853" s="46"/>
    </row>
    <row r="854">
      <c r="D854" s="46"/>
      <c r="N854" s="46"/>
      <c r="Q854" s="46"/>
      <c r="R854" s="46"/>
      <c r="S854" s="46"/>
    </row>
    <row r="855">
      <c r="D855" s="46"/>
      <c r="N855" s="46"/>
      <c r="Q855" s="46"/>
      <c r="R855" s="46"/>
      <c r="S855" s="46"/>
    </row>
    <row r="856">
      <c r="D856" s="46"/>
      <c r="N856" s="46"/>
      <c r="Q856" s="46"/>
      <c r="R856" s="46"/>
      <c r="S856" s="46"/>
    </row>
    <row r="857">
      <c r="D857" s="46"/>
      <c r="N857" s="46"/>
      <c r="Q857" s="46"/>
      <c r="R857" s="46"/>
      <c r="S857" s="46"/>
    </row>
    <row r="858">
      <c r="D858" s="46"/>
      <c r="N858" s="46"/>
      <c r="Q858" s="46"/>
      <c r="R858" s="46"/>
      <c r="S858" s="46"/>
    </row>
    <row r="859">
      <c r="D859" s="46"/>
      <c r="N859" s="46"/>
      <c r="Q859" s="46"/>
      <c r="R859" s="46"/>
      <c r="S859" s="46"/>
    </row>
    <row r="860">
      <c r="D860" s="46"/>
      <c r="N860" s="46"/>
      <c r="Q860" s="46"/>
      <c r="R860" s="46"/>
      <c r="S860" s="46"/>
    </row>
    <row r="861">
      <c r="D861" s="46"/>
      <c r="N861" s="46"/>
      <c r="Q861" s="46"/>
      <c r="R861" s="46"/>
      <c r="S861" s="46"/>
    </row>
    <row r="862">
      <c r="D862" s="46"/>
      <c r="N862" s="46"/>
      <c r="Q862" s="46"/>
      <c r="R862" s="46"/>
      <c r="S862" s="46"/>
    </row>
    <row r="863">
      <c r="D863" s="46"/>
      <c r="N863" s="46"/>
      <c r="Q863" s="46"/>
      <c r="R863" s="46"/>
      <c r="S863" s="46"/>
    </row>
    <row r="864">
      <c r="D864" s="46"/>
      <c r="N864" s="46"/>
      <c r="Q864" s="46"/>
      <c r="R864" s="46"/>
      <c r="S864" s="46"/>
    </row>
    <row r="865">
      <c r="D865" s="46"/>
      <c r="N865" s="46"/>
      <c r="Q865" s="46"/>
      <c r="R865" s="46"/>
      <c r="S865" s="46"/>
    </row>
    <row r="866">
      <c r="D866" s="46"/>
      <c r="N866" s="46"/>
      <c r="Q866" s="46"/>
      <c r="R866" s="46"/>
      <c r="S866" s="46"/>
    </row>
    <row r="867">
      <c r="D867" s="46"/>
      <c r="N867" s="46"/>
      <c r="Q867" s="46"/>
      <c r="R867" s="46"/>
      <c r="S867" s="46"/>
    </row>
    <row r="868">
      <c r="D868" s="46"/>
      <c r="N868" s="46"/>
      <c r="Q868" s="46"/>
      <c r="R868" s="46"/>
      <c r="S868" s="46"/>
    </row>
    <row r="869">
      <c r="D869" s="46"/>
      <c r="N869" s="46"/>
      <c r="Q869" s="46"/>
      <c r="R869" s="46"/>
      <c r="S869" s="46"/>
    </row>
    <row r="870">
      <c r="D870" s="46"/>
      <c r="N870" s="46"/>
      <c r="Q870" s="46"/>
      <c r="R870" s="46"/>
      <c r="S870" s="46"/>
    </row>
    <row r="871">
      <c r="D871" s="46"/>
      <c r="N871" s="46"/>
      <c r="Q871" s="46"/>
      <c r="R871" s="46"/>
      <c r="S871" s="46"/>
    </row>
    <row r="872">
      <c r="D872" s="46"/>
      <c r="N872" s="46"/>
      <c r="Q872" s="46"/>
      <c r="R872" s="46"/>
      <c r="S872" s="46"/>
    </row>
    <row r="873">
      <c r="D873" s="46"/>
      <c r="N873" s="46"/>
      <c r="Q873" s="46"/>
      <c r="R873" s="46"/>
      <c r="S873" s="46"/>
    </row>
    <row r="874">
      <c r="D874" s="46"/>
      <c r="N874" s="46"/>
      <c r="Q874" s="46"/>
      <c r="R874" s="46"/>
      <c r="S874" s="46"/>
    </row>
    <row r="875">
      <c r="D875" s="46"/>
      <c r="N875" s="46"/>
      <c r="Q875" s="46"/>
      <c r="R875" s="46"/>
      <c r="S875" s="46"/>
    </row>
    <row r="876">
      <c r="D876" s="46"/>
      <c r="N876" s="46"/>
      <c r="Q876" s="46"/>
      <c r="R876" s="46"/>
      <c r="S876" s="46"/>
    </row>
    <row r="877">
      <c r="D877" s="46"/>
      <c r="N877" s="46"/>
      <c r="Q877" s="46"/>
      <c r="R877" s="46"/>
      <c r="S877" s="46"/>
    </row>
    <row r="878">
      <c r="D878" s="46"/>
      <c r="N878" s="46"/>
      <c r="Q878" s="46"/>
      <c r="R878" s="46"/>
      <c r="S878" s="46"/>
    </row>
    <row r="879">
      <c r="D879" s="46"/>
      <c r="N879" s="46"/>
      <c r="Q879" s="46"/>
      <c r="R879" s="46"/>
      <c r="S879" s="46"/>
    </row>
    <row r="880">
      <c r="D880" s="46"/>
      <c r="N880" s="46"/>
      <c r="Q880" s="46"/>
      <c r="R880" s="46"/>
      <c r="S880" s="46"/>
    </row>
    <row r="881">
      <c r="D881" s="46"/>
      <c r="N881" s="46"/>
      <c r="Q881" s="46"/>
      <c r="R881" s="46"/>
      <c r="S881" s="46"/>
    </row>
    <row r="882">
      <c r="D882" s="46"/>
      <c r="N882" s="46"/>
      <c r="Q882" s="46"/>
      <c r="R882" s="46"/>
      <c r="S882" s="46"/>
    </row>
    <row r="883">
      <c r="D883" s="46"/>
      <c r="N883" s="46"/>
      <c r="Q883" s="46"/>
      <c r="R883" s="46"/>
      <c r="S883" s="46"/>
    </row>
    <row r="884">
      <c r="D884" s="46"/>
      <c r="N884" s="46"/>
      <c r="Q884" s="46"/>
      <c r="R884" s="46"/>
      <c r="S884" s="46"/>
    </row>
    <row r="885">
      <c r="D885" s="46"/>
      <c r="N885" s="46"/>
      <c r="Q885" s="46"/>
      <c r="R885" s="46"/>
      <c r="S885" s="46"/>
    </row>
    <row r="886">
      <c r="D886" s="46"/>
      <c r="N886" s="46"/>
      <c r="Q886" s="46"/>
      <c r="R886" s="46"/>
      <c r="S886" s="46"/>
    </row>
    <row r="887">
      <c r="D887" s="46"/>
      <c r="N887" s="46"/>
      <c r="Q887" s="46"/>
      <c r="R887" s="46"/>
      <c r="S887" s="46"/>
    </row>
    <row r="888">
      <c r="D888" s="46"/>
      <c r="N888" s="46"/>
      <c r="Q888" s="46"/>
      <c r="R888" s="46"/>
      <c r="S888" s="46"/>
    </row>
    <row r="889">
      <c r="D889" s="46"/>
      <c r="N889" s="46"/>
      <c r="Q889" s="46"/>
      <c r="R889" s="46"/>
      <c r="S889" s="46"/>
    </row>
    <row r="890">
      <c r="D890" s="46"/>
      <c r="N890" s="46"/>
      <c r="Q890" s="46"/>
      <c r="R890" s="46"/>
      <c r="S890" s="46"/>
    </row>
    <row r="891">
      <c r="D891" s="46"/>
      <c r="N891" s="46"/>
      <c r="Q891" s="46"/>
      <c r="R891" s="46"/>
      <c r="S891" s="46"/>
    </row>
    <row r="892">
      <c r="D892" s="46"/>
      <c r="N892" s="46"/>
      <c r="Q892" s="46"/>
      <c r="R892" s="46"/>
      <c r="S892" s="46"/>
    </row>
    <row r="893">
      <c r="D893" s="46"/>
      <c r="N893" s="46"/>
      <c r="Q893" s="46"/>
      <c r="R893" s="46"/>
      <c r="S893" s="46"/>
    </row>
    <row r="894">
      <c r="D894" s="46"/>
      <c r="N894" s="46"/>
      <c r="Q894" s="46"/>
      <c r="R894" s="46"/>
      <c r="S894" s="46"/>
    </row>
    <row r="895">
      <c r="D895" s="46"/>
      <c r="N895" s="46"/>
      <c r="Q895" s="46"/>
      <c r="R895" s="46"/>
      <c r="S895" s="46"/>
    </row>
    <row r="896">
      <c r="D896" s="46"/>
      <c r="N896" s="46"/>
      <c r="Q896" s="46"/>
      <c r="R896" s="46"/>
      <c r="S896" s="46"/>
    </row>
    <row r="897">
      <c r="D897" s="46"/>
      <c r="N897" s="46"/>
      <c r="Q897" s="46"/>
      <c r="R897" s="46"/>
      <c r="S897" s="46"/>
    </row>
    <row r="898">
      <c r="D898" s="46"/>
      <c r="N898" s="46"/>
      <c r="Q898" s="46"/>
      <c r="R898" s="46"/>
      <c r="S898" s="46"/>
    </row>
    <row r="899">
      <c r="D899" s="46"/>
      <c r="N899" s="46"/>
      <c r="Q899" s="46"/>
      <c r="R899" s="46"/>
      <c r="S899" s="46"/>
    </row>
    <row r="900">
      <c r="D900" s="46"/>
      <c r="N900" s="46"/>
      <c r="Q900" s="46"/>
      <c r="R900" s="46"/>
      <c r="S900" s="46"/>
    </row>
    <row r="901">
      <c r="D901" s="46"/>
      <c r="N901" s="46"/>
      <c r="Q901" s="46"/>
      <c r="R901" s="46"/>
      <c r="S901" s="46"/>
    </row>
    <row r="902">
      <c r="D902" s="46"/>
      <c r="N902" s="46"/>
      <c r="Q902" s="46"/>
      <c r="R902" s="46"/>
      <c r="S902" s="46"/>
    </row>
    <row r="903">
      <c r="D903" s="46"/>
      <c r="N903" s="46"/>
      <c r="Q903" s="46"/>
      <c r="R903" s="46"/>
      <c r="S903" s="46"/>
    </row>
    <row r="904">
      <c r="D904" s="46"/>
      <c r="N904" s="46"/>
      <c r="Q904" s="46"/>
      <c r="R904" s="46"/>
      <c r="S904" s="46"/>
    </row>
    <row r="905">
      <c r="D905" s="46"/>
      <c r="N905" s="46"/>
      <c r="Q905" s="46"/>
      <c r="R905" s="46"/>
      <c r="S905" s="46"/>
    </row>
    <row r="906">
      <c r="D906" s="46"/>
      <c r="N906" s="46"/>
      <c r="Q906" s="46"/>
      <c r="R906" s="46"/>
      <c r="S906" s="46"/>
    </row>
    <row r="907">
      <c r="D907" s="46"/>
      <c r="N907" s="46"/>
      <c r="Q907" s="46"/>
      <c r="R907" s="46"/>
      <c r="S907" s="46"/>
    </row>
    <row r="908">
      <c r="D908" s="46"/>
      <c r="N908" s="46"/>
      <c r="Q908" s="46"/>
      <c r="R908" s="46"/>
      <c r="S908" s="46"/>
    </row>
    <row r="909">
      <c r="D909" s="46"/>
      <c r="N909" s="46"/>
      <c r="Q909" s="46"/>
      <c r="R909" s="46"/>
      <c r="S909" s="46"/>
    </row>
    <row r="910">
      <c r="D910" s="46"/>
      <c r="N910" s="46"/>
      <c r="Q910" s="46"/>
      <c r="R910" s="46"/>
      <c r="S910" s="46"/>
    </row>
    <row r="911">
      <c r="D911" s="46"/>
      <c r="N911" s="46"/>
      <c r="Q911" s="46"/>
      <c r="R911" s="46"/>
      <c r="S911" s="46"/>
    </row>
    <row r="912">
      <c r="D912" s="46"/>
      <c r="N912" s="46"/>
      <c r="Q912" s="46"/>
      <c r="R912" s="46"/>
      <c r="S912" s="46"/>
    </row>
    <row r="913">
      <c r="D913" s="46"/>
      <c r="N913" s="46"/>
      <c r="Q913" s="46"/>
      <c r="R913" s="46"/>
      <c r="S913" s="46"/>
    </row>
    <row r="914">
      <c r="D914" s="46"/>
      <c r="N914" s="46"/>
      <c r="Q914" s="46"/>
      <c r="R914" s="46"/>
      <c r="S914" s="46"/>
    </row>
    <row r="915">
      <c r="D915" s="46"/>
      <c r="N915" s="46"/>
      <c r="Q915" s="46"/>
      <c r="R915" s="46"/>
      <c r="S915" s="46"/>
    </row>
    <row r="916">
      <c r="D916" s="46"/>
      <c r="N916" s="46"/>
      <c r="Q916" s="46"/>
      <c r="R916" s="46"/>
      <c r="S916" s="46"/>
    </row>
    <row r="917">
      <c r="D917" s="46"/>
      <c r="N917" s="46"/>
      <c r="Q917" s="46"/>
      <c r="R917" s="46"/>
      <c r="S917" s="46"/>
    </row>
    <row r="918">
      <c r="D918" s="46"/>
      <c r="N918" s="46"/>
      <c r="Q918" s="46"/>
      <c r="R918" s="46"/>
      <c r="S918" s="46"/>
    </row>
    <row r="919">
      <c r="D919" s="46"/>
      <c r="N919" s="46"/>
      <c r="Q919" s="46"/>
      <c r="R919" s="46"/>
      <c r="S919" s="46"/>
    </row>
    <row r="920">
      <c r="D920" s="46"/>
      <c r="N920" s="46"/>
      <c r="Q920" s="46"/>
      <c r="R920" s="46"/>
      <c r="S920" s="46"/>
    </row>
    <row r="921">
      <c r="D921" s="46"/>
      <c r="N921" s="46"/>
      <c r="Q921" s="46"/>
      <c r="R921" s="46"/>
      <c r="S921" s="46"/>
    </row>
    <row r="922">
      <c r="D922" s="46"/>
      <c r="N922" s="46"/>
      <c r="Q922" s="46"/>
      <c r="R922" s="46"/>
      <c r="S922" s="46"/>
    </row>
    <row r="923">
      <c r="D923" s="46"/>
      <c r="N923" s="46"/>
      <c r="Q923" s="46"/>
      <c r="R923" s="46"/>
      <c r="S923" s="46"/>
    </row>
    <row r="924">
      <c r="D924" s="46"/>
      <c r="N924" s="46"/>
      <c r="Q924" s="46"/>
      <c r="R924" s="46"/>
      <c r="S924" s="46"/>
    </row>
    <row r="925">
      <c r="D925" s="46"/>
      <c r="N925" s="46"/>
      <c r="Q925" s="46"/>
      <c r="R925" s="46"/>
      <c r="S925" s="46"/>
    </row>
    <row r="926">
      <c r="D926" s="46"/>
      <c r="N926" s="46"/>
      <c r="Q926" s="46"/>
      <c r="R926" s="46"/>
      <c r="S926" s="46"/>
    </row>
    <row r="927">
      <c r="D927" s="46"/>
      <c r="N927" s="46"/>
      <c r="Q927" s="46"/>
      <c r="R927" s="46"/>
      <c r="S927" s="46"/>
    </row>
    <row r="928">
      <c r="D928" s="46"/>
      <c r="N928" s="46"/>
      <c r="Q928" s="46"/>
      <c r="R928" s="46"/>
      <c r="S928" s="46"/>
    </row>
    <row r="929">
      <c r="D929" s="46"/>
      <c r="N929" s="46"/>
      <c r="Q929" s="46"/>
      <c r="R929" s="46"/>
      <c r="S929" s="46"/>
    </row>
    <row r="930">
      <c r="D930" s="46"/>
      <c r="N930" s="46"/>
      <c r="Q930" s="46"/>
      <c r="R930" s="46"/>
      <c r="S930" s="46"/>
    </row>
    <row r="931">
      <c r="D931" s="46"/>
      <c r="N931" s="46"/>
      <c r="Q931" s="46"/>
      <c r="R931" s="46"/>
      <c r="S931" s="46"/>
    </row>
    <row r="932">
      <c r="D932" s="46"/>
      <c r="N932" s="46"/>
      <c r="Q932" s="46"/>
      <c r="R932" s="46"/>
      <c r="S932" s="46"/>
    </row>
    <row r="933">
      <c r="D933" s="46"/>
      <c r="N933" s="46"/>
      <c r="Q933" s="46"/>
      <c r="R933" s="46"/>
      <c r="S933" s="46"/>
    </row>
    <row r="934">
      <c r="D934" s="46"/>
      <c r="N934" s="46"/>
      <c r="Q934" s="46"/>
      <c r="R934" s="46"/>
      <c r="S934" s="46"/>
    </row>
    <row r="935">
      <c r="D935" s="46"/>
      <c r="N935" s="46"/>
      <c r="Q935" s="46"/>
      <c r="R935" s="46"/>
      <c r="S935" s="46"/>
    </row>
    <row r="936">
      <c r="D936" s="46"/>
      <c r="N936" s="46"/>
      <c r="Q936" s="46"/>
      <c r="R936" s="46"/>
      <c r="S936" s="46"/>
    </row>
    <row r="937">
      <c r="D937" s="46"/>
      <c r="N937" s="46"/>
      <c r="Q937" s="46"/>
      <c r="R937" s="46"/>
      <c r="S937" s="46"/>
    </row>
    <row r="938">
      <c r="D938" s="46"/>
      <c r="N938" s="46"/>
      <c r="Q938" s="46"/>
      <c r="R938" s="46"/>
      <c r="S938" s="46"/>
    </row>
    <row r="939">
      <c r="D939" s="46"/>
      <c r="N939" s="46"/>
      <c r="Q939" s="46"/>
      <c r="R939" s="46"/>
      <c r="S939" s="46"/>
    </row>
    <row r="940">
      <c r="D940" s="46"/>
      <c r="N940" s="46"/>
      <c r="Q940" s="46"/>
      <c r="R940" s="46"/>
      <c r="S940" s="46"/>
    </row>
    <row r="941">
      <c r="D941" s="46"/>
      <c r="N941" s="46"/>
      <c r="Q941" s="46"/>
      <c r="R941" s="46"/>
      <c r="S941" s="46"/>
    </row>
    <row r="942">
      <c r="D942" s="46"/>
      <c r="N942" s="46"/>
      <c r="Q942" s="46"/>
      <c r="R942" s="46"/>
      <c r="S942" s="46"/>
    </row>
    <row r="943">
      <c r="D943" s="46"/>
      <c r="N943" s="46"/>
      <c r="Q943" s="46"/>
      <c r="R943" s="46"/>
      <c r="S943" s="46"/>
    </row>
    <row r="944">
      <c r="D944" s="46"/>
      <c r="N944" s="46"/>
      <c r="Q944" s="46"/>
      <c r="R944" s="46"/>
      <c r="S944" s="46"/>
    </row>
    <row r="945">
      <c r="D945" s="46"/>
      <c r="N945" s="46"/>
      <c r="Q945" s="46"/>
      <c r="R945" s="46"/>
      <c r="S945" s="46"/>
    </row>
    <row r="946">
      <c r="D946" s="46"/>
      <c r="N946" s="46"/>
      <c r="Q946" s="46"/>
      <c r="R946" s="46"/>
      <c r="S946" s="46"/>
    </row>
    <row r="947">
      <c r="D947" s="46"/>
      <c r="N947" s="46"/>
      <c r="Q947" s="46"/>
      <c r="R947" s="46"/>
      <c r="S947" s="46"/>
    </row>
    <row r="948">
      <c r="D948" s="46"/>
      <c r="N948" s="46"/>
      <c r="Q948" s="46"/>
      <c r="R948" s="46"/>
      <c r="S948" s="46"/>
    </row>
    <row r="949">
      <c r="D949" s="46"/>
      <c r="N949" s="46"/>
      <c r="Q949" s="46"/>
      <c r="R949" s="46"/>
      <c r="S949" s="46"/>
    </row>
    <row r="950">
      <c r="D950" s="46"/>
      <c r="N950" s="46"/>
      <c r="Q950" s="46"/>
      <c r="R950" s="46"/>
      <c r="S950" s="46"/>
    </row>
    <row r="951">
      <c r="D951" s="46"/>
      <c r="N951" s="46"/>
      <c r="Q951" s="46"/>
      <c r="R951" s="46"/>
      <c r="S951" s="46"/>
    </row>
    <row r="952">
      <c r="D952" s="46"/>
      <c r="N952" s="46"/>
      <c r="Q952" s="46"/>
      <c r="R952" s="46"/>
      <c r="S952" s="46"/>
    </row>
    <row r="953">
      <c r="D953" s="46"/>
      <c r="N953" s="46"/>
      <c r="Q953" s="46"/>
      <c r="R953" s="46"/>
      <c r="S953" s="46"/>
    </row>
    <row r="954">
      <c r="D954" s="46"/>
      <c r="N954" s="46"/>
      <c r="Q954" s="46"/>
      <c r="R954" s="46"/>
      <c r="S954" s="46"/>
    </row>
    <row r="955">
      <c r="D955" s="46"/>
      <c r="N955" s="46"/>
      <c r="Q955" s="46"/>
      <c r="R955" s="46"/>
      <c r="S955" s="46"/>
    </row>
    <row r="956">
      <c r="D956" s="46"/>
      <c r="N956" s="46"/>
      <c r="Q956" s="46"/>
      <c r="R956" s="46"/>
      <c r="S956" s="46"/>
    </row>
    <row r="957">
      <c r="D957" s="46"/>
      <c r="N957" s="46"/>
      <c r="Q957" s="46"/>
      <c r="R957" s="46"/>
      <c r="S957" s="46"/>
    </row>
    <row r="958">
      <c r="D958" s="46"/>
      <c r="N958" s="46"/>
      <c r="Q958" s="46"/>
      <c r="R958" s="46"/>
      <c r="S958" s="46"/>
    </row>
    <row r="959">
      <c r="D959" s="46"/>
      <c r="N959" s="46"/>
      <c r="Q959" s="46"/>
      <c r="R959" s="46"/>
      <c r="S959" s="46"/>
    </row>
    <row r="960">
      <c r="D960" s="46"/>
      <c r="N960" s="46"/>
      <c r="Q960" s="46"/>
      <c r="R960" s="46"/>
      <c r="S960" s="46"/>
    </row>
    <row r="961">
      <c r="D961" s="46"/>
      <c r="N961" s="46"/>
      <c r="Q961" s="46"/>
      <c r="R961" s="46"/>
      <c r="S961" s="46"/>
    </row>
    <row r="962">
      <c r="D962" s="46"/>
      <c r="N962" s="46"/>
      <c r="Q962" s="46"/>
      <c r="R962" s="46"/>
      <c r="S962" s="46"/>
    </row>
    <row r="963">
      <c r="D963" s="46"/>
      <c r="N963" s="46"/>
      <c r="Q963" s="46"/>
      <c r="R963" s="46"/>
      <c r="S963" s="46"/>
    </row>
    <row r="964">
      <c r="D964" s="46"/>
      <c r="N964" s="46"/>
      <c r="Q964" s="46"/>
      <c r="R964" s="46"/>
      <c r="S964" s="46"/>
    </row>
    <row r="965">
      <c r="D965" s="46"/>
      <c r="N965" s="46"/>
      <c r="Q965" s="46"/>
      <c r="R965" s="46"/>
      <c r="S965" s="46"/>
    </row>
    <row r="966">
      <c r="D966" s="46"/>
      <c r="N966" s="46"/>
      <c r="Q966" s="46"/>
      <c r="R966" s="46"/>
      <c r="S966" s="46"/>
    </row>
    <row r="967">
      <c r="D967" s="46"/>
      <c r="N967" s="46"/>
      <c r="Q967" s="46"/>
      <c r="R967" s="46"/>
      <c r="S967" s="46"/>
    </row>
    <row r="968">
      <c r="D968" s="46"/>
      <c r="N968" s="46"/>
      <c r="Q968" s="46"/>
      <c r="R968" s="46"/>
      <c r="S968" s="46"/>
    </row>
    <row r="969">
      <c r="D969" s="46"/>
      <c r="N969" s="46"/>
      <c r="Q969" s="46"/>
      <c r="R969" s="46"/>
      <c r="S969" s="46"/>
    </row>
    <row r="970">
      <c r="D970" s="46"/>
      <c r="N970" s="46"/>
      <c r="Q970" s="46"/>
      <c r="R970" s="46"/>
      <c r="S970" s="46"/>
    </row>
    <row r="971">
      <c r="D971" s="46"/>
      <c r="N971" s="46"/>
      <c r="Q971" s="46"/>
      <c r="R971" s="46"/>
      <c r="S971" s="46"/>
    </row>
    <row r="972">
      <c r="D972" s="46"/>
      <c r="N972" s="46"/>
      <c r="Q972" s="46"/>
      <c r="R972" s="46"/>
      <c r="S972" s="46"/>
    </row>
    <row r="973">
      <c r="D973" s="46"/>
      <c r="N973" s="46"/>
      <c r="Q973" s="46"/>
      <c r="R973" s="46"/>
      <c r="S973" s="46"/>
    </row>
    <row r="974">
      <c r="D974" s="46"/>
      <c r="N974" s="46"/>
      <c r="Q974" s="46"/>
      <c r="R974" s="46"/>
      <c r="S974" s="46"/>
    </row>
    <row r="975">
      <c r="D975" s="46"/>
      <c r="N975" s="46"/>
      <c r="Q975" s="46"/>
      <c r="R975" s="46"/>
      <c r="S975" s="46"/>
    </row>
    <row r="976">
      <c r="D976" s="46"/>
      <c r="N976" s="46"/>
      <c r="Q976" s="46"/>
      <c r="R976" s="46"/>
      <c r="S976" s="46"/>
    </row>
    <row r="977">
      <c r="D977" s="46"/>
      <c r="N977" s="46"/>
      <c r="Q977" s="46"/>
      <c r="R977" s="46"/>
      <c r="S977" s="46"/>
    </row>
    <row r="978">
      <c r="D978" s="46"/>
      <c r="N978" s="46"/>
      <c r="Q978" s="46"/>
      <c r="R978" s="46"/>
      <c r="S978" s="46"/>
    </row>
    <row r="979">
      <c r="D979" s="46"/>
      <c r="N979" s="46"/>
      <c r="Q979" s="46"/>
      <c r="R979" s="46"/>
      <c r="S979" s="46"/>
    </row>
    <row r="980">
      <c r="D980" s="46"/>
      <c r="N980" s="46"/>
      <c r="Q980" s="46"/>
      <c r="R980" s="46"/>
      <c r="S980" s="46"/>
    </row>
    <row r="981">
      <c r="D981" s="46"/>
      <c r="N981" s="46"/>
      <c r="Q981" s="46"/>
      <c r="R981" s="46"/>
      <c r="S981" s="46"/>
    </row>
    <row r="982">
      <c r="D982" s="46"/>
      <c r="N982" s="46"/>
      <c r="Q982" s="46"/>
      <c r="R982" s="46"/>
      <c r="S982" s="46"/>
    </row>
    <row r="983">
      <c r="D983" s="46"/>
      <c r="N983" s="46"/>
      <c r="Q983" s="46"/>
      <c r="R983" s="46"/>
      <c r="S983" s="46"/>
    </row>
    <row r="984">
      <c r="D984" s="46"/>
      <c r="N984" s="46"/>
      <c r="Q984" s="46"/>
      <c r="R984" s="46"/>
      <c r="S984" s="46"/>
    </row>
    <row r="985">
      <c r="D985" s="46"/>
      <c r="N985" s="46"/>
      <c r="Q985" s="46"/>
      <c r="R985" s="46"/>
      <c r="S985" s="46"/>
    </row>
    <row r="986">
      <c r="D986" s="46"/>
      <c r="N986" s="46"/>
      <c r="Q986" s="46"/>
      <c r="R986" s="46"/>
      <c r="S986" s="46"/>
    </row>
    <row r="987">
      <c r="D987" s="46"/>
      <c r="N987" s="46"/>
      <c r="Q987" s="46"/>
      <c r="R987" s="46"/>
      <c r="S987" s="46"/>
    </row>
    <row r="988">
      <c r="D988" s="46"/>
      <c r="N988" s="46"/>
      <c r="Q988" s="46"/>
      <c r="R988" s="46"/>
      <c r="S988" s="46"/>
    </row>
    <row r="989">
      <c r="D989" s="46"/>
      <c r="N989" s="46"/>
      <c r="Q989" s="46"/>
      <c r="R989" s="46"/>
      <c r="S989" s="46"/>
    </row>
    <row r="990">
      <c r="D990" s="46"/>
      <c r="N990" s="46"/>
      <c r="Q990" s="46"/>
      <c r="R990" s="46"/>
      <c r="S990" s="46"/>
    </row>
    <row r="991">
      <c r="D991" s="46"/>
      <c r="N991" s="46"/>
      <c r="Q991" s="46"/>
      <c r="R991" s="46"/>
      <c r="S991" s="46"/>
    </row>
    <row r="992">
      <c r="D992" s="46"/>
      <c r="N992" s="46"/>
      <c r="Q992" s="46"/>
      <c r="R992" s="46"/>
      <c r="S992" s="46"/>
    </row>
    <row r="993">
      <c r="D993" s="46"/>
      <c r="N993" s="46"/>
      <c r="Q993" s="46"/>
      <c r="R993" s="46"/>
      <c r="S993" s="46"/>
    </row>
    <row r="994">
      <c r="D994" s="46"/>
      <c r="N994" s="46"/>
      <c r="Q994" s="46"/>
      <c r="R994" s="46"/>
      <c r="S994" s="46"/>
    </row>
    <row r="995">
      <c r="D995" s="46"/>
      <c r="N995" s="46"/>
      <c r="Q995" s="46"/>
      <c r="R995" s="46"/>
      <c r="S995" s="46"/>
    </row>
    <row r="996">
      <c r="D996" s="46"/>
      <c r="N996" s="46"/>
      <c r="Q996" s="46"/>
      <c r="R996" s="46"/>
      <c r="S996" s="46"/>
    </row>
    <row r="997">
      <c r="D997" s="46"/>
      <c r="N997" s="46"/>
      <c r="Q997" s="46"/>
      <c r="R997" s="46"/>
      <c r="S997" s="46"/>
    </row>
    <row r="998">
      <c r="D998" s="46"/>
      <c r="N998" s="46"/>
      <c r="Q998" s="46"/>
      <c r="R998" s="46"/>
      <c r="S998" s="46"/>
    </row>
    <row r="999">
      <c r="D999" s="46"/>
      <c r="N999" s="46"/>
      <c r="Q999" s="46"/>
      <c r="R999" s="46"/>
      <c r="S999" s="46"/>
    </row>
    <row r="1000">
      <c r="D1000" s="46"/>
      <c r="N1000" s="46"/>
      <c r="Q1000" s="46"/>
      <c r="R1000" s="46"/>
      <c r="S1000" s="46"/>
    </row>
  </sheetData>
  <mergeCells count="12">
    <mergeCell ref="A59:E59"/>
    <mergeCell ref="F59:J59"/>
    <mergeCell ref="K59:N59"/>
    <mergeCell ref="O59:S59"/>
    <mergeCell ref="G111:K112"/>
    <mergeCell ref="A1:E2"/>
    <mergeCell ref="G1:K2"/>
    <mergeCell ref="A4:E4"/>
    <mergeCell ref="F4:J4"/>
    <mergeCell ref="K4:N4"/>
    <mergeCell ref="O4:S4"/>
    <mergeCell ref="G56:K57"/>
  </mergeCells>
  <conditionalFormatting sqref="R1:S3 R5:S51 R56:S58 R60:S106 R111:S1000">
    <cfRule type="containsText" dxfId="18" priority="1" operator="containsText" text="1">
      <formula>NOT(ISERROR(SEARCH(("1"),(R1))))</formula>
    </cfRule>
  </conditionalFormatting>
  <conditionalFormatting sqref="R1:S3 R5:S51 R56:S58 R60:S106 R111:S1000">
    <cfRule type="containsText" dxfId="26" priority="2" operator="containsText" text="2">
      <formula>NOT(ISERROR(SEARCH(("2"),(R1))))</formula>
    </cfRule>
  </conditionalFormatting>
  <conditionalFormatting sqref="R1:S3 R5:S51 R56:S58 R60:S106 R111:S1000">
    <cfRule type="containsText" dxfId="20" priority="3" operator="containsText" text="3">
      <formula>NOT(ISERROR(SEARCH(("3"),(R1))))</formula>
    </cfRule>
  </conditionalFormatting>
  <conditionalFormatting sqref="S6:S50 R61:R64">
    <cfRule type="containsText" dxfId="21" priority="4" operator="containsText" text="0">
      <formula>NOT(ISERROR(SEARCH(("0"),(S6))))</formula>
    </cfRule>
  </conditionalFormatting>
  <conditionalFormatting sqref="R6:R9">
    <cfRule type="containsText" dxfId="21" priority="5" operator="containsText" text="0">
      <formula>NOT(ISERROR(SEARCH(("0"),(R6))))</formula>
    </cfRule>
  </conditionalFormatting>
  <drawing r:id="rId1"/>
</worksheet>
</file>